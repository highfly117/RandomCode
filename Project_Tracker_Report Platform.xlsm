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510" yWindow="420" windowWidth="15600" windowHeight="10980" tabRatio="817"/>
  </bookViews>
  <sheets>
    <sheet name="Dashboard Page" sheetId="2" r:id="rId1"/>
    <sheet name="Tracker Sheet" sheetId="8" r:id="rId2"/>
    <sheet name="Health and Saftey" sheetId="13" r:id="rId3"/>
    <sheet name="Stage Gate 5" sheetId="12" r:id="rId4"/>
    <sheet name="Closed Projects (Stage Gate 6)" sheetId="17" r:id="rId5"/>
    <sheet name="Archive" sheetId="16" r:id="rId6"/>
    <sheet name="Change Control Register" sheetId="14" r:id="rId7"/>
    <sheet name="Finance" sheetId="11" state="hidden" r:id="rId8"/>
    <sheet name="Rag Coding" sheetId="3" state="hidden" r:id="rId9"/>
    <sheet name="Sheet2" sheetId="4" state="hidden" r:id="rId10"/>
    <sheet name="Head Office Buildings" sheetId="5" state="hidden" r:id="rId11"/>
    <sheet name="Project Managers &amp; FacOps Reps" sheetId="7" r:id="rId12"/>
    <sheet name="Resources Data" sheetId="18" r:id="rId13"/>
    <sheet name="Resources Planner" sheetId="20" r:id="rId14"/>
  </sheets>
  <definedNames>
    <definedName name="_xlnm._FilterDatabase" localSheetId="5" hidden="1">Archive!$A$2:$G$47</definedName>
    <definedName name="_xlnm._FilterDatabase" localSheetId="4" hidden="1">'Closed Projects (Stage Gate 6)'!$A$2:$S$43</definedName>
    <definedName name="_xlnm._FilterDatabase" localSheetId="0" hidden="1">'Dashboard Page'!$A$3:$N$37</definedName>
    <definedName name="_xlnm._FilterDatabase" localSheetId="2" hidden="1">'Health and Saftey'!$B$2:$R$63</definedName>
    <definedName name="_xlnm._FilterDatabase" localSheetId="3" hidden="1">'Stage Gate 5'!$A$1:$G$41</definedName>
    <definedName name="_xlnm._FilterDatabase" localSheetId="1" hidden="1">'Tracker Sheet'!$A$2:$G$40</definedName>
    <definedName name="_xlnm.Print_Area" localSheetId="0">'Dashboard Page'!$A$1:$P$28</definedName>
    <definedName name="_xlnm.Print_Titles" localSheetId="0">'Dashboard Page'!$1:$3</definedName>
  </definedNames>
  <calcPr calcId="145621"/>
</workbook>
</file>

<file path=xl/calcChain.xml><?xml version="1.0" encoding="utf-8"?>
<calcChain xmlns="http://schemas.openxmlformats.org/spreadsheetml/2006/main">
  <c r="BZ3" i="8" l="1"/>
  <c r="BW3" i="8"/>
  <c r="BY3" i="8" s="1"/>
  <c r="BU3" i="8"/>
  <c r="BV3" i="8" s="1"/>
  <c r="BS3" i="8"/>
  <c r="BT3" i="8" s="1"/>
  <c r="BQ3" i="8"/>
  <c r="BR3" i="8" s="1"/>
  <c r="BP3" i="8"/>
  <c r="BL3" i="8"/>
  <c r="BK3" i="8"/>
  <c r="BJ3" i="8"/>
  <c r="BC3" i="8"/>
  <c r="BB3" i="8"/>
  <c r="BA3" i="8"/>
  <c r="AY3" i="8"/>
  <c r="AR3" i="8"/>
  <c r="AS3" i="8" s="1"/>
  <c r="AQ3" i="8"/>
  <c r="AP3" i="8"/>
  <c r="AG3" i="8"/>
  <c r="AH3" i="8" s="1"/>
  <c r="AF3" i="8"/>
  <c r="AE3" i="8"/>
  <c r="V3" i="8"/>
  <c r="W3" i="8" s="1"/>
  <c r="U3" i="8"/>
  <c r="T3" i="8"/>
  <c r="K3" i="8"/>
  <c r="I3" i="8"/>
  <c r="L3" i="8" s="1"/>
  <c r="BZ5" i="8"/>
  <c r="BW5" i="8"/>
  <c r="BY5" i="8" s="1"/>
  <c r="BU5" i="8"/>
  <c r="BV5" i="8" s="1"/>
  <c r="BS5" i="8"/>
  <c r="BT5" i="8" s="1"/>
  <c r="BQ5" i="8"/>
  <c r="BR5" i="8" s="1"/>
  <c r="BP5" i="8"/>
  <c r="BL5" i="8"/>
  <c r="BK5" i="8"/>
  <c r="BJ5" i="8"/>
  <c r="BC5" i="8"/>
  <c r="BB5" i="8"/>
  <c r="BA5" i="8"/>
  <c r="AY5" i="8"/>
  <c r="AR5" i="8"/>
  <c r="AQ5" i="8"/>
  <c r="AP5" i="8"/>
  <c r="AG5" i="8"/>
  <c r="AF5" i="8"/>
  <c r="AE5" i="8"/>
  <c r="V5" i="8"/>
  <c r="U5" i="8"/>
  <c r="T5" i="8"/>
  <c r="K5" i="8"/>
  <c r="I5" i="8"/>
  <c r="L5" i="8" s="1"/>
  <c r="BZ4" i="8"/>
  <c r="BW4" i="8"/>
  <c r="BY4" i="8" s="1"/>
  <c r="BU4" i="8"/>
  <c r="BV4" i="8" s="1"/>
  <c r="BS4" i="8"/>
  <c r="BT4" i="8" s="1"/>
  <c r="BQ4" i="8"/>
  <c r="BR4" i="8" s="1"/>
  <c r="BP4" i="8"/>
  <c r="BL4" i="8"/>
  <c r="BK4" i="8"/>
  <c r="BJ4" i="8"/>
  <c r="BC4" i="8"/>
  <c r="BB4" i="8"/>
  <c r="BA4" i="8"/>
  <c r="AY4" i="8"/>
  <c r="AR4" i="8"/>
  <c r="AQ4" i="8"/>
  <c r="AP4" i="8"/>
  <c r="AG4" i="8"/>
  <c r="AF4" i="8"/>
  <c r="AE4" i="8"/>
  <c r="V4" i="8"/>
  <c r="U4" i="8"/>
  <c r="T4" i="8"/>
  <c r="K4" i="8"/>
  <c r="I4" i="8"/>
  <c r="L4" i="8" s="1"/>
  <c r="AH5" i="8" l="1"/>
  <c r="BD3" i="8"/>
  <c r="BO3" i="8"/>
  <c r="AH4" i="8"/>
  <c r="BX3" i="8"/>
  <c r="BD5" i="8"/>
  <c r="W4" i="8"/>
  <c r="W5" i="8"/>
  <c r="AS4" i="8"/>
  <c r="AS5" i="8"/>
  <c r="BX5" i="8"/>
  <c r="BD4" i="8"/>
  <c r="BO4" i="8" s="1"/>
  <c r="BX4" i="8"/>
  <c r="BO5" i="8" l="1"/>
  <c r="L2" i="18"/>
  <c r="L3" i="18"/>
  <c r="L4" i="18"/>
  <c r="L5" i="18"/>
  <c r="L6" i="18"/>
  <c r="F3" i="18"/>
  <c r="F4" i="18"/>
  <c r="F5" i="18"/>
  <c r="F6" i="18"/>
  <c r="F2" i="18"/>
  <c r="G2" i="18"/>
  <c r="AY6" i="8"/>
  <c r="AY7" i="8"/>
  <c r="AY8" i="8"/>
  <c r="AY9" i="8"/>
  <c r="AY10" i="8"/>
  <c r="AY11" i="8"/>
  <c r="L40" i="17" l="1"/>
  <c r="BZ33" i="8" l="1"/>
  <c r="BW33" i="8"/>
  <c r="BY33" i="8" s="1"/>
  <c r="BU33" i="8"/>
  <c r="BV33" i="8" s="1"/>
  <c r="BS33" i="8"/>
  <c r="BT33" i="8" s="1"/>
  <c r="BQ33" i="8"/>
  <c r="BR33" i="8" s="1"/>
  <c r="BP33" i="8"/>
  <c r="BL33" i="8"/>
  <c r="BJ33" i="8"/>
  <c r="BK33" i="8"/>
  <c r="BC33" i="8"/>
  <c r="BB33" i="8"/>
  <c r="BA33" i="8"/>
  <c r="AY33" i="8"/>
  <c r="AR33" i="8"/>
  <c r="AQ33" i="8"/>
  <c r="AP33" i="8"/>
  <c r="AG33" i="8"/>
  <c r="AF33" i="8"/>
  <c r="AE33" i="8"/>
  <c r="V33" i="8"/>
  <c r="U33" i="8"/>
  <c r="T33" i="8"/>
  <c r="K33" i="8"/>
  <c r="I33" i="8"/>
  <c r="L33" i="8" s="1"/>
  <c r="CA10" i="16"/>
  <c r="BX10" i="16"/>
  <c r="BY10" i="16" s="1"/>
  <c r="BV10" i="16"/>
  <c r="BW10" i="16" s="1"/>
  <c r="BT10" i="16"/>
  <c r="BU10" i="16" s="1"/>
  <c r="BR10" i="16"/>
  <c r="BS10" i="16" s="1"/>
  <c r="BZ32" i="8"/>
  <c r="BW32" i="8"/>
  <c r="BY32" i="8" s="1"/>
  <c r="BU32" i="8"/>
  <c r="BV32" i="8" s="1"/>
  <c r="BS32" i="8"/>
  <c r="BT32" i="8" s="1"/>
  <c r="BQ32" i="8"/>
  <c r="BR32" i="8" s="1"/>
  <c r="BP32" i="8"/>
  <c r="BL32" i="8"/>
  <c r="BJ32" i="8"/>
  <c r="BK32" i="8"/>
  <c r="BC32" i="8"/>
  <c r="BB32" i="8"/>
  <c r="BA32" i="8"/>
  <c r="AY32" i="8"/>
  <c r="AR32" i="8"/>
  <c r="AQ32" i="8"/>
  <c r="AP32" i="8"/>
  <c r="AG32" i="8"/>
  <c r="AF32" i="8"/>
  <c r="AE32" i="8"/>
  <c r="V32" i="8"/>
  <c r="U32" i="8"/>
  <c r="T32" i="8"/>
  <c r="K32" i="8"/>
  <c r="I32" i="8"/>
  <c r="L32" i="8" s="1"/>
  <c r="CA9" i="16"/>
  <c r="BV9" i="16"/>
  <c r="BW9" i="16" s="1"/>
  <c r="BT9" i="16"/>
  <c r="BU9" i="16" s="1"/>
  <c r="BR9" i="16"/>
  <c r="BS9" i="16" s="1"/>
  <c r="BZ31" i="8"/>
  <c r="BW31" i="8"/>
  <c r="BY31" i="8" s="1"/>
  <c r="BU31" i="8"/>
  <c r="BV31" i="8" s="1"/>
  <c r="BS31" i="8"/>
  <c r="BT31" i="8" s="1"/>
  <c r="BQ31" i="8"/>
  <c r="BR31" i="8" s="1"/>
  <c r="BP31" i="8"/>
  <c r="BL31" i="8"/>
  <c r="BJ31" i="8"/>
  <c r="BK31" i="8"/>
  <c r="BC31" i="8"/>
  <c r="BB31" i="8"/>
  <c r="BA31" i="8"/>
  <c r="AY31" i="8"/>
  <c r="AR31" i="8"/>
  <c r="AQ31" i="8"/>
  <c r="AP31" i="8"/>
  <c r="AG31" i="8"/>
  <c r="AF31" i="8"/>
  <c r="AE31" i="8"/>
  <c r="V31" i="8"/>
  <c r="U31" i="8"/>
  <c r="T31" i="8"/>
  <c r="K31" i="8"/>
  <c r="I31" i="8"/>
  <c r="L31" i="8" s="1"/>
  <c r="BZ30" i="8"/>
  <c r="BW30" i="8"/>
  <c r="BY30" i="8" s="1"/>
  <c r="BU30" i="8"/>
  <c r="BV30" i="8" s="1"/>
  <c r="BS30" i="8"/>
  <c r="BT30" i="8" s="1"/>
  <c r="BQ30" i="8"/>
  <c r="BR30" i="8" s="1"/>
  <c r="BP30" i="8"/>
  <c r="BL30" i="8"/>
  <c r="BJ30" i="8"/>
  <c r="BK30" i="8"/>
  <c r="BC30" i="8"/>
  <c r="BB30" i="8"/>
  <c r="BA30" i="8"/>
  <c r="AY30" i="8"/>
  <c r="AR30" i="8"/>
  <c r="AQ30" i="8"/>
  <c r="AP30" i="8"/>
  <c r="AG30" i="8"/>
  <c r="AF30" i="8"/>
  <c r="AE30" i="8"/>
  <c r="V30" i="8"/>
  <c r="U30" i="8"/>
  <c r="T30" i="8"/>
  <c r="K30" i="8"/>
  <c r="I30" i="8"/>
  <c r="L30" i="8" s="1"/>
  <c r="CA7" i="16"/>
  <c r="BX7" i="16"/>
  <c r="BZ7" i="16" s="1"/>
  <c r="BV7" i="16"/>
  <c r="BW7" i="16" s="1"/>
  <c r="BT7" i="16"/>
  <c r="BU7" i="16" s="1"/>
  <c r="BR7" i="16"/>
  <c r="BS7" i="16" s="1"/>
  <c r="CA8" i="16"/>
  <c r="BX8" i="16"/>
  <c r="BZ8" i="16" s="1"/>
  <c r="BV8" i="16"/>
  <c r="BW8" i="16" s="1"/>
  <c r="BT8" i="16"/>
  <c r="BU8" i="16" s="1"/>
  <c r="BR8" i="16"/>
  <c r="BS8" i="16" s="1"/>
  <c r="BZ29" i="8"/>
  <c r="BW29" i="8"/>
  <c r="BY29" i="8" s="1"/>
  <c r="BU29" i="8"/>
  <c r="BV29" i="8" s="1"/>
  <c r="BS29" i="8"/>
  <c r="BT29" i="8" s="1"/>
  <c r="BQ29" i="8"/>
  <c r="BR29" i="8" s="1"/>
  <c r="BP29" i="8"/>
  <c r="BL29" i="8"/>
  <c r="BJ29" i="8"/>
  <c r="BK29" i="8"/>
  <c r="BC29" i="8"/>
  <c r="BB29" i="8"/>
  <c r="BA29" i="8"/>
  <c r="AY29" i="8"/>
  <c r="AR29" i="8"/>
  <c r="AQ29" i="8"/>
  <c r="AP29" i="8"/>
  <c r="AG29" i="8"/>
  <c r="AF29" i="8"/>
  <c r="AE29" i="8"/>
  <c r="V29" i="8"/>
  <c r="U29" i="8"/>
  <c r="T29" i="8"/>
  <c r="K29" i="8"/>
  <c r="I29" i="8"/>
  <c r="L29" i="8" s="1"/>
  <c r="CA11" i="16"/>
  <c r="BX11" i="16"/>
  <c r="BY11" i="16" s="1"/>
  <c r="BV11" i="16"/>
  <c r="BW11" i="16" s="1"/>
  <c r="BT11" i="16"/>
  <c r="BU11" i="16" s="1"/>
  <c r="BR11" i="16"/>
  <c r="BS11" i="16" s="1"/>
  <c r="BX9" i="16" l="1"/>
  <c r="BZ9" i="16" s="1"/>
  <c r="BD33" i="8"/>
  <c r="W33" i="8"/>
  <c r="AS33" i="8"/>
  <c r="AH33" i="8"/>
  <c r="BX33" i="8"/>
  <c r="AS32" i="8"/>
  <c r="BZ10" i="16"/>
  <c r="AH32" i="8"/>
  <c r="W32" i="8"/>
  <c r="AH31" i="8"/>
  <c r="BD32" i="8"/>
  <c r="BX32" i="8"/>
  <c r="AS29" i="8"/>
  <c r="W30" i="8"/>
  <c r="W31" i="8"/>
  <c r="AS31" i="8"/>
  <c r="BD31" i="8"/>
  <c r="BX31" i="8"/>
  <c r="AS30" i="8"/>
  <c r="BD30" i="8"/>
  <c r="AH30" i="8"/>
  <c r="BX30" i="8"/>
  <c r="BY7" i="16"/>
  <c r="BY8" i="16"/>
  <c r="BX29" i="8"/>
  <c r="W29" i="8"/>
  <c r="BD29" i="8"/>
  <c r="AH29" i="8"/>
  <c r="BZ11" i="16"/>
  <c r="BZ28" i="8"/>
  <c r="BW28" i="8"/>
  <c r="BY28" i="8" s="1"/>
  <c r="BU28" i="8"/>
  <c r="BV28" i="8" s="1"/>
  <c r="BS28" i="8"/>
  <c r="BT28" i="8" s="1"/>
  <c r="BQ28" i="8"/>
  <c r="BR28" i="8" s="1"/>
  <c r="BP28" i="8"/>
  <c r="BL28" i="8"/>
  <c r="BJ28" i="8"/>
  <c r="BK28" i="8"/>
  <c r="BC28" i="8"/>
  <c r="BB28" i="8"/>
  <c r="BA28" i="8"/>
  <c r="AY28" i="8"/>
  <c r="AR28" i="8"/>
  <c r="AQ28" i="8"/>
  <c r="AP28" i="8"/>
  <c r="AG28" i="8"/>
  <c r="AF28" i="8"/>
  <c r="AE28" i="8"/>
  <c r="V28" i="8"/>
  <c r="U28" i="8"/>
  <c r="T28" i="8"/>
  <c r="K28" i="8"/>
  <c r="I28" i="8"/>
  <c r="L28" i="8" s="1"/>
  <c r="BZ27" i="8"/>
  <c r="BW27" i="8"/>
  <c r="BY27" i="8" s="1"/>
  <c r="BU27" i="8"/>
  <c r="BV27" i="8" s="1"/>
  <c r="BS27" i="8"/>
  <c r="BT27" i="8" s="1"/>
  <c r="BQ27" i="8"/>
  <c r="BR27" i="8" s="1"/>
  <c r="BP27" i="8"/>
  <c r="BL27" i="8"/>
  <c r="BJ27" i="8"/>
  <c r="BK27" i="8"/>
  <c r="BC27" i="8"/>
  <c r="BB27" i="8"/>
  <c r="BA27" i="8"/>
  <c r="AY27" i="8"/>
  <c r="AR27" i="8"/>
  <c r="AQ27" i="8"/>
  <c r="AP27" i="8"/>
  <c r="AG27" i="8"/>
  <c r="AF27" i="8"/>
  <c r="AE27" i="8"/>
  <c r="V27" i="8"/>
  <c r="U27" i="8"/>
  <c r="T27" i="8"/>
  <c r="K27" i="8"/>
  <c r="I27" i="8"/>
  <c r="L27" i="8" s="1"/>
  <c r="BZ26" i="8"/>
  <c r="BW26" i="8"/>
  <c r="BY26" i="8" s="1"/>
  <c r="BU26" i="8"/>
  <c r="BV26" i="8" s="1"/>
  <c r="BS26" i="8"/>
  <c r="BT26" i="8" s="1"/>
  <c r="BQ26" i="8"/>
  <c r="BR26" i="8" s="1"/>
  <c r="BP26" i="8"/>
  <c r="BL26" i="8"/>
  <c r="BJ26" i="8"/>
  <c r="BK26" i="8"/>
  <c r="BC26" i="8"/>
  <c r="BB26" i="8"/>
  <c r="BA26" i="8"/>
  <c r="AY26" i="8"/>
  <c r="AR26" i="8"/>
  <c r="AQ26" i="8"/>
  <c r="AP26" i="8"/>
  <c r="AG26" i="8"/>
  <c r="AF26" i="8"/>
  <c r="AE26" i="8"/>
  <c r="V26" i="8"/>
  <c r="U26" i="8"/>
  <c r="T26" i="8"/>
  <c r="K26" i="8"/>
  <c r="I26" i="8"/>
  <c r="L26" i="8" s="1"/>
  <c r="BZ25" i="8"/>
  <c r="BW25" i="8"/>
  <c r="BX25" i="8" s="1"/>
  <c r="BU25" i="8"/>
  <c r="BV25" i="8" s="1"/>
  <c r="BS25" i="8"/>
  <c r="BT25" i="8" s="1"/>
  <c r="BQ25" i="8"/>
  <c r="BR25" i="8" s="1"/>
  <c r="BP25" i="8"/>
  <c r="BL25" i="8"/>
  <c r="BJ25" i="8"/>
  <c r="BK25" i="8"/>
  <c r="BC25" i="8"/>
  <c r="BB25" i="8"/>
  <c r="BA25" i="8"/>
  <c r="AY25" i="8"/>
  <c r="AR25" i="8"/>
  <c r="AQ25" i="8"/>
  <c r="AP25" i="8"/>
  <c r="AG25" i="8"/>
  <c r="AF25" i="8"/>
  <c r="AE25" i="8"/>
  <c r="V25" i="8"/>
  <c r="U25" i="8"/>
  <c r="T25" i="8"/>
  <c r="K25" i="8"/>
  <c r="I25" i="8"/>
  <c r="L25" i="8" s="1"/>
  <c r="BO32" i="8" l="1"/>
  <c r="BY9" i="16"/>
  <c r="BO33" i="8"/>
  <c r="BO31" i="8"/>
  <c r="BO30" i="8"/>
  <c r="BO29" i="8"/>
  <c r="W28" i="8"/>
  <c r="AS28" i="8"/>
  <c r="BD28" i="8"/>
  <c r="AH28" i="8"/>
  <c r="W27" i="8"/>
  <c r="BX28" i="8"/>
  <c r="AS27" i="8"/>
  <c r="BD27" i="8"/>
  <c r="AH27" i="8"/>
  <c r="BX27" i="8"/>
  <c r="AS26" i="8"/>
  <c r="BD26" i="8"/>
  <c r="W26" i="8"/>
  <c r="AS25" i="8"/>
  <c r="AH26" i="8"/>
  <c r="AH25" i="8"/>
  <c r="W25" i="8"/>
  <c r="BX26" i="8"/>
  <c r="BD25" i="8"/>
  <c r="BY25" i="8"/>
  <c r="BZ24" i="8"/>
  <c r="BU24" i="8"/>
  <c r="BV24" i="8" s="1"/>
  <c r="BS24" i="8"/>
  <c r="BT24" i="8" s="1"/>
  <c r="BQ24" i="8"/>
  <c r="BR24" i="8" s="1"/>
  <c r="BP24" i="8"/>
  <c r="BJ24" i="8"/>
  <c r="BK24" i="8"/>
  <c r="BC24" i="8"/>
  <c r="BB24" i="8"/>
  <c r="BA24" i="8"/>
  <c r="AY24" i="8"/>
  <c r="AR24" i="8"/>
  <c r="AQ24" i="8"/>
  <c r="AP24" i="8"/>
  <c r="AG24" i="8"/>
  <c r="AF24" i="8"/>
  <c r="AE24" i="8"/>
  <c r="V24" i="8"/>
  <c r="U24" i="8"/>
  <c r="T24" i="8"/>
  <c r="K24" i="8"/>
  <c r="I24" i="8"/>
  <c r="L24" i="8" s="1"/>
  <c r="BW24" i="8" l="1"/>
  <c r="BY24" i="8" s="1"/>
  <c r="BO28" i="8"/>
  <c r="BL24" i="8"/>
  <c r="BO27" i="8"/>
  <c r="BO25" i="8"/>
  <c r="BO26" i="8"/>
  <c r="AS24" i="8"/>
  <c r="AH24" i="8"/>
  <c r="W24" i="8"/>
  <c r="BD24" i="8"/>
  <c r="E4" i="12"/>
  <c r="D4" i="12"/>
  <c r="D3" i="12"/>
  <c r="D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16" i="12"/>
  <c r="D15" i="12"/>
  <c r="D13" i="12"/>
  <c r="D26" i="12"/>
  <c r="D5" i="12"/>
  <c r="D14" i="12"/>
  <c r="D10" i="12"/>
  <c r="D6" i="12"/>
  <c r="D17" i="12"/>
  <c r="D7" i="12"/>
  <c r="D9" i="12"/>
  <c r="D8" i="12"/>
  <c r="D25" i="12"/>
  <c r="D24" i="12"/>
  <c r="D11" i="12"/>
  <c r="D23" i="12"/>
  <c r="D12" i="12"/>
  <c r="D22" i="12"/>
  <c r="D21" i="12"/>
  <c r="D20" i="12"/>
  <c r="D19" i="12"/>
  <c r="D18" i="12"/>
  <c r="C4" i="12"/>
  <c r="C3" i="12"/>
  <c r="C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16" i="12"/>
  <c r="C15" i="12"/>
  <c r="C13" i="12"/>
  <c r="C26" i="12"/>
  <c r="C5" i="12"/>
  <c r="C14" i="12"/>
  <c r="C10" i="12"/>
  <c r="C6" i="12"/>
  <c r="C17" i="12"/>
  <c r="C7" i="12"/>
  <c r="C9" i="12"/>
  <c r="C8" i="12"/>
  <c r="C25" i="12"/>
  <c r="C24" i="12"/>
  <c r="C11" i="12"/>
  <c r="C23" i="12"/>
  <c r="C12" i="12"/>
  <c r="C22" i="12"/>
  <c r="C21" i="12"/>
  <c r="C20" i="12"/>
  <c r="C19" i="12"/>
  <c r="C18" i="12"/>
  <c r="B4" i="12"/>
  <c r="B3" i="12"/>
  <c r="B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16" i="12"/>
  <c r="B15" i="12"/>
  <c r="B13" i="12"/>
  <c r="B26" i="12"/>
  <c r="B5" i="12"/>
  <c r="B14" i="12"/>
  <c r="B10" i="12"/>
  <c r="B6" i="12"/>
  <c r="B17" i="12"/>
  <c r="B7" i="12"/>
  <c r="B9" i="12"/>
  <c r="B8" i="12"/>
  <c r="B25" i="12"/>
  <c r="B24" i="12"/>
  <c r="B11" i="12"/>
  <c r="B23" i="12"/>
  <c r="B12" i="12"/>
  <c r="B22" i="12"/>
  <c r="B21" i="12"/>
  <c r="B20" i="12"/>
  <c r="B19" i="12"/>
  <c r="B18" i="12"/>
  <c r="A4" i="12"/>
  <c r="A3" i="12"/>
  <c r="A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16" i="12"/>
  <c r="A15" i="12"/>
  <c r="A13" i="12"/>
  <c r="A26" i="12"/>
  <c r="A5" i="12"/>
  <c r="A14" i="12"/>
  <c r="A10" i="12"/>
  <c r="A6" i="12"/>
  <c r="A17" i="12"/>
  <c r="A7" i="12"/>
  <c r="A9" i="12"/>
  <c r="A8" i="12"/>
  <c r="A25" i="12"/>
  <c r="A24" i="12"/>
  <c r="A11" i="12"/>
  <c r="A23" i="12"/>
  <c r="A12" i="12"/>
  <c r="A22" i="12"/>
  <c r="A21" i="12"/>
  <c r="A20" i="12"/>
  <c r="A19" i="12"/>
  <c r="A18" i="1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X24" i="8" l="1"/>
  <c r="BO24" i="8"/>
  <c r="E34" i="12"/>
  <c r="E35" i="12"/>
  <c r="E33" i="12"/>
  <c r="BZ38" i="8" l="1"/>
  <c r="BW38" i="8"/>
  <c r="BY38" i="8" s="1"/>
  <c r="BU38" i="8"/>
  <c r="BV38" i="8" s="1"/>
  <c r="BS38" i="8"/>
  <c r="BT38" i="8" s="1"/>
  <c r="BQ38" i="8"/>
  <c r="BR38" i="8" s="1"/>
  <c r="BP38" i="8"/>
  <c r="BL38" i="8"/>
  <c r="BJ38" i="8"/>
  <c r="BK38" i="8"/>
  <c r="BC38" i="8"/>
  <c r="BB38" i="8"/>
  <c r="BA38" i="8"/>
  <c r="AY38" i="8"/>
  <c r="AR38" i="8"/>
  <c r="AQ38" i="8"/>
  <c r="AP38" i="8"/>
  <c r="AG38" i="8"/>
  <c r="AF38" i="8"/>
  <c r="AE38" i="8"/>
  <c r="V38" i="8"/>
  <c r="U38" i="8"/>
  <c r="T38" i="8"/>
  <c r="K38" i="8"/>
  <c r="I38" i="8"/>
  <c r="L38" i="8" s="1"/>
  <c r="G3" i="18"/>
  <c r="G4" i="18"/>
  <c r="G5" i="18"/>
  <c r="G6" i="18"/>
  <c r="E3" i="18"/>
  <c r="E4" i="18"/>
  <c r="E5" i="18"/>
  <c r="E6" i="18"/>
  <c r="E2" i="18"/>
  <c r="BZ34" i="8"/>
  <c r="BW34" i="8"/>
  <c r="BU34" i="8"/>
  <c r="BS34" i="8"/>
  <c r="BQ34" i="8"/>
  <c r="BP34" i="8"/>
  <c r="BL34" i="8"/>
  <c r="BJ34" i="8"/>
  <c r="BK34" i="8"/>
  <c r="BC34" i="8"/>
  <c r="BB34" i="8"/>
  <c r="BA34" i="8"/>
  <c r="AY34" i="8"/>
  <c r="AR34" i="8"/>
  <c r="AQ34" i="8"/>
  <c r="AP34" i="8"/>
  <c r="AG34" i="8"/>
  <c r="AF34" i="8"/>
  <c r="AE34" i="8"/>
  <c r="V34" i="8"/>
  <c r="U34" i="8"/>
  <c r="T34" i="8"/>
  <c r="K34" i="8"/>
  <c r="C35" i="2" s="1"/>
  <c r="I34" i="8"/>
  <c r="L34" i="8" s="1"/>
  <c r="F35" i="12"/>
  <c r="E36" i="12" l="1"/>
  <c r="W34" i="8"/>
  <c r="AS38" i="8"/>
  <c r="BD34" i="8"/>
  <c r="BR34" i="8"/>
  <c r="D35" i="2"/>
  <c r="BY34" i="8"/>
  <c r="H35" i="2" s="1"/>
  <c r="G35" i="2"/>
  <c r="BT34" i="8"/>
  <c r="E35" i="2"/>
  <c r="BV34" i="8"/>
  <c r="F35" i="2"/>
  <c r="AH38" i="8"/>
  <c r="W38" i="8"/>
  <c r="BD38" i="8"/>
  <c r="BX38" i="8"/>
  <c r="AS34" i="8"/>
  <c r="AH34" i="8"/>
  <c r="BX34" i="8"/>
  <c r="BO38" i="8" l="1"/>
  <c r="BO34" i="8"/>
  <c r="AY22" i="8" l="1"/>
  <c r="I23" i="8" l="1"/>
  <c r="BZ6" i="8" l="1"/>
  <c r="BZ7" i="8"/>
  <c r="BZ8" i="8"/>
  <c r="BZ9" i="8"/>
  <c r="BZ10" i="8"/>
  <c r="BZ11" i="8"/>
  <c r="BZ12" i="8"/>
  <c r="BZ13" i="8"/>
  <c r="BZ14" i="8"/>
  <c r="BZ15" i="8"/>
  <c r="BZ16" i="8"/>
  <c r="BZ17" i="8"/>
  <c r="BZ18" i="8"/>
  <c r="BZ19" i="8"/>
  <c r="BZ20" i="8"/>
  <c r="BZ21" i="8"/>
  <c r="BZ22" i="8"/>
  <c r="BZ23" i="8"/>
  <c r="BZ35" i="8"/>
  <c r="BZ36" i="8"/>
  <c r="BZ37" i="8"/>
  <c r="BZ39" i="8"/>
  <c r="BZ40" i="8"/>
  <c r="I11" i="8" l="1"/>
  <c r="H1" i="3"/>
  <c r="H2" i="3"/>
  <c r="D2" i="18"/>
  <c r="C2" i="18" s="1"/>
  <c r="D3" i="18" l="1"/>
  <c r="C3" i="18" s="1"/>
  <c r="D4" i="18"/>
  <c r="C4" i="18" s="1"/>
  <c r="D5" i="18"/>
  <c r="C5" i="18" s="1"/>
  <c r="D6" i="18"/>
  <c r="C6" i="18" s="1"/>
  <c r="K11" i="8" l="1"/>
  <c r="L11" i="8"/>
  <c r="C29" i="2"/>
  <c r="C34" i="2"/>
  <c r="K35" i="8"/>
  <c r="K36" i="8"/>
  <c r="K37" i="8"/>
  <c r="K39" i="8"/>
  <c r="K40" i="8"/>
  <c r="K41" i="17"/>
  <c r="M41" i="17" s="1"/>
  <c r="M40" i="17"/>
  <c r="K39" i="17"/>
  <c r="M39" i="17" s="1"/>
  <c r="K38" i="17"/>
  <c r="M38" i="17" s="1"/>
  <c r="K37" i="17"/>
  <c r="M37" i="17" s="1"/>
  <c r="K36" i="17"/>
  <c r="M36" i="17" s="1"/>
  <c r="K35" i="17"/>
  <c r="K34" i="17"/>
  <c r="M34" i="17" s="1"/>
  <c r="K33" i="17"/>
  <c r="M33" i="17" s="1"/>
  <c r="K32" i="17"/>
  <c r="M32" i="17" s="1"/>
  <c r="K31" i="17"/>
  <c r="M31" i="17" s="1"/>
  <c r="K30" i="17"/>
  <c r="M30" i="17" s="1"/>
  <c r="K29" i="17"/>
  <c r="M29" i="17" s="1"/>
  <c r="K28" i="17"/>
  <c r="M28" i="17" s="1"/>
  <c r="K27" i="17"/>
  <c r="M27" i="17" s="1"/>
  <c r="K26" i="17"/>
  <c r="M26" i="17" s="1"/>
  <c r="K25" i="17"/>
  <c r="M25" i="17" s="1"/>
  <c r="K24" i="17"/>
  <c r="M24" i="17" s="1"/>
  <c r="K23" i="17"/>
  <c r="M23" i="17" s="1"/>
  <c r="K22" i="17"/>
  <c r="M22" i="17" s="1"/>
  <c r="K21" i="17"/>
  <c r="M21" i="17" s="1"/>
  <c r="K20" i="17"/>
  <c r="M20" i="17" s="1"/>
  <c r="K19" i="17"/>
  <c r="M19" i="17" s="1"/>
  <c r="M42" i="17"/>
  <c r="M35" i="17"/>
  <c r="C31" i="2" l="1"/>
  <c r="C30" i="2"/>
  <c r="C33" i="2"/>
  <c r="C32" i="2"/>
  <c r="I21" i="8" l="1"/>
  <c r="L21" i="8" l="1"/>
  <c r="K21" i="8"/>
  <c r="I22" i="8" l="1"/>
  <c r="I20" i="8"/>
  <c r="I19" i="8"/>
  <c r="I18" i="8"/>
  <c r="I17" i="8"/>
  <c r="I16" i="8"/>
  <c r="I15" i="8"/>
  <c r="I14" i="8"/>
  <c r="I13" i="8"/>
  <c r="I12" i="8"/>
  <c r="I10" i="8"/>
  <c r="I9" i="8"/>
  <c r="I8" i="8"/>
  <c r="I7" i="8"/>
  <c r="I6" i="8"/>
  <c r="I40" i="8"/>
  <c r="L40" i="8" s="1"/>
  <c r="I39" i="8"/>
  <c r="L39" i="8" s="1"/>
  <c r="I37" i="8"/>
  <c r="L37" i="8" s="1"/>
  <c r="I36" i="8"/>
  <c r="L36" i="8" s="1"/>
  <c r="I35" i="8"/>
  <c r="L35" i="8" s="1"/>
  <c r="L23" i="8" l="1"/>
  <c r="K23" i="8"/>
  <c r="C28" i="2" s="1"/>
  <c r="L10" i="8"/>
  <c r="K10" i="8"/>
  <c r="L14" i="8"/>
  <c r="K14" i="8"/>
  <c r="L20" i="8"/>
  <c r="K20" i="8"/>
  <c r="L7" i="8"/>
  <c r="K7" i="8"/>
  <c r="L12" i="8"/>
  <c r="K12" i="8"/>
  <c r="C13" i="2" s="1"/>
  <c r="L15" i="8"/>
  <c r="K15" i="8"/>
  <c r="C16" i="2" s="1"/>
  <c r="L8" i="8"/>
  <c r="K8" i="8"/>
  <c r="L13" i="8"/>
  <c r="K13" i="8"/>
  <c r="C14" i="2" s="1"/>
  <c r="L16" i="8"/>
  <c r="K16" i="8"/>
  <c r="L18" i="8"/>
  <c r="K18" i="8"/>
  <c r="L9" i="8"/>
  <c r="K9" i="8"/>
  <c r="C10" i="2" s="1"/>
  <c r="L17" i="8"/>
  <c r="K17" i="8"/>
  <c r="C18" i="2" s="1"/>
  <c r="L19" i="8"/>
  <c r="K19" i="8"/>
  <c r="C22" i="2" s="1"/>
  <c r="L6" i="8"/>
  <c r="K6" i="8"/>
  <c r="C6" i="2"/>
  <c r="C5" i="2"/>
  <c r="L22" i="8"/>
  <c r="K22" i="8"/>
  <c r="C4" i="2" l="1"/>
  <c r="C19" i="2"/>
  <c r="C25" i="2"/>
  <c r="C15" i="2"/>
  <c r="C7" i="2"/>
  <c r="C8" i="2"/>
  <c r="C17" i="2"/>
  <c r="C9" i="2"/>
  <c r="C11" i="2"/>
  <c r="C12" i="2"/>
  <c r="C23" i="2"/>
  <c r="C21" i="2"/>
  <c r="C24" i="2"/>
  <c r="C20" i="2"/>
  <c r="C27" i="2"/>
  <c r="C26" i="2"/>
  <c r="BX47" i="16" l="1"/>
  <c r="BY47" i="16" s="1"/>
  <c r="BV47" i="16"/>
  <c r="BW47" i="16" s="1"/>
  <c r="BT47" i="16"/>
  <c r="BU47" i="16" s="1"/>
  <c r="BR47" i="16"/>
  <c r="BS47" i="16" s="1"/>
  <c r="BX46" i="16"/>
  <c r="BZ46" i="16" s="1"/>
  <c r="BV46" i="16"/>
  <c r="BW46" i="16" s="1"/>
  <c r="BT46" i="16"/>
  <c r="BU46" i="16" s="1"/>
  <c r="BR46" i="16"/>
  <c r="BS46" i="16" s="1"/>
  <c r="BX45" i="16"/>
  <c r="BZ45" i="16" s="1"/>
  <c r="BV45" i="16"/>
  <c r="BW45" i="16" s="1"/>
  <c r="BT45" i="16"/>
  <c r="BU45" i="16" s="1"/>
  <c r="BR45" i="16"/>
  <c r="BS45" i="16" s="1"/>
  <c r="BX44" i="16"/>
  <c r="BZ44" i="16" s="1"/>
  <c r="BV44" i="16"/>
  <c r="BW44" i="16" s="1"/>
  <c r="BT44" i="16"/>
  <c r="BU44" i="16" s="1"/>
  <c r="BR44" i="16"/>
  <c r="BS44" i="16" s="1"/>
  <c r="BX43" i="16"/>
  <c r="BZ43" i="16" s="1"/>
  <c r="BV43" i="16"/>
  <c r="BW43" i="16" s="1"/>
  <c r="BT43" i="16"/>
  <c r="BU43" i="16" s="1"/>
  <c r="BR43" i="16"/>
  <c r="BS43" i="16" s="1"/>
  <c r="BX42" i="16"/>
  <c r="BZ42" i="16" s="1"/>
  <c r="BV42" i="16"/>
  <c r="BW42" i="16" s="1"/>
  <c r="BT42" i="16"/>
  <c r="BU42" i="16" s="1"/>
  <c r="BR42" i="16"/>
  <c r="BS42" i="16" s="1"/>
  <c r="BX41" i="16"/>
  <c r="BZ41" i="16" s="1"/>
  <c r="BV41" i="16"/>
  <c r="BW41" i="16" s="1"/>
  <c r="BT41" i="16"/>
  <c r="BU41" i="16" s="1"/>
  <c r="BR41" i="16"/>
  <c r="BS41" i="16" s="1"/>
  <c r="BX40" i="16"/>
  <c r="BZ40" i="16" s="1"/>
  <c r="BV40" i="16"/>
  <c r="BW40" i="16" s="1"/>
  <c r="BT40" i="16"/>
  <c r="BU40" i="16" s="1"/>
  <c r="BR40" i="16"/>
  <c r="BS40" i="16" s="1"/>
  <c r="BX39" i="16"/>
  <c r="BY39" i="16" s="1"/>
  <c r="BV39" i="16"/>
  <c r="BW39" i="16" s="1"/>
  <c r="BT39" i="16"/>
  <c r="BU39" i="16" s="1"/>
  <c r="BR39" i="16"/>
  <c r="BS39" i="16" s="1"/>
  <c r="BX38" i="16"/>
  <c r="BZ38" i="16" s="1"/>
  <c r="BV38" i="16"/>
  <c r="BW38" i="16" s="1"/>
  <c r="BT38" i="16"/>
  <c r="BU38" i="16" s="1"/>
  <c r="BR38" i="16"/>
  <c r="BS38" i="16" s="1"/>
  <c r="BX37" i="16"/>
  <c r="BZ37" i="16" s="1"/>
  <c r="BV37" i="16"/>
  <c r="BW37" i="16" s="1"/>
  <c r="BT37" i="16"/>
  <c r="BU37" i="16" s="1"/>
  <c r="BR37" i="16"/>
  <c r="BS37" i="16" s="1"/>
  <c r="BX36" i="16"/>
  <c r="BZ36" i="16" s="1"/>
  <c r="BV36" i="16"/>
  <c r="BW36" i="16" s="1"/>
  <c r="BT36" i="16"/>
  <c r="BU36" i="16" s="1"/>
  <c r="BR36" i="16"/>
  <c r="BS36" i="16" s="1"/>
  <c r="BX35" i="16"/>
  <c r="BZ35" i="16" s="1"/>
  <c r="BV35" i="16"/>
  <c r="BW35" i="16" s="1"/>
  <c r="BT35" i="16"/>
  <c r="BU35" i="16" s="1"/>
  <c r="BR35" i="16"/>
  <c r="BS35" i="16" s="1"/>
  <c r="BX34" i="16"/>
  <c r="BZ34" i="16" s="1"/>
  <c r="BV34" i="16"/>
  <c r="BW34" i="16" s="1"/>
  <c r="BT34" i="16"/>
  <c r="BU34" i="16" s="1"/>
  <c r="BR34" i="16"/>
  <c r="BS34" i="16" s="1"/>
  <c r="BX33" i="16"/>
  <c r="BZ33" i="16" s="1"/>
  <c r="BV33" i="16"/>
  <c r="BW33" i="16" s="1"/>
  <c r="BT33" i="16"/>
  <c r="BU33" i="16" s="1"/>
  <c r="BR33" i="16"/>
  <c r="BS33" i="16" s="1"/>
  <c r="BX32" i="16"/>
  <c r="BZ32" i="16" s="1"/>
  <c r="BV32" i="16"/>
  <c r="BW32" i="16" s="1"/>
  <c r="BT32" i="16"/>
  <c r="BU32" i="16" s="1"/>
  <c r="BR32" i="16"/>
  <c r="BS32" i="16" s="1"/>
  <c r="BX31" i="16"/>
  <c r="BY31" i="16" s="1"/>
  <c r="BV31" i="16"/>
  <c r="BW31" i="16" s="1"/>
  <c r="BT31" i="16"/>
  <c r="BU31" i="16" s="1"/>
  <c r="BR31" i="16"/>
  <c r="BS31" i="16" s="1"/>
  <c r="BX30" i="16"/>
  <c r="BZ30" i="16" s="1"/>
  <c r="BV30" i="16"/>
  <c r="BW30" i="16" s="1"/>
  <c r="BT30" i="16"/>
  <c r="BU30" i="16" s="1"/>
  <c r="BR30" i="16"/>
  <c r="BS30" i="16" s="1"/>
  <c r="BX29" i="16"/>
  <c r="BZ29" i="16" s="1"/>
  <c r="BV29" i="16"/>
  <c r="BW29" i="16" s="1"/>
  <c r="BT29" i="16"/>
  <c r="BU29" i="16" s="1"/>
  <c r="BR29" i="16"/>
  <c r="BS29" i="16" s="1"/>
  <c r="BX28" i="16"/>
  <c r="BZ28" i="16" s="1"/>
  <c r="BV28" i="16"/>
  <c r="BW28" i="16" s="1"/>
  <c r="BT28" i="16"/>
  <c r="BU28" i="16" s="1"/>
  <c r="BR28" i="16"/>
  <c r="BS28" i="16" s="1"/>
  <c r="BX27" i="16"/>
  <c r="BY27" i="16" s="1"/>
  <c r="BV27" i="16"/>
  <c r="BW27" i="16" s="1"/>
  <c r="BT27" i="16"/>
  <c r="BU27" i="16" s="1"/>
  <c r="BR27" i="16"/>
  <c r="BS27" i="16" s="1"/>
  <c r="BX26" i="16"/>
  <c r="BZ26" i="16" s="1"/>
  <c r="BV26" i="16"/>
  <c r="BW26" i="16" s="1"/>
  <c r="BT26" i="16"/>
  <c r="BU26" i="16" s="1"/>
  <c r="BR26" i="16"/>
  <c r="BS26" i="16" s="1"/>
  <c r="BX25" i="16"/>
  <c r="BZ25" i="16" s="1"/>
  <c r="BV25" i="16"/>
  <c r="BW25" i="16" s="1"/>
  <c r="BT25" i="16"/>
  <c r="BU25" i="16" s="1"/>
  <c r="BR25" i="16"/>
  <c r="BS25" i="16" s="1"/>
  <c r="BX24" i="16"/>
  <c r="BY24" i="16" s="1"/>
  <c r="BV24" i="16"/>
  <c r="BW24" i="16" s="1"/>
  <c r="BT24" i="16"/>
  <c r="BU24" i="16" s="1"/>
  <c r="BR24" i="16"/>
  <c r="BS24" i="16" s="1"/>
  <c r="BX23" i="16"/>
  <c r="BY23" i="16" s="1"/>
  <c r="BV23" i="16"/>
  <c r="BW23" i="16" s="1"/>
  <c r="BT23" i="16"/>
  <c r="BU23" i="16" s="1"/>
  <c r="BR23" i="16"/>
  <c r="BS23" i="16" s="1"/>
  <c r="BX22" i="16"/>
  <c r="BZ22" i="16" s="1"/>
  <c r="BV22" i="16"/>
  <c r="BW22" i="16" s="1"/>
  <c r="BT22" i="16"/>
  <c r="BU22" i="16" s="1"/>
  <c r="BR22" i="16"/>
  <c r="BS22" i="16" s="1"/>
  <c r="BX21" i="16"/>
  <c r="BZ21" i="16" s="1"/>
  <c r="BV21" i="16"/>
  <c r="BW21" i="16" s="1"/>
  <c r="BT21" i="16"/>
  <c r="BU21" i="16" s="1"/>
  <c r="BR21" i="16"/>
  <c r="BS21" i="16" s="1"/>
  <c r="BX20" i="16"/>
  <c r="BZ20" i="16" s="1"/>
  <c r="BV20" i="16"/>
  <c r="BW20" i="16" s="1"/>
  <c r="BT20" i="16"/>
  <c r="BU20" i="16" s="1"/>
  <c r="BR20" i="16"/>
  <c r="BS20" i="16" s="1"/>
  <c r="BX19" i="16"/>
  <c r="BY19" i="16" s="1"/>
  <c r="BV19" i="16"/>
  <c r="BW19" i="16" s="1"/>
  <c r="BT19" i="16"/>
  <c r="BU19" i="16" s="1"/>
  <c r="BR19" i="16"/>
  <c r="BS19" i="16" s="1"/>
  <c r="BX18" i="16"/>
  <c r="BZ18" i="16" s="1"/>
  <c r="BV18" i="16"/>
  <c r="BW18" i="16" s="1"/>
  <c r="BT18" i="16"/>
  <c r="BU18" i="16" s="1"/>
  <c r="BR18" i="16"/>
  <c r="BS18" i="16" s="1"/>
  <c r="BX17" i="16"/>
  <c r="BY17" i="16" s="1"/>
  <c r="BV17" i="16"/>
  <c r="BW17" i="16" s="1"/>
  <c r="BT17" i="16"/>
  <c r="BU17" i="16" s="1"/>
  <c r="BR17" i="16"/>
  <c r="BS17" i="16" s="1"/>
  <c r="BX16" i="16"/>
  <c r="BZ16" i="16" s="1"/>
  <c r="BV16" i="16"/>
  <c r="BW16" i="16" s="1"/>
  <c r="BT16" i="16"/>
  <c r="BU16" i="16" s="1"/>
  <c r="BR16" i="16"/>
  <c r="BS16" i="16" s="1"/>
  <c r="BX15" i="16"/>
  <c r="BY15" i="16" s="1"/>
  <c r="BV15" i="16"/>
  <c r="BW15" i="16" s="1"/>
  <c r="BT15" i="16"/>
  <c r="BU15" i="16" s="1"/>
  <c r="BR15" i="16"/>
  <c r="BS15" i="16" s="1"/>
  <c r="BX14" i="16"/>
  <c r="BZ14" i="16" s="1"/>
  <c r="BV14" i="16"/>
  <c r="BW14" i="16" s="1"/>
  <c r="BT14" i="16"/>
  <c r="BU14" i="16" s="1"/>
  <c r="BR14" i="16"/>
  <c r="BS14" i="16" s="1"/>
  <c r="BX13" i="16"/>
  <c r="BZ13" i="16" s="1"/>
  <c r="BV13" i="16"/>
  <c r="BW13" i="16" s="1"/>
  <c r="BT13" i="16"/>
  <c r="BU13" i="16" s="1"/>
  <c r="BR13" i="16"/>
  <c r="BS13" i="16" s="1"/>
  <c r="BX12" i="16"/>
  <c r="BZ12" i="16" s="1"/>
  <c r="BV12" i="16"/>
  <c r="BW12" i="16" s="1"/>
  <c r="BT12" i="16"/>
  <c r="BU12" i="16" s="1"/>
  <c r="BR12" i="16"/>
  <c r="BS12" i="16" s="1"/>
  <c r="BY16" i="16" l="1"/>
  <c r="BZ47" i="16"/>
  <c r="BY28" i="16"/>
  <c r="BY32" i="16"/>
  <c r="BY12" i="16"/>
  <c r="BZ24" i="16"/>
  <c r="BY20" i="16"/>
  <c r="BY40" i="16"/>
  <c r="BY36" i="16"/>
  <c r="BZ19" i="16"/>
  <c r="BZ27" i="16"/>
  <c r="BZ39" i="16"/>
  <c r="BY44" i="16"/>
  <c r="BZ15" i="16"/>
  <c r="BZ23" i="16"/>
  <c r="BZ31" i="16"/>
  <c r="BY29" i="16"/>
  <c r="BY35" i="16"/>
  <c r="BY37" i="16"/>
  <c r="BY43" i="16"/>
  <c r="BY45" i="16"/>
  <c r="BY25" i="16"/>
  <c r="BY33" i="16"/>
  <c r="BY41" i="16"/>
  <c r="BY13" i="16"/>
  <c r="BY21" i="16"/>
  <c r="BY14" i="16"/>
  <c r="BZ17" i="16"/>
  <c r="BY18" i="16"/>
  <c r="BY22" i="16"/>
  <c r="BY26" i="16"/>
  <c r="BY30" i="16"/>
  <c r="BY34" i="16"/>
  <c r="BY38" i="16"/>
  <c r="BY42" i="16"/>
  <c r="BY46" i="16"/>
  <c r="E19" i="12" l="1"/>
  <c r="E20" i="12" l="1"/>
  <c r="E18" i="12" l="1"/>
  <c r="BW6" i="8" l="1"/>
  <c r="BW9" i="8"/>
  <c r="BW11" i="8"/>
  <c r="BW12" i="8"/>
  <c r="G13" i="2" s="1"/>
  <c r="BW20" i="8"/>
  <c r="BW23" i="8"/>
  <c r="G28" i="2" s="1"/>
  <c r="G34" i="2"/>
  <c r="BW35" i="8"/>
  <c r="BW36" i="8"/>
  <c r="BW37" i="8"/>
  <c r="BW39" i="8"/>
  <c r="BW40" i="8"/>
  <c r="G7" i="2" l="1"/>
  <c r="G29" i="2"/>
  <c r="G31" i="2"/>
  <c r="G30" i="2"/>
  <c r="G33" i="2"/>
  <c r="G32" i="2"/>
  <c r="BY40" i="8"/>
  <c r="BY39" i="8"/>
  <c r="BY37" i="8"/>
  <c r="BY36" i="8"/>
  <c r="BY35" i="8"/>
  <c r="H34" i="2"/>
  <c r="BY23" i="8"/>
  <c r="H28" i="2" s="1"/>
  <c r="BY20" i="8"/>
  <c r="BY12" i="8"/>
  <c r="BY11" i="8"/>
  <c r="BY9" i="8"/>
  <c r="BY6" i="8"/>
  <c r="H13" i="2" l="1"/>
  <c r="H7" i="2"/>
  <c r="H29" i="2"/>
  <c r="H31" i="2"/>
  <c r="H30" i="2"/>
  <c r="H33" i="2"/>
  <c r="H32" i="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BP6" i="8"/>
  <c r="BP7" i="8"/>
  <c r="BP8" i="8"/>
  <c r="BP9" i="8"/>
  <c r="BP10" i="8"/>
  <c r="BP11" i="8"/>
  <c r="BP12" i="8"/>
  <c r="BP13" i="8"/>
  <c r="BP14" i="8"/>
  <c r="BP15" i="8"/>
  <c r="BP16" i="8"/>
  <c r="BP17" i="8"/>
  <c r="BP18" i="8"/>
  <c r="BP19" i="8"/>
  <c r="BP20" i="8"/>
  <c r="BP21" i="8"/>
  <c r="BP22" i="8"/>
  <c r="BP23" i="8"/>
  <c r="BP35" i="8"/>
  <c r="BP36" i="8"/>
  <c r="BP37" i="8"/>
  <c r="BP39" i="8"/>
  <c r="BP40" i="8"/>
  <c r="H27" i="12" l="1"/>
  <c r="H7" i="12"/>
  <c r="H22" i="12"/>
  <c r="H8" i="12"/>
  <c r="H24" i="12"/>
  <c r="H25" i="12"/>
  <c r="H4" i="12"/>
  <c r="H26" i="12"/>
  <c r="F5" i="2" l="1"/>
  <c r="BU6" i="8"/>
  <c r="BU7" i="8"/>
  <c r="BU8" i="8"/>
  <c r="BU13" i="8"/>
  <c r="BU14" i="8"/>
  <c r="BU15" i="8"/>
  <c r="BU16" i="8"/>
  <c r="BU17" i="8"/>
  <c r="F18" i="2" s="1"/>
  <c r="BU18" i="8"/>
  <c r="BU19" i="8"/>
  <c r="BU20" i="8"/>
  <c r="BU21" i="8"/>
  <c r="BU22" i="8"/>
  <c r="BU23" i="8"/>
  <c r="F28" i="2" s="1"/>
  <c r="F34" i="2"/>
  <c r="BU35" i="8"/>
  <c r="BU36" i="8"/>
  <c r="BU37" i="8"/>
  <c r="BU39" i="8"/>
  <c r="BU40" i="8"/>
  <c r="E5" i="2"/>
  <c r="BS7" i="8"/>
  <c r="BS8" i="8"/>
  <c r="BS9" i="8"/>
  <c r="BS10" i="8"/>
  <c r="BS11" i="8"/>
  <c r="BS12" i="8"/>
  <c r="BS13" i="8"/>
  <c r="BS14" i="8"/>
  <c r="BS15" i="8"/>
  <c r="BS16" i="8"/>
  <c r="BS17" i="8"/>
  <c r="BS18" i="8"/>
  <c r="BS19" i="8"/>
  <c r="BS20" i="8"/>
  <c r="BS21" i="8"/>
  <c r="BS22" i="8"/>
  <c r="BS23" i="8"/>
  <c r="E28" i="2" s="1"/>
  <c r="E34" i="2"/>
  <c r="BS35" i="8"/>
  <c r="BS36" i="8"/>
  <c r="BS37" i="8"/>
  <c r="BS39" i="8"/>
  <c r="BS40" i="8"/>
  <c r="BQ7" i="8"/>
  <c r="BQ8" i="8"/>
  <c r="BQ9" i="8"/>
  <c r="D10" i="2" s="1"/>
  <c r="BQ10" i="8"/>
  <c r="BQ11" i="8"/>
  <c r="BQ12" i="8"/>
  <c r="BQ13" i="8"/>
  <c r="D14" i="2" s="1"/>
  <c r="BQ14" i="8"/>
  <c r="BQ15" i="8"/>
  <c r="BQ16" i="8"/>
  <c r="BQ17" i="8"/>
  <c r="D18" i="2" s="1"/>
  <c r="BQ18" i="8"/>
  <c r="BQ19" i="8"/>
  <c r="BQ20" i="8"/>
  <c r="BQ21" i="8"/>
  <c r="BQ22" i="8"/>
  <c r="D27" i="2" s="1"/>
  <c r="BQ23" i="8"/>
  <c r="D28" i="2" s="1"/>
  <c r="BQ35" i="8"/>
  <c r="BQ36" i="8"/>
  <c r="BQ37" i="8"/>
  <c r="BQ39" i="8"/>
  <c r="BQ40" i="8"/>
  <c r="F4" i="2" l="1"/>
  <c r="D16" i="2"/>
  <c r="D12" i="2"/>
  <c r="E19" i="2"/>
  <c r="E15" i="2"/>
  <c r="E11" i="2"/>
  <c r="F16" i="2"/>
  <c r="F8" i="2"/>
  <c r="D19" i="2"/>
  <c r="D15" i="2"/>
  <c r="D11" i="2"/>
  <c r="E18" i="2"/>
  <c r="E14" i="2"/>
  <c r="E10" i="2"/>
  <c r="E16" i="2"/>
  <c r="E12" i="2"/>
  <c r="F17" i="2"/>
  <c r="F9" i="2"/>
  <c r="F19" i="2"/>
  <c r="F15" i="2"/>
  <c r="D17" i="2"/>
  <c r="D13" i="2"/>
  <c r="D9" i="2"/>
  <c r="E17" i="2"/>
  <c r="E13" i="2"/>
  <c r="E9" i="2"/>
  <c r="E20" i="2"/>
  <c r="D21" i="2"/>
  <c r="F23" i="2"/>
  <c r="E23" i="2"/>
  <c r="F22" i="2"/>
  <c r="F21" i="2"/>
  <c r="D20" i="2"/>
  <c r="E22" i="2"/>
  <c r="F25" i="2"/>
  <c r="D23" i="2"/>
  <c r="D22" i="2"/>
  <c r="E21" i="2"/>
  <c r="F24" i="2"/>
  <c r="F20" i="2"/>
  <c r="E25" i="2"/>
  <c r="D25" i="2"/>
  <c r="D24" i="2"/>
  <c r="E24" i="2"/>
  <c r="F26" i="2"/>
  <c r="D26" i="2"/>
  <c r="E27" i="2"/>
  <c r="E26" i="2"/>
  <c r="F27" i="2"/>
  <c r="F29" i="2"/>
  <c r="E29" i="2"/>
  <c r="E31" i="2"/>
  <c r="E30" i="2"/>
  <c r="D31" i="2"/>
  <c r="D30" i="2"/>
  <c r="F31" i="2"/>
  <c r="F30" i="2"/>
  <c r="D33" i="2"/>
  <c r="D32" i="2"/>
  <c r="E33" i="2"/>
  <c r="E32" i="2"/>
  <c r="F33" i="2"/>
  <c r="F32" i="2"/>
  <c r="E21" i="12"/>
  <c r="E22" i="12"/>
  <c r="E12" i="12"/>
  <c r="E23" i="12"/>
  <c r="E11" i="12"/>
  <c r="E24" i="12"/>
  <c r="AY12" i="8"/>
  <c r="E25" i="12" s="1"/>
  <c r="AY13" i="8"/>
  <c r="AY14" i="8"/>
  <c r="AY15" i="8"/>
  <c r="AY16" i="8"/>
  <c r="AY17" i="8"/>
  <c r="AY18" i="8"/>
  <c r="AY19" i="8"/>
  <c r="AY20" i="8"/>
  <c r="AY21" i="8"/>
  <c r="AY23" i="8"/>
  <c r="E32" i="12"/>
  <c r="AY35" i="8"/>
  <c r="AY36" i="8"/>
  <c r="AY37" i="8"/>
  <c r="E40" i="12" s="1"/>
  <c r="AY39" i="8"/>
  <c r="E41" i="12" s="1"/>
  <c r="F41" i="12" s="1"/>
  <c r="AY40" i="8"/>
  <c r="BT9" i="8"/>
  <c r="BT10" i="8"/>
  <c r="BT13" i="8"/>
  <c r="BT17" i="8"/>
  <c r="BT18" i="8"/>
  <c r="BT20" i="8"/>
  <c r="BT22" i="8"/>
  <c r="BT36" i="8"/>
  <c r="BT40" i="8"/>
  <c r="AG40" i="8"/>
  <c r="AF40" i="8"/>
  <c r="AE40" i="8"/>
  <c r="AG39" i="8"/>
  <c r="AF39" i="8"/>
  <c r="AE39" i="8"/>
  <c r="AG37" i="8"/>
  <c r="AF37" i="8"/>
  <c r="AE37" i="8"/>
  <c r="AG36" i="8"/>
  <c r="AF36" i="8"/>
  <c r="AE36" i="8"/>
  <c r="AG35" i="8"/>
  <c r="AF35" i="8"/>
  <c r="AE35" i="8"/>
  <c r="AG23" i="8"/>
  <c r="AF23" i="8"/>
  <c r="AE23" i="8"/>
  <c r="AG22" i="8"/>
  <c r="AF22" i="8"/>
  <c r="AE22" i="8"/>
  <c r="AG21" i="8"/>
  <c r="AF21" i="8"/>
  <c r="AE21" i="8"/>
  <c r="AG20" i="8"/>
  <c r="AF20" i="8"/>
  <c r="AE20" i="8"/>
  <c r="AG19" i="8"/>
  <c r="AF19" i="8"/>
  <c r="AE19" i="8"/>
  <c r="AG18" i="8"/>
  <c r="AF18" i="8"/>
  <c r="AE18" i="8"/>
  <c r="AG17" i="8"/>
  <c r="AF17" i="8"/>
  <c r="AE17" i="8"/>
  <c r="AG16" i="8"/>
  <c r="AF16" i="8"/>
  <c r="AE16" i="8"/>
  <c r="AG15" i="8"/>
  <c r="AF15" i="8"/>
  <c r="AE15" i="8"/>
  <c r="AG14" i="8"/>
  <c r="AF14" i="8"/>
  <c r="AE14" i="8"/>
  <c r="AG13" i="8"/>
  <c r="AF13" i="8"/>
  <c r="AE13" i="8"/>
  <c r="AG12" i="8"/>
  <c r="AF12" i="8"/>
  <c r="AE12" i="8"/>
  <c r="AG11" i="8"/>
  <c r="AF11" i="8"/>
  <c r="AE11" i="8"/>
  <c r="AG10" i="8"/>
  <c r="AF10" i="8"/>
  <c r="AE10" i="8"/>
  <c r="AG9" i="8"/>
  <c r="AF9" i="8"/>
  <c r="AE9" i="8"/>
  <c r="AG8" i="8"/>
  <c r="AF8" i="8"/>
  <c r="AE8" i="8"/>
  <c r="AG7" i="8"/>
  <c r="AF7" i="8"/>
  <c r="AE7" i="8"/>
  <c r="AG6" i="8"/>
  <c r="AF6" i="8"/>
  <c r="AE6" i="8"/>
  <c r="E4" i="2"/>
  <c r="E7" i="12" l="1"/>
  <c r="E10" i="12"/>
  <c r="F10" i="12" s="1"/>
  <c r="E9" i="12"/>
  <c r="E13" i="12"/>
  <c r="F13" i="12" s="1"/>
  <c r="E17" i="12"/>
  <c r="F17" i="12" s="1"/>
  <c r="E6" i="12"/>
  <c r="F6" i="12" s="1"/>
  <c r="E8" i="12"/>
  <c r="F8" i="12" s="1"/>
  <c r="E26" i="12"/>
  <c r="F26" i="12" s="1"/>
  <c r="E15" i="12"/>
  <c r="F15" i="12" s="1"/>
  <c r="E14" i="12"/>
  <c r="F14" i="12" s="1"/>
  <c r="E5" i="12"/>
  <c r="F5" i="12" s="1"/>
  <c r="E27" i="12"/>
  <c r="F27" i="12" s="1"/>
  <c r="E16" i="12"/>
  <c r="F16" i="12" s="1"/>
  <c r="E29" i="12"/>
  <c r="F29" i="12" s="1"/>
  <c r="E28" i="12"/>
  <c r="F28" i="12" s="1"/>
  <c r="E39" i="12"/>
  <c r="F39" i="12" s="1"/>
  <c r="E38" i="12"/>
  <c r="F38" i="12" s="1"/>
  <c r="E37" i="12"/>
  <c r="F37" i="12" s="1"/>
  <c r="E31" i="12"/>
  <c r="F31" i="12" s="1"/>
  <c r="E30" i="12"/>
  <c r="F30" i="12" s="1"/>
  <c r="E3" i="12"/>
  <c r="F3" i="12" s="1"/>
  <c r="E2" i="12"/>
  <c r="F2" i="12" s="1"/>
  <c r="F12" i="12"/>
  <c r="F21" i="12"/>
  <c r="F11" i="12"/>
  <c r="F34" i="12"/>
  <c r="F20" i="12"/>
  <c r="F19" i="12"/>
  <c r="F32" i="12"/>
  <c r="F25" i="12"/>
  <c r="F9" i="12"/>
  <c r="F40" i="12"/>
  <c r="F33" i="12"/>
  <c r="F22" i="12"/>
  <c r="F24" i="12"/>
  <c r="F23" i="12"/>
  <c r="F36" i="12"/>
  <c r="F18" i="12"/>
  <c r="F7" i="12"/>
  <c r="BS6" i="8"/>
  <c r="E6" i="2"/>
  <c r="AH8" i="8"/>
  <c r="AH15" i="8"/>
  <c r="AH21" i="8"/>
  <c r="AH35" i="8"/>
  <c r="AH39" i="8"/>
  <c r="BT8" i="8"/>
  <c r="BT7" i="8"/>
  <c r="BT21" i="8"/>
  <c r="BT12" i="8"/>
  <c r="BT15" i="8"/>
  <c r="BT39" i="8"/>
  <c r="BT37" i="8"/>
  <c r="BT23" i="8"/>
  <c r="BT19" i="8"/>
  <c r="BT14" i="8"/>
  <c r="BT35" i="8"/>
  <c r="BT11" i="8"/>
  <c r="AH7" i="8"/>
  <c r="AH14" i="8"/>
  <c r="AH19" i="8"/>
  <c r="AH23" i="8"/>
  <c r="AH37" i="8"/>
  <c r="AH6" i="8"/>
  <c r="AH17" i="8"/>
  <c r="AH18" i="8"/>
  <c r="AH36" i="8"/>
  <c r="AH9" i="8"/>
  <c r="AH13" i="8"/>
  <c r="AH16" i="8"/>
  <c r="AH20" i="8"/>
  <c r="AH22" i="8"/>
  <c r="AH40" i="8"/>
  <c r="BT16" i="8"/>
  <c r="AH12" i="8"/>
  <c r="AH11" i="8"/>
  <c r="AH10" i="8"/>
  <c r="E7" i="2" l="1"/>
  <c r="E8" i="2"/>
  <c r="BT6" i="8"/>
  <c r="H3" i="18"/>
  <c r="K3" i="18"/>
  <c r="I3" i="18" s="1"/>
  <c r="K4" i="18"/>
  <c r="I4" i="18" s="1"/>
  <c r="H4" i="18"/>
  <c r="H5" i="18"/>
  <c r="K5" i="18"/>
  <c r="I5" i="18" s="1"/>
  <c r="H6" i="18"/>
  <c r="K6" i="18"/>
  <c r="I6" i="18" s="1"/>
  <c r="H2" i="18"/>
  <c r="K2" i="18"/>
  <c r="I2" i="18" s="1"/>
  <c r="BV40" i="8" l="1"/>
  <c r="BR40" i="8"/>
  <c r="AQ9" i="8"/>
  <c r="BA9" i="8"/>
  <c r="BB9" i="8"/>
  <c r="BC9" i="8"/>
  <c r="BA10" i="8"/>
  <c r="BB10" i="8"/>
  <c r="BC10" i="8"/>
  <c r="BA11" i="8"/>
  <c r="BB11" i="8"/>
  <c r="BC11" i="8"/>
  <c r="BA12" i="8"/>
  <c r="BB12" i="8"/>
  <c r="BC12" i="8"/>
  <c r="BA13" i="8"/>
  <c r="BB13" i="8"/>
  <c r="BC13" i="8"/>
  <c r="BA14" i="8"/>
  <c r="BB14" i="8"/>
  <c r="BC14" i="8"/>
  <c r="BA15" i="8"/>
  <c r="BB15" i="8"/>
  <c r="BC15" i="8"/>
  <c r="BA16" i="8"/>
  <c r="BB16" i="8"/>
  <c r="BC16" i="8"/>
  <c r="T9" i="8"/>
  <c r="U9" i="8"/>
  <c r="V9" i="8"/>
  <c r="T10" i="8"/>
  <c r="U10" i="8"/>
  <c r="V10" i="8"/>
  <c r="T11" i="8"/>
  <c r="U11" i="8"/>
  <c r="V11" i="8"/>
  <c r="T12" i="8"/>
  <c r="U12" i="8"/>
  <c r="V12" i="8"/>
  <c r="T13" i="8"/>
  <c r="U13" i="8"/>
  <c r="V13" i="8"/>
  <c r="T14" i="8"/>
  <c r="U14" i="8"/>
  <c r="V14" i="8"/>
  <c r="T15" i="8"/>
  <c r="U15" i="8"/>
  <c r="V15" i="8"/>
  <c r="T16" i="8"/>
  <c r="U16" i="8"/>
  <c r="V16" i="8"/>
  <c r="AP9" i="8"/>
  <c r="AR9" i="8"/>
  <c r="AP10" i="8"/>
  <c r="AQ10" i="8"/>
  <c r="AR10" i="8"/>
  <c r="BU10" i="8" s="1"/>
  <c r="AP11" i="8"/>
  <c r="AQ11" i="8"/>
  <c r="AR11" i="8"/>
  <c r="AP12" i="8"/>
  <c r="AQ12" i="8"/>
  <c r="AR12" i="8"/>
  <c r="AP13" i="8"/>
  <c r="AQ13" i="8"/>
  <c r="AR13" i="8"/>
  <c r="AP14" i="8"/>
  <c r="AQ14" i="8"/>
  <c r="AR14" i="8"/>
  <c r="AP15" i="8"/>
  <c r="AQ15" i="8"/>
  <c r="AR15" i="8"/>
  <c r="AP16" i="8"/>
  <c r="AQ16" i="8"/>
  <c r="AR16" i="8"/>
  <c r="BW14" i="8" l="1"/>
  <c r="BW10" i="8"/>
  <c r="G12" i="2" s="1"/>
  <c r="BW15" i="8"/>
  <c r="BW16" i="8"/>
  <c r="BW13" i="8"/>
  <c r="BU11" i="8"/>
  <c r="F12" i="2" s="1"/>
  <c r="BX12" i="8"/>
  <c r="BX6" i="8"/>
  <c r="BX9" i="8"/>
  <c r="BX11" i="8"/>
  <c r="BX40" i="8"/>
  <c r="BD10" i="8"/>
  <c r="AS12" i="8"/>
  <c r="BU12" i="8"/>
  <c r="F14" i="2" s="1"/>
  <c r="AS9" i="8"/>
  <c r="BU9" i="8"/>
  <c r="F11" i="2" s="1"/>
  <c r="BD13" i="8"/>
  <c r="BD9" i="8"/>
  <c r="BD15" i="8"/>
  <c r="BD12" i="8"/>
  <c r="BD11" i="8"/>
  <c r="W11" i="8"/>
  <c r="BD14" i="8"/>
  <c r="W10" i="8"/>
  <c r="W12" i="8"/>
  <c r="AS16" i="8"/>
  <c r="AS11" i="8"/>
  <c r="W14" i="8"/>
  <c r="W9" i="8"/>
  <c r="BV15" i="8"/>
  <c r="BV6" i="8"/>
  <c r="BV14" i="8"/>
  <c r="BV10" i="8"/>
  <c r="BV8" i="8"/>
  <c r="BV16" i="8"/>
  <c r="BV13" i="8"/>
  <c r="BV7" i="8"/>
  <c r="AS13" i="8"/>
  <c r="W16" i="8"/>
  <c r="W13" i="8"/>
  <c r="AS10" i="8"/>
  <c r="BD16" i="8"/>
  <c r="W15" i="8"/>
  <c r="BR14" i="8"/>
  <c r="BR11" i="8"/>
  <c r="BR7" i="8"/>
  <c r="BR10" i="8"/>
  <c r="BR16" i="8"/>
  <c r="BR13" i="8"/>
  <c r="BR9" i="8"/>
  <c r="BR15" i="8"/>
  <c r="BR12" i="8"/>
  <c r="BR8" i="8"/>
  <c r="BR39" i="8"/>
  <c r="BR19" i="8"/>
  <c r="BV39" i="8"/>
  <c r="BV35" i="8"/>
  <c r="BV21" i="8"/>
  <c r="BX36" i="8"/>
  <c r="BR35" i="8"/>
  <c r="BR37" i="8"/>
  <c r="BR23" i="8"/>
  <c r="BR36" i="8"/>
  <c r="BR18" i="8"/>
  <c r="BR17" i="8"/>
  <c r="BV37" i="8"/>
  <c r="BV23" i="8"/>
  <c r="BV19" i="8"/>
  <c r="BX23" i="8"/>
  <c r="BX37" i="8"/>
  <c r="BR22" i="8"/>
  <c r="BR20" i="8"/>
  <c r="BV36" i="8"/>
  <c r="BV18" i="8"/>
  <c r="BV17" i="8"/>
  <c r="BX35" i="8"/>
  <c r="BX39" i="8"/>
  <c r="BR21" i="8"/>
  <c r="BV22" i="8"/>
  <c r="BV20" i="8"/>
  <c r="BX20" i="8"/>
  <c r="AS14" i="8"/>
  <c r="AS15" i="8"/>
  <c r="BY16" i="8" l="1"/>
  <c r="BY15" i="8"/>
  <c r="BY10" i="8"/>
  <c r="BY13" i="8"/>
  <c r="H14" i="2" s="1"/>
  <c r="BY14" i="8"/>
  <c r="BV11" i="8"/>
  <c r="BX15" i="8"/>
  <c r="G16" i="2" s="1"/>
  <c r="BX13" i="8"/>
  <c r="G14" i="2" s="1"/>
  <c r="BX16" i="8"/>
  <c r="G17" i="2" s="1"/>
  <c r="BX14" i="8"/>
  <c r="G15" i="2" s="1"/>
  <c r="BX10" i="8"/>
  <c r="G11" i="2" s="1"/>
  <c r="BV12" i="8"/>
  <c r="F13" i="2" s="1"/>
  <c r="BV9" i="8"/>
  <c r="F10" i="2" s="1"/>
  <c r="H17" i="2" l="1"/>
  <c r="H11" i="2"/>
  <c r="H12" i="2"/>
  <c r="H16" i="2"/>
  <c r="H15" i="2"/>
  <c r="BL20" i="8"/>
  <c r="BL35" i="8"/>
  <c r="BL36" i="8"/>
  <c r="BL37" i="8"/>
  <c r="BL39" i="8"/>
  <c r="BL40" i="8"/>
  <c r="T22" i="8" l="1"/>
  <c r="U22" i="8"/>
  <c r="V22" i="8"/>
  <c r="AP22" i="8"/>
  <c r="AQ22" i="8"/>
  <c r="AR22" i="8"/>
  <c r="BA22" i="8"/>
  <c r="BB22" i="8"/>
  <c r="BC22" i="8"/>
  <c r="BJ22" i="8"/>
  <c r="BK22" i="8"/>
  <c r="T23" i="8"/>
  <c r="U23" i="8"/>
  <c r="V23" i="8"/>
  <c r="AP23" i="8"/>
  <c r="AQ23" i="8"/>
  <c r="AR23" i="8"/>
  <c r="BA23" i="8"/>
  <c r="BB23" i="8"/>
  <c r="BC23" i="8"/>
  <c r="BJ23" i="8"/>
  <c r="BK23" i="8"/>
  <c r="T35" i="8"/>
  <c r="U35" i="8"/>
  <c r="V35" i="8"/>
  <c r="AP35" i="8"/>
  <c r="AQ35" i="8"/>
  <c r="AR35" i="8"/>
  <c r="BA35" i="8"/>
  <c r="BB35" i="8"/>
  <c r="BC35" i="8"/>
  <c r="BJ35" i="8"/>
  <c r="BK35" i="8"/>
  <c r="T36" i="8"/>
  <c r="U36" i="8"/>
  <c r="V36" i="8"/>
  <c r="AP36" i="8"/>
  <c r="AQ36" i="8"/>
  <c r="AR36" i="8"/>
  <c r="BA36" i="8"/>
  <c r="BB36" i="8"/>
  <c r="BC36" i="8"/>
  <c r="BJ36" i="8"/>
  <c r="BK36" i="8"/>
  <c r="T37" i="8"/>
  <c r="U37" i="8"/>
  <c r="V37" i="8"/>
  <c r="AP37" i="8"/>
  <c r="AQ37" i="8"/>
  <c r="AR37" i="8"/>
  <c r="BA37" i="8"/>
  <c r="BB37" i="8"/>
  <c r="BC37" i="8"/>
  <c r="BJ37" i="8"/>
  <c r="BK37" i="8"/>
  <c r="T39" i="8"/>
  <c r="U39" i="8"/>
  <c r="V39" i="8"/>
  <c r="AP39" i="8"/>
  <c r="AQ39" i="8"/>
  <c r="AR39" i="8"/>
  <c r="BA39" i="8"/>
  <c r="BB39" i="8"/>
  <c r="BC39" i="8"/>
  <c r="BJ39" i="8"/>
  <c r="BK39" i="8"/>
  <c r="T40" i="8"/>
  <c r="U40" i="8"/>
  <c r="V40" i="8"/>
  <c r="AP40" i="8"/>
  <c r="AQ40" i="8"/>
  <c r="AR40" i="8"/>
  <c r="BA40" i="8"/>
  <c r="BB40" i="8"/>
  <c r="BC40" i="8"/>
  <c r="BJ40" i="8"/>
  <c r="BK40" i="8"/>
  <c r="D34" i="2" l="1"/>
  <c r="BL23" i="8"/>
  <c r="BW22" i="8"/>
  <c r="G27" i="2" s="1"/>
  <c r="BL22" i="8"/>
  <c r="W22" i="8"/>
  <c r="BD40" i="8"/>
  <c r="BD39" i="8"/>
  <c r="BD37" i="8"/>
  <c r="BD36" i="8"/>
  <c r="BD35" i="8"/>
  <c r="BD23" i="8"/>
  <c r="W40" i="8"/>
  <c r="W39" i="8"/>
  <c r="W37" i="8"/>
  <c r="W36" i="8"/>
  <c r="W35" i="8"/>
  <c r="W23" i="8"/>
  <c r="AS40" i="8"/>
  <c r="AS39" i="8"/>
  <c r="AS37" i="8"/>
  <c r="AS36" i="8"/>
  <c r="AS35" i="8"/>
  <c r="AS23" i="8"/>
  <c r="AS22" i="8"/>
  <c r="BD22" i="8"/>
  <c r="T18" i="8"/>
  <c r="U18" i="8"/>
  <c r="V18" i="8"/>
  <c r="AP18" i="8"/>
  <c r="AQ18" i="8"/>
  <c r="AR18" i="8"/>
  <c r="BA18" i="8"/>
  <c r="BB18" i="8"/>
  <c r="BC18" i="8"/>
  <c r="BJ18" i="8"/>
  <c r="BK18" i="8"/>
  <c r="T19" i="8"/>
  <c r="U19" i="8"/>
  <c r="V19" i="8"/>
  <c r="AP19" i="8"/>
  <c r="AQ19" i="8"/>
  <c r="AR19" i="8"/>
  <c r="BA19" i="8"/>
  <c r="BB19" i="8"/>
  <c r="BC19" i="8"/>
  <c r="BJ19" i="8"/>
  <c r="BK19" i="8"/>
  <c r="T20" i="8"/>
  <c r="U20" i="8"/>
  <c r="V20" i="8"/>
  <c r="AP20" i="8"/>
  <c r="AQ20" i="8"/>
  <c r="AR20" i="8"/>
  <c r="BA20" i="8"/>
  <c r="BB20" i="8"/>
  <c r="BC20" i="8"/>
  <c r="BJ20" i="8"/>
  <c r="BK20" i="8"/>
  <c r="T21" i="8"/>
  <c r="U21" i="8"/>
  <c r="V21" i="8"/>
  <c r="AP21" i="8"/>
  <c r="AQ21" i="8"/>
  <c r="AR21" i="8"/>
  <c r="BA21" i="8"/>
  <c r="BB21" i="8"/>
  <c r="BC21" i="8"/>
  <c r="BW21" i="8" s="1"/>
  <c r="BJ21" i="8"/>
  <c r="BK21" i="8"/>
  <c r="BJ10" i="8"/>
  <c r="BK10" i="8"/>
  <c r="BJ11" i="8"/>
  <c r="BK11" i="8"/>
  <c r="BJ12" i="8"/>
  <c r="BK12" i="8"/>
  <c r="BJ13" i="8"/>
  <c r="BK13" i="8"/>
  <c r="BJ14" i="8"/>
  <c r="BK14" i="8"/>
  <c r="BJ15" i="8"/>
  <c r="BK15" i="8"/>
  <c r="BJ16" i="8"/>
  <c r="BK16" i="8"/>
  <c r="T17" i="8"/>
  <c r="U17" i="8"/>
  <c r="V17" i="8"/>
  <c r="AP17" i="8"/>
  <c r="AQ17" i="8"/>
  <c r="AR17" i="8"/>
  <c r="BA17" i="8"/>
  <c r="BB17" i="8"/>
  <c r="BC17" i="8"/>
  <c r="BJ17" i="8"/>
  <c r="BK17" i="8"/>
  <c r="T6" i="8"/>
  <c r="U6" i="8"/>
  <c r="V6" i="8"/>
  <c r="BQ6" i="8" s="1"/>
  <c r="D8" i="2" s="1"/>
  <c r="AP6" i="8"/>
  <c r="AQ6" i="8"/>
  <c r="AR6" i="8"/>
  <c r="BA6" i="8"/>
  <c r="BB6" i="8"/>
  <c r="BC6" i="8"/>
  <c r="BJ6" i="8"/>
  <c r="BK6" i="8"/>
  <c r="T7" i="8"/>
  <c r="U7" i="8"/>
  <c r="V7" i="8"/>
  <c r="AP7" i="8"/>
  <c r="AQ7" i="8"/>
  <c r="AR7" i="8"/>
  <c r="BA7" i="8"/>
  <c r="BB7" i="8"/>
  <c r="BC7" i="8"/>
  <c r="BJ7" i="8"/>
  <c r="BK7" i="8"/>
  <c r="T8" i="8"/>
  <c r="U8" i="8"/>
  <c r="V8" i="8"/>
  <c r="AP8" i="8"/>
  <c r="AQ8" i="8"/>
  <c r="AR8" i="8"/>
  <c r="BA8" i="8"/>
  <c r="BB8" i="8"/>
  <c r="BC8" i="8"/>
  <c r="BJ8" i="8"/>
  <c r="BK8" i="8"/>
  <c r="BJ9" i="8"/>
  <c r="BK9" i="8"/>
  <c r="G24" i="2" l="1"/>
  <c r="G23" i="2"/>
  <c r="G26" i="2"/>
  <c r="G25" i="2"/>
  <c r="D29" i="2"/>
  <c r="BY21" i="8"/>
  <c r="BX21" i="8"/>
  <c r="BY22" i="8"/>
  <c r="H27" i="2" s="1"/>
  <c r="BX22" i="8"/>
  <c r="BL21" i="8"/>
  <c r="BW7" i="8"/>
  <c r="G8" i="2" s="1"/>
  <c r="BW17" i="8"/>
  <c r="BW18" i="8"/>
  <c r="BW19" i="8"/>
  <c r="G22" i="2" s="1"/>
  <c r="BW8" i="8"/>
  <c r="G10" i="2" s="1"/>
  <c r="G4" i="2"/>
  <c r="BL19" i="8"/>
  <c r="BL18" i="8"/>
  <c r="BL11" i="8"/>
  <c r="BO40" i="8"/>
  <c r="BO23" i="8"/>
  <c r="BO37" i="8"/>
  <c r="BO22" i="8"/>
  <c r="BR6" i="8"/>
  <c r="D7" i="2" s="1"/>
  <c r="BL17" i="8"/>
  <c r="BL9" i="8"/>
  <c r="BL16" i="8"/>
  <c r="BL13" i="8"/>
  <c r="BL15" i="8"/>
  <c r="BL10" i="8"/>
  <c r="BL12" i="8"/>
  <c r="BL14" i="8"/>
  <c r="BL8" i="8"/>
  <c r="BL7" i="8"/>
  <c r="BL6" i="8"/>
  <c r="W7" i="8"/>
  <c r="BO36" i="8"/>
  <c r="W6" i="8"/>
  <c r="BO35" i="8"/>
  <c r="BO39" i="8"/>
  <c r="BD7" i="8"/>
  <c r="AS17" i="8"/>
  <c r="AS21" i="8"/>
  <c r="AS20" i="8"/>
  <c r="AS19" i="8"/>
  <c r="AS18" i="8"/>
  <c r="BD17" i="8"/>
  <c r="BD21" i="8"/>
  <c r="BD20" i="8"/>
  <c r="BD19" i="8"/>
  <c r="BD18" i="8"/>
  <c r="W17" i="8"/>
  <c r="W21" i="8"/>
  <c r="W20" i="8"/>
  <c r="W19" i="8"/>
  <c r="W18" i="8"/>
  <c r="BD8" i="8"/>
  <c r="BD6" i="8"/>
  <c r="AS6" i="8"/>
  <c r="AS7" i="8"/>
  <c r="AS8" i="8"/>
  <c r="W8" i="8"/>
  <c r="D5" i="2" l="1"/>
  <c r="F6" i="2"/>
  <c r="F7" i="2"/>
  <c r="G5" i="2"/>
  <c r="G6" i="2"/>
  <c r="H24" i="2"/>
  <c r="H23" i="2"/>
  <c r="H26" i="2"/>
  <c r="H25" i="2"/>
  <c r="BY7" i="8"/>
  <c r="H8" i="2" s="1"/>
  <c r="BY19" i="8"/>
  <c r="H22" i="2" s="1"/>
  <c r="H4" i="2"/>
  <c r="BY18" i="8"/>
  <c r="BY8" i="8"/>
  <c r="BY17" i="8"/>
  <c r="H18" i="2" s="1"/>
  <c r="D6" i="2"/>
  <c r="BX19" i="8"/>
  <c r="BX18" i="8"/>
  <c r="G21" i="2" s="1"/>
  <c r="BX8" i="8"/>
  <c r="G9" i="2" s="1"/>
  <c r="BO21" i="8"/>
  <c r="BX17" i="8"/>
  <c r="G18" i="2" s="1"/>
  <c r="BX7" i="8"/>
  <c r="BO15" i="8"/>
  <c r="BO12" i="8"/>
  <c r="BO18" i="8"/>
  <c r="BO19" i="8"/>
  <c r="BO8" i="8"/>
  <c r="BO16" i="8"/>
  <c r="BO20" i="8"/>
  <c r="BO17" i="8"/>
  <c r="BO10" i="8"/>
  <c r="BO11" i="8"/>
  <c r="BO14" i="8"/>
  <c r="BO13" i="8"/>
  <c r="BO9" i="8"/>
  <c r="BO7" i="8"/>
  <c r="BO6" i="8"/>
  <c r="H5" i="2" l="1"/>
  <c r="H6" i="2"/>
  <c r="H9" i="2"/>
  <c r="H10" i="2"/>
  <c r="H20" i="2"/>
  <c r="H19" i="2"/>
  <c r="G19" i="2"/>
  <c r="G20" i="2"/>
  <c r="H21" i="2"/>
</calcChain>
</file>

<file path=xl/comments1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2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3.xml><?xml version="1.0" encoding="utf-8"?>
<comments xmlns="http://schemas.openxmlformats.org/spreadsheetml/2006/main">
  <authors>
    <author>veronicasenior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Choose from drop down menu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veronicasenior:</t>
        </r>
        <r>
          <rPr>
            <sz val="9"/>
            <color indexed="81"/>
            <rFont val="Tahoma"/>
            <family val="2"/>
          </rPr>
          <t xml:space="preserve">
Insert from drop down menu</t>
        </r>
      </text>
    </comment>
  </commentList>
</comments>
</file>

<file path=xl/comments4.xml><?xml version="1.0" encoding="utf-8"?>
<comments xmlns="http://schemas.openxmlformats.org/spreadsheetml/2006/main">
  <authors>
    <author>Dom Moorhouse</author>
    <author>EdwardClancy</author>
  </authors>
  <commentList>
    <comment ref="C2" authorId="0">
      <text>
        <r>
          <rPr>
            <sz val="12"/>
            <color indexed="8"/>
            <rFont val="Tahoma"/>
            <family val="2"/>
          </rPr>
          <t>Describe the change being requested including analysis of impact.</t>
        </r>
      </text>
    </comment>
    <comment ref="D2" authorId="1">
      <text>
        <r>
          <rPr>
            <b/>
            <sz val="8"/>
            <color indexed="8"/>
            <rFont val="Tahoma"/>
            <family val="2"/>
          </rPr>
          <t>EdwardClancy:</t>
        </r>
        <r>
          <rPr>
            <sz val="8"/>
            <color indexed="8"/>
            <rFont val="Tahoma"/>
            <family val="2"/>
          </rPr>
          <t xml:space="preserve">
Quantify the Impact of the change</t>
        </r>
      </text>
    </comment>
    <comment ref="F2" authorId="0">
      <text>
        <r>
          <rPr>
            <sz val="12"/>
            <color indexed="8"/>
            <rFont val="Tahoma"/>
            <family val="2"/>
          </rPr>
          <t>Identify the person submitting the change request.</t>
        </r>
      </text>
    </comment>
    <comment ref="G2" authorId="0">
      <text>
        <r>
          <rPr>
            <sz val="12"/>
            <color indexed="8"/>
            <rFont val="Tahoma"/>
            <family val="2"/>
          </rPr>
          <t>Enter the date the change request was submitted.</t>
        </r>
      </text>
    </comment>
    <comment ref="I2" authorId="0">
      <text>
        <r>
          <rPr>
            <sz val="12"/>
            <color indexed="8"/>
            <rFont val="Tahoma"/>
            <family val="2"/>
          </rPr>
          <t xml:space="preserve">Use this field to provide running commentary with regards approval. Prefix with Date and Initials of author e.g. 
'12/08/04; DM - Approval given'
</t>
        </r>
      </text>
    </comment>
  </commentList>
</comments>
</file>

<file path=xl/sharedStrings.xml><?xml version="1.0" encoding="utf-8"?>
<sst xmlns="http://schemas.openxmlformats.org/spreadsheetml/2006/main" count="792" uniqueCount="381">
  <si>
    <t>Forecast Completion</t>
  </si>
  <si>
    <t>Baseline Completion</t>
  </si>
  <si>
    <t>Stage Gate 5 Completion</t>
  </si>
  <si>
    <t>RAG Status</t>
  </si>
  <si>
    <t>Stage Gate 4 Completion</t>
  </si>
  <si>
    <t>Construction Stage Gate 5</t>
  </si>
  <si>
    <t>Feasibility Stage Gate 2</t>
  </si>
  <si>
    <t>Project Finance</t>
  </si>
  <si>
    <t>Projct ID</t>
  </si>
  <si>
    <t>WBS Element</t>
  </si>
  <si>
    <t>Project Name</t>
  </si>
  <si>
    <t xml:space="preserve">Project Detail </t>
  </si>
  <si>
    <t>Designer</t>
  </si>
  <si>
    <t>Contractor</t>
  </si>
  <si>
    <t>Project Comments</t>
  </si>
  <si>
    <t>Risk &amp; Issues:</t>
  </si>
  <si>
    <t>Current Comments</t>
  </si>
  <si>
    <t xml:space="preserve">Project Overall RAG Status </t>
  </si>
  <si>
    <t>Building</t>
  </si>
  <si>
    <t>Project Sponsor</t>
  </si>
  <si>
    <t>Project Manager</t>
  </si>
  <si>
    <t>Stakeholder Comments</t>
  </si>
  <si>
    <t>Baseline Start</t>
  </si>
  <si>
    <t>Actual Start</t>
  </si>
  <si>
    <t>Actual Completion</t>
  </si>
  <si>
    <t>Approved Budget</t>
  </si>
  <si>
    <t>Overall RAG</t>
  </si>
  <si>
    <t>Project</t>
  </si>
  <si>
    <t>G</t>
  </si>
  <si>
    <t>Finance</t>
  </si>
  <si>
    <t>A</t>
  </si>
  <si>
    <t>Project 1</t>
  </si>
  <si>
    <t>AGGG</t>
  </si>
  <si>
    <t>AAGG</t>
  </si>
  <si>
    <t>AAAG</t>
  </si>
  <si>
    <t>AAAA</t>
  </si>
  <si>
    <t>GAGG</t>
  </si>
  <si>
    <t>GGAG</t>
  </si>
  <si>
    <t>GGGA</t>
  </si>
  <si>
    <t>AGAG</t>
  </si>
  <si>
    <t>AGGA</t>
  </si>
  <si>
    <t>GAGA</t>
  </si>
  <si>
    <t>GAAG</t>
  </si>
  <si>
    <t>GGAA</t>
  </si>
  <si>
    <t>AAGA</t>
  </si>
  <si>
    <t>AGAA</t>
  </si>
  <si>
    <t>GAAA</t>
  </si>
  <si>
    <t>GGGG</t>
  </si>
  <si>
    <t>GG</t>
  </si>
  <si>
    <t>GGG</t>
  </si>
  <si>
    <t>AA</t>
  </si>
  <si>
    <t>AAA</t>
  </si>
  <si>
    <t>GA</t>
  </si>
  <si>
    <t>AG</t>
  </si>
  <si>
    <t>GAA</t>
  </si>
  <si>
    <t>GGA</t>
  </si>
  <si>
    <t>AGG</t>
  </si>
  <si>
    <t>AAG</t>
  </si>
  <si>
    <t>AGA</t>
  </si>
  <si>
    <t>Select Project:</t>
  </si>
  <si>
    <t>15 Penton Street, N1 9PU</t>
  </si>
  <si>
    <t>7 Beaumont Avenue, W14 9UY</t>
  </si>
  <si>
    <t>200 Baker Street, NW1 5RZ</t>
  </si>
  <si>
    <t>31 Borough High Street, SE1 9AW</t>
  </si>
  <si>
    <t>19 Naval Row, Poplar, E14 9RY</t>
  </si>
  <si>
    <t>210/212 Baker Street, NW1 5RT</t>
  </si>
  <si>
    <t>216 Baker Street, NW1 5RT</t>
  </si>
  <si>
    <t>15-17Allsop Place, NW1 5LJ</t>
  </si>
  <si>
    <t>13 Allsop Place. NW1 5LJ</t>
  </si>
  <si>
    <t>13 Allsop Place, NW1 5LJ</t>
  </si>
  <si>
    <t>Aldgate Station, EC3N 1AH</t>
  </si>
  <si>
    <t>280 Marylebone Road, NW1 5RJ</t>
  </si>
  <si>
    <t>8 Chancel Street, SE1 0UX</t>
  </si>
  <si>
    <t>245 Oxford Street, W1D 2LS</t>
  </si>
  <si>
    <t>313 Kilburn Lane, W9 3EG</t>
  </si>
  <si>
    <t>70 Old Broad Street, EC2M 1QT</t>
  </si>
  <si>
    <t>63-81 Pelham Street, SW7 2NJ</t>
  </si>
  <si>
    <t>Greycoat Place, SW1P 1BL</t>
  </si>
  <si>
    <t>Unit 2, Victoria Industrial Estate,</t>
  </si>
  <si>
    <t>Vandon Street, SW1</t>
  </si>
  <si>
    <t>237-239 Oxford Street, W1R 1AB</t>
  </si>
  <si>
    <t>75 Davies Street, Westminster, W1K 5JN</t>
  </si>
  <si>
    <t>172 Buckingham Palace Road</t>
  </si>
  <si>
    <t>200 Buckingham Palace Road</t>
  </si>
  <si>
    <t>Victoria Station House</t>
  </si>
  <si>
    <t xml:space="preserve">
Palestra</t>
  </si>
  <si>
    <t>Albany House</t>
  </si>
  <si>
    <t>John Murphy</t>
  </si>
  <si>
    <t>Helena Healy</t>
  </si>
  <si>
    <t>Jerry Young</t>
  </si>
  <si>
    <t>Initial Budget</t>
  </si>
  <si>
    <t xml:space="preserve">EFC Forecast </t>
  </si>
  <si>
    <t>Stage Gate 2 Completion</t>
  </si>
  <si>
    <t>Status and Comments</t>
  </si>
  <si>
    <t>PCP/16/020</t>
  </si>
  <si>
    <t>RX04F.033.307.01</t>
  </si>
  <si>
    <t>Consultant</t>
  </si>
  <si>
    <t>Stage Gate 2 Status</t>
  </si>
  <si>
    <t>Stage Gate 5 Status</t>
  </si>
  <si>
    <t>Overrun?</t>
  </si>
  <si>
    <t>PCP/12/033</t>
  </si>
  <si>
    <t>RX04F.014.2007.708.02</t>
  </si>
  <si>
    <t>Albany House - Plant Optimisation</t>
  </si>
  <si>
    <t>PCP/15/003</t>
  </si>
  <si>
    <t>RX04F.014.2007.903.01</t>
  </si>
  <si>
    <t>PCP/15/006</t>
  </si>
  <si>
    <t>RX04F.014.2007.903.03</t>
  </si>
  <si>
    <t>PCP/16/007</t>
  </si>
  <si>
    <t>RX04F.033.303.02</t>
  </si>
  <si>
    <t>200 BPR Toilet Refurbishment</t>
  </si>
  <si>
    <t>PCP/15/007</t>
  </si>
  <si>
    <t>PCP/15/009</t>
  </si>
  <si>
    <t>RX04F.033.201.07</t>
  </si>
  <si>
    <t>Basement Leak Detection and Sump Pump</t>
  </si>
  <si>
    <t>PCP/16/006</t>
  </si>
  <si>
    <t>Toilet Flushing Upgrade</t>
  </si>
  <si>
    <t>PCP/16/016</t>
  </si>
  <si>
    <t>RX04F.033.301.01</t>
  </si>
  <si>
    <t>PCP/16/018</t>
  </si>
  <si>
    <t>RX04F.033.303.08</t>
  </si>
  <si>
    <t>PCP/16/019</t>
  </si>
  <si>
    <t>172 BPR LV Infrastructure Upgrade</t>
  </si>
  <si>
    <t>RX04F.033.302.02</t>
  </si>
  <si>
    <t>PCP/16/022</t>
  </si>
  <si>
    <t>Penton Street Upper Roof</t>
  </si>
  <si>
    <t>CC10284</t>
  </si>
  <si>
    <t>RX04F.029.037</t>
  </si>
  <si>
    <t>OCR/16/001</t>
  </si>
  <si>
    <t>LSTOC Accommodation Workstream</t>
  </si>
  <si>
    <t>Rech/15/ACR10556-10722</t>
  </si>
  <si>
    <t>Design Stage Gate 4</t>
  </si>
  <si>
    <t>Design Stage Gate 3</t>
  </si>
  <si>
    <t>Stage Gate 4 Status</t>
  </si>
  <si>
    <t>Stage Gate 3 Status</t>
  </si>
  <si>
    <r>
      <t xml:space="preserve">Stage 2
</t>
    </r>
    <r>
      <rPr>
        <b/>
        <sz val="10"/>
        <color theme="3" tint="0.39997558519241921"/>
        <rFont val="Calibri"/>
        <scheme val="minor"/>
      </rPr>
      <t>Feasibility</t>
    </r>
  </si>
  <si>
    <r>
      <t xml:space="preserve">Stage 5
</t>
    </r>
    <r>
      <rPr>
        <b/>
        <sz val="10"/>
        <color theme="3" tint="0.39997558519241921"/>
        <rFont val="Calibri"/>
        <scheme val="minor"/>
      </rPr>
      <t>Delivery</t>
    </r>
  </si>
  <si>
    <r>
      <t xml:space="preserve">Stage 3
</t>
    </r>
    <r>
      <rPr>
        <b/>
        <sz val="10"/>
        <color theme="3" tint="0.39997558519241921"/>
        <rFont val="Calibri"/>
        <scheme val="minor"/>
      </rPr>
      <t>Concept Design</t>
    </r>
  </si>
  <si>
    <r>
      <t xml:space="preserve">Stage 4
</t>
    </r>
    <r>
      <rPr>
        <b/>
        <sz val="10"/>
        <color theme="3" tint="0.39997558519241921"/>
        <rFont val="Calibri"/>
        <scheme val="minor"/>
      </rPr>
      <t>Detailed Design</t>
    </r>
  </si>
  <si>
    <t>Calculations</t>
  </si>
  <si>
    <t>Project Details</t>
  </si>
  <si>
    <t>Project ID</t>
  </si>
  <si>
    <t>Project Stage</t>
  </si>
  <si>
    <t>PM</t>
  </si>
  <si>
    <t>Costs Incurred</t>
  </si>
  <si>
    <t>To Occur</t>
  </si>
  <si>
    <t>Total</t>
  </si>
  <si>
    <t>Commercial</t>
  </si>
  <si>
    <t>RX04F.033.109.05</t>
  </si>
  <si>
    <t>Procurement Support</t>
  </si>
  <si>
    <t xml:space="preserve">Multisite </t>
  </si>
  <si>
    <t>VS</t>
  </si>
  <si>
    <t>Project Management</t>
  </si>
  <si>
    <t>RX04F.014.2007.709.04</t>
  </si>
  <si>
    <t>Health &amp; Safety</t>
  </si>
  <si>
    <t>RX04F.033.309.01</t>
  </si>
  <si>
    <t>5 - Delivery</t>
  </si>
  <si>
    <t>JY</t>
  </si>
  <si>
    <t>PCP/14/007</t>
  </si>
  <si>
    <t>RX04F.033.207.03</t>
  </si>
  <si>
    <t>Multisite - Fire compartmentation work</t>
  </si>
  <si>
    <t>6 - Project Close</t>
  </si>
  <si>
    <t>JM</t>
  </si>
  <si>
    <t>Victoria Station House-Fire Doors</t>
  </si>
  <si>
    <t>JC</t>
  </si>
  <si>
    <t>Baker Street Complex-Fire Alarm Phase 2</t>
  </si>
  <si>
    <t>Baker Street</t>
  </si>
  <si>
    <t>RX04F.033.201.05</t>
  </si>
  <si>
    <t>Windsor House Chiller Remedials</t>
  </si>
  <si>
    <t>4 - Detailed Design</t>
  </si>
  <si>
    <t>Windsor House/172 BPR</t>
  </si>
  <si>
    <t>Palestra</t>
  </si>
  <si>
    <t>PCP/15/014</t>
  </si>
  <si>
    <t>RX04F.014.2007.903.04</t>
  </si>
  <si>
    <t>Victoria Station House - Redecoration</t>
  </si>
  <si>
    <t>RX04F.033.303.04</t>
  </si>
  <si>
    <t>3 - Concept Design</t>
  </si>
  <si>
    <t>200 BPR</t>
  </si>
  <si>
    <t>HH</t>
  </si>
  <si>
    <t>PCP/16/010</t>
  </si>
  <si>
    <t>RX04F.033.303.03</t>
  </si>
  <si>
    <t>Griffith House Redecs</t>
  </si>
  <si>
    <t>Griffith House</t>
  </si>
  <si>
    <t xml:space="preserve">Templar House - Boiler Replacement </t>
  </si>
  <si>
    <t>Templar House</t>
  </si>
  <si>
    <t>VSH Roof and Facade Repair</t>
  </si>
  <si>
    <t>MS</t>
  </si>
  <si>
    <t>RX04F.033.302.06</t>
  </si>
  <si>
    <t>172 BPR</t>
  </si>
  <si>
    <t>LM</t>
  </si>
  <si>
    <t>Building Facade Risk Assessment</t>
  </si>
  <si>
    <t>2 - Feasibility</t>
  </si>
  <si>
    <t>Multisite</t>
  </si>
  <si>
    <t>FacOps/16/001</t>
  </si>
  <si>
    <t>172 BPR  5th Floor Power</t>
  </si>
  <si>
    <t>RX04F.033.305.02</t>
  </si>
  <si>
    <t>Penton Street</t>
  </si>
  <si>
    <t>PCP/16/023</t>
  </si>
  <si>
    <t>RX04F.033.307.03</t>
  </si>
  <si>
    <t>PA/VA</t>
  </si>
  <si>
    <t>Broadway</t>
  </si>
  <si>
    <t>PCP/16/017</t>
  </si>
  <si>
    <t>RX04F.033.302.01</t>
  </si>
  <si>
    <t>Palestra-Power Resilience</t>
  </si>
  <si>
    <t>AJ</t>
  </si>
  <si>
    <t>YTD</t>
  </si>
  <si>
    <t>Stage Gate 3 Completion</t>
  </si>
  <si>
    <t>Reason for Change</t>
  </si>
  <si>
    <t>Facilities Operations</t>
  </si>
  <si>
    <t>Days Until Stage 5 Completion</t>
  </si>
  <si>
    <t>Competent Principal Designer</t>
  </si>
  <si>
    <t>Competent Principal Contractor</t>
  </si>
  <si>
    <t>F10 Notifications and Renotifications</t>
  </si>
  <si>
    <t>Written Principal Designer Appointment</t>
  </si>
  <si>
    <t>Written Principal Contractor Appointment</t>
  </si>
  <si>
    <t>Designer General Principals of Prevention</t>
  </si>
  <si>
    <t>Preconstruction Information</t>
  </si>
  <si>
    <t>Construction Phase Plan</t>
  </si>
  <si>
    <t>Asbestos Impact Assessment (AIA)</t>
  </si>
  <si>
    <t xml:space="preserve">Competency of Site Manager </t>
  </si>
  <si>
    <t>Construction Site Inspections</t>
  </si>
  <si>
    <t xml:space="preserve">Health and Safety File </t>
  </si>
  <si>
    <t xml:space="preserve">Industrial Kitchen/Rest Room Refurbishment </t>
  </si>
  <si>
    <t>Templar House Tea points</t>
  </si>
  <si>
    <t>200 BPR New Kitchens 4th 5th 6th Floor</t>
  </si>
  <si>
    <t>Windsor House</t>
  </si>
  <si>
    <t>Griffiths House</t>
  </si>
  <si>
    <t>Rech/16/ACR12908</t>
  </si>
  <si>
    <t>Rech/15/ACR10787</t>
  </si>
  <si>
    <t>Palestra &amp; 200BPR</t>
  </si>
  <si>
    <t>Rech/16/ACR10994</t>
  </si>
  <si>
    <t>IO 2147043</t>
  </si>
  <si>
    <t>Rech/16/ACR11245</t>
  </si>
  <si>
    <t>Rech/16/ACR12721</t>
  </si>
  <si>
    <t xml:space="preserve">CC 10284 </t>
  </si>
  <si>
    <t>Rech/16/ACR6446</t>
  </si>
  <si>
    <t>Rech/16/ACR7149</t>
  </si>
  <si>
    <t>Palestra / 55 Broadway</t>
  </si>
  <si>
    <t>Rech/16/ACR13748</t>
  </si>
  <si>
    <t>Rech/16/ACR14011</t>
  </si>
  <si>
    <t>YES</t>
  </si>
  <si>
    <t>N/A</t>
  </si>
  <si>
    <t>NO</t>
  </si>
  <si>
    <t>Outturn Cost</t>
  </si>
  <si>
    <t>Windsor House Complex</t>
  </si>
  <si>
    <t>42-50 Victoria Street SW1H 0TL</t>
  </si>
  <si>
    <t>Contractual Practical Completion</t>
  </si>
  <si>
    <t>FacOps Action</t>
  </si>
  <si>
    <t>2-4 Weeks Overdue</t>
  </si>
  <si>
    <t>4+ Weeks Overdue</t>
  </si>
  <si>
    <t>Stage Gate 1</t>
  </si>
  <si>
    <t>Handover Date</t>
  </si>
  <si>
    <t>Forcast Board Date</t>
  </si>
  <si>
    <t>Actual Board Date</t>
  </si>
  <si>
    <t>PCP/16/024</t>
  </si>
  <si>
    <t>Stage 1</t>
  </si>
  <si>
    <t>Rag Status</t>
  </si>
  <si>
    <t>Broadway Complex</t>
  </si>
  <si>
    <t>55 Broadway SW1H 0BD</t>
  </si>
  <si>
    <t>Comments Key</t>
  </si>
  <si>
    <t>Health and Safety Documentation</t>
  </si>
  <si>
    <t>On Hold</t>
  </si>
  <si>
    <t>Change Control Register - Property Care Programme</t>
  </si>
  <si>
    <t>Change Request Description</t>
  </si>
  <si>
    <t>Summary of Impact 
(Cost / Schedule / Quality )</t>
  </si>
  <si>
    <t>Submitted By</t>
  </si>
  <si>
    <t>Date Submitted</t>
  </si>
  <si>
    <t>Date Approved / Rejected</t>
  </si>
  <si>
    <t>Approval / Rejection comment</t>
  </si>
  <si>
    <t>RX04F.033.307.04.01</t>
  </si>
  <si>
    <t xml:space="preserve">Griffiths House Facade Repairs - Enabling </t>
  </si>
  <si>
    <t>RX04F.033.307.04.02</t>
  </si>
  <si>
    <t>Griffiths House Facade Repairs - Project</t>
  </si>
  <si>
    <t>1 - Outline Definition</t>
  </si>
  <si>
    <t>RX04F.033.303.10</t>
  </si>
  <si>
    <t>2nd Floor Kitchen</t>
  </si>
  <si>
    <t xml:space="preserve">5- Delivery </t>
  </si>
  <si>
    <t>MP</t>
  </si>
  <si>
    <t>Closed</t>
  </si>
  <si>
    <t>17th Floor Partition</t>
  </si>
  <si>
    <t xml:space="preserve">Delivery </t>
  </si>
  <si>
    <t>Templar House Basement</t>
  </si>
  <si>
    <t>RNC Relocation works to Palestra</t>
  </si>
  <si>
    <t>AC</t>
  </si>
  <si>
    <t>New Meeting Rooms for Steve Burton</t>
  </si>
  <si>
    <t>Pier Walk</t>
  </si>
  <si>
    <t>Ex Police Cells refurbishment</t>
  </si>
  <si>
    <t>13 Allsop Place</t>
  </si>
  <si>
    <t xml:space="preserve">17th Floor    </t>
  </si>
  <si>
    <t>Rech/14/ACR3958</t>
  </si>
  <si>
    <t xml:space="preserve"> IO 1012369</t>
  </si>
  <si>
    <t>New Consulting Rooms</t>
  </si>
  <si>
    <t>Townsend House</t>
  </si>
  <si>
    <t>IO 2146842</t>
  </si>
  <si>
    <t>RX04F.036.005</t>
  </si>
  <si>
    <t>TH</t>
  </si>
  <si>
    <t>RX04F.036.002 RX04F.033.303.09</t>
  </si>
  <si>
    <t>CC 11000</t>
  </si>
  <si>
    <t>Rech/16/ACR11193</t>
  </si>
  <si>
    <t>IO 2147303</t>
  </si>
  <si>
    <t>Albany House Ground Floor Kitchen Refurbishment</t>
  </si>
  <si>
    <t>IO 2147405</t>
  </si>
  <si>
    <t>Rech/16/ACR14719</t>
  </si>
  <si>
    <t xml:space="preserve">IO 2147503 </t>
  </si>
  <si>
    <t>9th  Floor Kitchen Refurb</t>
  </si>
  <si>
    <t>IO 2130087</t>
  </si>
  <si>
    <t xml:space="preserve">Locker Rooms </t>
  </si>
  <si>
    <t>Cranbourne Street</t>
  </si>
  <si>
    <t>IO 2146942</t>
  </si>
  <si>
    <t>IO 2147484</t>
  </si>
  <si>
    <t>Auditorium, 2nd Floor</t>
  </si>
  <si>
    <t>IO 2147462</t>
  </si>
  <si>
    <t>Uniform store relocation to Penton St</t>
  </si>
  <si>
    <t>IO 2130220</t>
  </si>
  <si>
    <t>Rech/16/ACR12770</t>
  </si>
  <si>
    <t>Rech/16/ACR14308</t>
  </si>
  <si>
    <t>Rech/16/ACR13713</t>
  </si>
  <si>
    <t xml:space="preserve">Submitted to Stage Gate 5 Board </t>
  </si>
  <si>
    <t>Project Requirement issued</t>
  </si>
  <si>
    <t>Forecast Board Date</t>
  </si>
  <si>
    <t>Contractual practical completion</t>
  </si>
  <si>
    <t>Retention Release Date</t>
  </si>
  <si>
    <t>Retention Amount</t>
  </si>
  <si>
    <t>Retention Released</t>
  </si>
  <si>
    <t>Defects liablity Period (Months)</t>
  </si>
  <si>
    <t>Rentention and Release</t>
  </si>
  <si>
    <t>\</t>
  </si>
  <si>
    <t>NEC3 Form Contract</t>
  </si>
  <si>
    <t>In Year Position as @ P9</t>
  </si>
  <si>
    <t>Project Description</t>
  </si>
  <si>
    <t>Start date</t>
  </si>
  <si>
    <t>Completion</t>
  </si>
  <si>
    <t>Today</t>
  </si>
  <si>
    <t>Column1</t>
  </si>
  <si>
    <t>PulledCompletion</t>
  </si>
  <si>
    <t>Days</t>
  </si>
  <si>
    <t>Pulled DaysColumn1</t>
  </si>
  <si>
    <t>Project Managers</t>
  </si>
  <si>
    <t>Pulled Project Manager</t>
  </si>
  <si>
    <t>Pulled DaysColumn2</t>
  </si>
  <si>
    <t>Stage Gate 5</t>
  </si>
  <si>
    <t>Date: 19/01/2016</t>
  </si>
  <si>
    <t/>
  </si>
  <si>
    <t xml:space="preserve">Completed </t>
  </si>
  <si>
    <t>on time</t>
  </si>
  <si>
    <t>Under budget by £42047</t>
  </si>
  <si>
    <t>Aldgate Station (EC3N)</t>
  </si>
  <si>
    <t>Allsop Place, 13 (NW1)</t>
  </si>
  <si>
    <t>Allsop Place, 15-17 (NW1)</t>
  </si>
  <si>
    <t>Ashfield House (W14)</t>
  </si>
  <si>
    <t>Baker Street Revenue Control (NW1)</t>
  </si>
  <si>
    <t>Baker Street, 210-212 (NW1)</t>
  </si>
  <si>
    <t>Baker Street, 216 (NW1)</t>
  </si>
  <si>
    <t>Blackwall (E14)</t>
  </si>
  <si>
    <t>Borough High Street, 31 (SE1)</t>
  </si>
  <si>
    <t>Chancel Street Garage Complex (SE1)</t>
  </si>
  <si>
    <t>Davies Street, 75 (W1)</t>
  </si>
  <si>
    <t>Griffith House (NW1)</t>
  </si>
  <si>
    <t>Lost Property Office (NW1)</t>
  </si>
  <si>
    <t>Multi Sites</t>
  </si>
  <si>
    <t>Old Broad Street (EC2)</t>
  </si>
  <si>
    <t>Oxford Circus House (W1)</t>
  </si>
  <si>
    <t>Pelham Street (SW7)</t>
  </si>
  <si>
    <t>Penton Street (NW1)</t>
  </si>
  <si>
    <t>Premier House (W9)</t>
  </si>
  <si>
    <t>Selbie House (NW1)</t>
  </si>
  <si>
    <t>Townsend House (SW1)</t>
  </si>
  <si>
    <t>Uniform Store (W3)</t>
  </si>
  <si>
    <t>Vandon St Garage (SW1)</t>
  </si>
  <si>
    <t>Western House (W1)</t>
  </si>
  <si>
    <t>Stage Gate</t>
  </si>
  <si>
    <t>FacOps Reps</t>
  </si>
  <si>
    <t>Sponsors</t>
  </si>
  <si>
    <t>Project Manager B</t>
  </si>
  <si>
    <t>PCP/TEST/0001</t>
  </si>
  <si>
    <t>This is a test</t>
  </si>
  <si>
    <t>Forecast Completion on 12-8-2017
on time</t>
  </si>
  <si>
    <t>Current Forecast Spend £100000</t>
  </si>
  <si>
    <t>Stage Gate 2</t>
  </si>
  <si>
    <t>John Cusains</t>
  </si>
  <si>
    <t>PCP/TEST/0002</t>
  </si>
  <si>
    <t>Board Date
12/02/2017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</si>
</sst>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#,##0_ ;[Red]\-#,##0\ "/>
    <numFmt numFmtId="167" formatCode="[$-409]d\-mmm\-yy;@"/>
    <numFmt numFmtId="168" formatCode="[$-409]dd\-mmm\-yy;@"/>
    <numFmt numFmtId="169" formatCode="_(&quot;£&quot;* #,##0.00_);_(&quot;£&quot;* \(#,##0.00\);_(&quot;£&quot;* &quot;-&quot;??_);_(@_)"/>
    <numFmt numFmtId="170" formatCode="_(* #,##0.00_);_(* \(#,##0.00\);_(* &quot;-&quot;??_);_(@_)"/>
  </numFmts>
  <fonts count="87" x14ac:knownFonts="1">
    <font>
      <sz val="12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"/>
      <scheme val="minor"/>
    </font>
    <font>
      <b/>
      <sz val="12"/>
      <color theme="1"/>
      <name val="Calibri"/>
      <scheme val="minor"/>
    </font>
    <font>
      <sz val="8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scheme val="minor"/>
    </font>
    <font>
      <b/>
      <sz val="8"/>
      <color theme="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0"/>
      <name val="Calibri"/>
      <scheme val="minor"/>
    </font>
    <font>
      <b/>
      <sz val="12"/>
      <name val="Calibri"/>
      <scheme val="minor"/>
    </font>
    <font>
      <b/>
      <sz val="10"/>
      <color theme="3" tint="0.39997558519241921"/>
      <name val="Calibri"/>
      <scheme val="minor"/>
    </font>
    <font>
      <sz val="10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3"/>
      <name val="Arial"/>
      <family val="2"/>
    </font>
    <font>
      <sz val="10"/>
      <color rgb="FF000000"/>
      <name val="Arial"/>
      <family val="2"/>
    </font>
    <font>
      <u/>
      <sz val="12"/>
      <color theme="10"/>
      <name val="Arial"/>
      <family val="2"/>
    </font>
    <font>
      <u/>
      <sz val="8"/>
      <color rgb="FF0000FF"/>
      <name val="Arial"/>
      <family val="2"/>
    </font>
    <font>
      <sz val="8"/>
      <color rgb="FF000000"/>
      <name val="Arial"/>
      <family val="2"/>
    </font>
    <font>
      <b/>
      <sz val="10"/>
      <name val="Calibri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u/>
      <sz val="8"/>
      <color theme="10"/>
      <name val="Arial"/>
      <family val="2"/>
    </font>
    <font>
      <u/>
      <sz val="10"/>
      <color theme="10"/>
      <name val="Arial"/>
      <family val="2"/>
    </font>
    <font>
      <u/>
      <sz val="9"/>
      <color theme="10"/>
      <name val="Arial"/>
      <family val="2"/>
    </font>
    <font>
      <b/>
      <sz val="13"/>
      <name val="Arial"/>
      <family val="2"/>
    </font>
    <font>
      <u/>
      <sz val="10"/>
      <color indexed="12"/>
      <name val="Arial"/>
      <family val="2"/>
    </font>
    <font>
      <sz val="12"/>
      <color indexed="8"/>
      <name val="Tahoma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sz val="8"/>
      <color theme="0"/>
      <name val="Arial"/>
      <family val="2"/>
    </font>
    <font>
      <b/>
      <sz val="10"/>
      <color theme="8" tint="-0.49998474074526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0"/>
      <color indexed="23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12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b/>
      <sz val="12"/>
      <color rgb="FFFA7D00"/>
      <name val="Arial"/>
      <family val="2"/>
    </font>
    <font>
      <sz val="12"/>
      <color rgb="FFFA7D0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1"/>
      <color theme="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0"/>
      <name val="Calibri"/>
      <scheme val="minor"/>
    </font>
    <font>
      <sz val="10"/>
      <color theme="0"/>
      <name val="Calibri"/>
      <scheme val="minor"/>
    </font>
  </fonts>
  <fills count="1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C23B22"/>
        <bgColor indexed="64"/>
      </patternFill>
    </fill>
    <fill>
      <patternFill patternType="solid">
        <fgColor rgb="FFFFB34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95B3D7"/>
        <bgColor indexed="64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54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8"/>
        <bgColor indexed="48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25"/>
        <bgColor indexed="25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43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15"/>
      </patternFill>
    </fill>
    <fill>
      <patternFill patternType="solid">
        <fgColor rgb="FFA50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D795CA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theme="4"/>
        <bgColor theme="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thin">
        <color theme="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602">
    <xf numFmtId="0" fontId="0" fillId="0" borderId="0"/>
    <xf numFmtId="0" fontId="18" fillId="0" borderId="0"/>
    <xf numFmtId="0" fontId="22" fillId="0" borderId="34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42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42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42" fillId="36" borderId="0" applyNumberFormat="0" applyBorder="0" applyAlignment="0" applyProtection="0"/>
    <xf numFmtId="0" fontId="42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1" borderId="0" applyNumberFormat="0" applyBorder="0" applyAlignment="0" applyProtection="0"/>
    <xf numFmtId="0" fontId="42" fillId="44" borderId="0" applyNumberFormat="0" applyBorder="0" applyAlignment="0" applyProtection="0"/>
    <xf numFmtId="0" fontId="43" fillId="41" borderId="0" applyNumberFormat="0" applyBorder="0" applyAlignment="0" applyProtection="0"/>
    <xf numFmtId="0" fontId="43" fillId="36" borderId="0" applyNumberFormat="0" applyBorder="0" applyAlignment="0" applyProtection="0"/>
    <xf numFmtId="0" fontId="43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1" borderId="0" applyNumberFormat="0" applyBorder="0" applyAlignment="0" applyProtection="0"/>
    <xf numFmtId="0" fontId="43" fillId="44" borderId="0" applyNumberFormat="0" applyBorder="0" applyAlignment="0" applyProtection="0"/>
    <xf numFmtId="0" fontId="44" fillId="45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4" fillId="48" borderId="0" applyNumberFormat="0" applyBorder="0" applyAlignment="0" applyProtection="0"/>
    <xf numFmtId="0" fontId="44" fillId="49" borderId="0" applyNumberFormat="0" applyBorder="0" applyAlignment="0" applyProtection="0"/>
    <xf numFmtId="0" fontId="45" fillId="50" borderId="0" applyNumberFormat="0" applyBorder="0" applyAlignment="0" applyProtection="0"/>
    <xf numFmtId="0" fontId="45" fillId="51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5" fillId="53" borderId="0" applyNumberFormat="0" applyBorder="0" applyAlignment="0" applyProtection="0"/>
    <xf numFmtId="0" fontId="45" fillId="54" borderId="0" applyNumberFormat="0" applyBorder="0" applyAlignment="0" applyProtection="0"/>
    <xf numFmtId="0" fontId="44" fillId="55" borderId="0" applyNumberFormat="0" applyBorder="0" applyAlignment="0" applyProtection="0"/>
    <xf numFmtId="0" fontId="44" fillId="56" borderId="0" applyNumberFormat="0" applyBorder="0" applyAlignment="0" applyProtection="0"/>
    <xf numFmtId="0" fontId="45" fillId="54" borderId="0" applyNumberFormat="0" applyBorder="0" applyAlignment="0" applyProtection="0"/>
    <xf numFmtId="0" fontId="45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7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4" fillId="47" borderId="0" applyNumberFormat="0" applyBorder="0" applyAlignment="0" applyProtection="0"/>
    <xf numFmtId="0" fontId="44" fillId="58" borderId="0" applyNumberFormat="0" applyBorder="0" applyAlignment="0" applyProtection="0"/>
    <xf numFmtId="0" fontId="45" fillId="59" borderId="0" applyNumberFormat="0" applyBorder="0" applyAlignment="0" applyProtection="0"/>
    <xf numFmtId="0" fontId="45" fillId="51" borderId="0" applyNumberFormat="0" applyBorder="0" applyAlignment="0" applyProtection="0"/>
    <xf numFmtId="0" fontId="44" fillId="60" borderId="0" applyNumberFormat="0" applyBorder="0" applyAlignment="0" applyProtection="0"/>
    <xf numFmtId="0" fontId="46" fillId="51" borderId="0" applyNumberFormat="0" applyBorder="0" applyAlignment="0" applyProtection="0"/>
    <xf numFmtId="0" fontId="47" fillId="61" borderId="53" applyNumberFormat="0" applyAlignment="0" applyProtection="0"/>
    <xf numFmtId="0" fontId="48" fillId="52" borderId="54" applyNumberFormat="0" applyAlignment="0" applyProtection="0"/>
    <xf numFmtId="0" fontId="49" fillId="62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65" borderId="0" applyNumberFormat="0" applyBorder="0" applyAlignment="0" applyProtection="0"/>
    <xf numFmtId="0" fontId="52" fillId="0" borderId="55" applyNumberFormat="0" applyFill="0" applyAlignment="0" applyProtection="0"/>
    <xf numFmtId="0" fontId="53" fillId="0" borderId="56" applyNumberFormat="0" applyFill="0" applyAlignment="0" applyProtection="0"/>
    <xf numFmtId="0" fontId="54" fillId="0" borderId="57" applyNumberFormat="0" applyFill="0" applyAlignment="0" applyProtection="0"/>
    <xf numFmtId="0" fontId="54" fillId="0" borderId="0" applyNumberFormat="0" applyFill="0" applyBorder="0" applyAlignment="0" applyProtection="0"/>
    <xf numFmtId="0" fontId="55" fillId="60" borderId="53" applyNumberFormat="0" applyAlignment="0" applyProtection="0"/>
    <xf numFmtId="0" fontId="56" fillId="0" borderId="58" applyNumberFormat="0" applyFill="0" applyAlignment="0" applyProtection="0"/>
    <xf numFmtId="0" fontId="57" fillId="60" borderId="0" applyNumberFormat="0" applyBorder="0" applyAlignment="0" applyProtection="0"/>
    <xf numFmtId="0" fontId="21" fillId="59" borderId="59" applyNumberFormat="0" applyFont="0" applyAlignment="0" applyProtection="0"/>
    <xf numFmtId="0" fontId="58" fillId="61" borderId="60" applyNumberFormat="0" applyAlignment="0" applyProtection="0"/>
    <xf numFmtId="4" fontId="59" fillId="66" borderId="61" applyNumberFormat="0" applyProtection="0">
      <alignment vertical="center"/>
    </xf>
    <xf numFmtId="4" fontId="60" fillId="66" borderId="61" applyNumberFormat="0" applyProtection="0">
      <alignment vertical="center"/>
    </xf>
    <xf numFmtId="4" fontId="59" fillId="66" borderId="61" applyNumberFormat="0" applyProtection="0">
      <alignment horizontal="left" vertical="center" indent="1"/>
    </xf>
    <xf numFmtId="0" fontId="59" fillId="66" borderId="61" applyNumberFormat="0" applyProtection="0">
      <alignment horizontal="left" vertical="top" indent="1"/>
    </xf>
    <xf numFmtId="4" fontId="59" fillId="35" borderId="0" applyNumberFormat="0" applyProtection="0">
      <alignment horizontal="left" vertical="center" indent="1"/>
    </xf>
    <xf numFmtId="4" fontId="42" fillId="40" borderId="61" applyNumberFormat="0" applyProtection="0">
      <alignment horizontal="right" vertical="center"/>
    </xf>
    <xf numFmtId="4" fontId="42" fillId="36" borderId="61" applyNumberFormat="0" applyProtection="0">
      <alignment horizontal="right" vertical="center"/>
    </xf>
    <xf numFmtId="4" fontId="42" fillId="67" borderId="61" applyNumberFormat="0" applyProtection="0">
      <alignment horizontal="right" vertical="center"/>
    </xf>
    <xf numFmtId="4" fontId="42" fillId="68" borderId="61" applyNumberFormat="0" applyProtection="0">
      <alignment horizontal="right" vertical="center"/>
    </xf>
    <xf numFmtId="4" fontId="42" fillId="69" borderId="61" applyNumberFormat="0" applyProtection="0">
      <alignment horizontal="right" vertical="center"/>
    </xf>
    <xf numFmtId="4" fontId="42" fillId="70" borderId="61" applyNumberFormat="0" applyProtection="0">
      <alignment horizontal="right" vertical="center"/>
    </xf>
    <xf numFmtId="4" fontId="42" fillId="42" borderId="61" applyNumberFormat="0" applyProtection="0">
      <alignment horizontal="right" vertical="center"/>
    </xf>
    <xf numFmtId="4" fontId="42" fillId="71" borderId="61" applyNumberFormat="0" applyProtection="0">
      <alignment horizontal="right" vertical="center"/>
    </xf>
    <xf numFmtId="4" fontId="42" fillId="72" borderId="61" applyNumberFormat="0" applyProtection="0">
      <alignment horizontal="right" vertical="center"/>
    </xf>
    <xf numFmtId="4" fontId="59" fillId="73" borderId="62" applyNumberFormat="0" applyProtection="0">
      <alignment horizontal="left" vertical="center" indent="1"/>
    </xf>
    <xf numFmtId="4" fontId="42" fillId="74" borderId="0" applyNumberFormat="0" applyProtection="0">
      <alignment horizontal="left" vertical="center" indent="1"/>
    </xf>
    <xf numFmtId="4" fontId="61" fillId="41" borderId="0" applyNumberFormat="0" applyProtection="0">
      <alignment horizontal="left" vertical="center" indent="1"/>
    </xf>
    <xf numFmtId="4" fontId="42" fillId="35" borderId="61" applyNumberFormat="0" applyProtection="0">
      <alignment horizontal="right" vertical="center"/>
    </xf>
    <xf numFmtId="4" fontId="42" fillId="74" borderId="0" applyNumberFormat="0" applyProtection="0">
      <alignment horizontal="left" vertical="center" indent="1"/>
    </xf>
    <xf numFmtId="4" fontId="42" fillId="35" borderId="0" applyNumberFormat="0" applyProtection="0">
      <alignment horizontal="left" vertical="center" indent="1"/>
    </xf>
    <xf numFmtId="0" fontId="21" fillId="41" borderId="61" applyNumberFormat="0" applyProtection="0">
      <alignment horizontal="left" vertical="center" indent="1"/>
    </xf>
    <xf numFmtId="0" fontId="21" fillId="41" borderId="61" applyNumberFormat="0" applyProtection="0">
      <alignment horizontal="left" vertical="top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top" indent="1"/>
    </xf>
    <xf numFmtId="0" fontId="21" fillId="39" borderId="61" applyNumberFormat="0" applyProtection="0">
      <alignment horizontal="left" vertical="center" indent="1"/>
    </xf>
    <xf numFmtId="0" fontId="21" fillId="39" borderId="61" applyNumberFormat="0" applyProtection="0">
      <alignment horizontal="left" vertical="top" indent="1"/>
    </xf>
    <xf numFmtId="0" fontId="21" fillId="74" borderId="61" applyNumberFormat="0" applyProtection="0">
      <alignment horizontal="left" vertical="center" indent="1"/>
    </xf>
    <xf numFmtId="0" fontId="21" fillId="74" borderId="61" applyNumberFormat="0" applyProtection="0">
      <alignment horizontal="left" vertical="top" indent="1"/>
    </xf>
    <xf numFmtId="0" fontId="21" fillId="38" borderId="1" applyNumberFormat="0">
      <protection locked="0"/>
    </xf>
    <xf numFmtId="4" fontId="42" fillId="37" borderId="61" applyNumberFormat="0" applyProtection="0">
      <alignment vertical="center"/>
    </xf>
    <xf numFmtId="4" fontId="62" fillId="37" borderId="61" applyNumberFormat="0" applyProtection="0">
      <alignment vertical="center"/>
    </xf>
    <xf numFmtId="4" fontId="42" fillId="37" borderId="61" applyNumberFormat="0" applyProtection="0">
      <alignment horizontal="left" vertical="center" indent="1"/>
    </xf>
    <xf numFmtId="0" fontId="42" fillId="37" borderId="61" applyNumberFormat="0" applyProtection="0">
      <alignment horizontal="left" vertical="top" indent="1"/>
    </xf>
    <xf numFmtId="4" fontId="42" fillId="74" borderId="61" applyNumberFormat="0" applyProtection="0">
      <alignment horizontal="right" vertical="center"/>
    </xf>
    <xf numFmtId="4" fontId="62" fillId="74" borderId="61" applyNumberFormat="0" applyProtection="0">
      <alignment horizontal="right" vertical="center"/>
    </xf>
    <xf numFmtId="4" fontId="42" fillId="35" borderId="61" applyNumberFormat="0" applyProtection="0">
      <alignment horizontal="left" vertical="center" indent="1"/>
    </xf>
    <xf numFmtId="0" fontId="42" fillId="35" borderId="61" applyNumberFormat="0" applyProtection="0">
      <alignment horizontal="left" vertical="top" indent="1"/>
    </xf>
    <xf numFmtId="4" fontId="63" fillId="75" borderId="0" applyNumberFormat="0" applyProtection="0">
      <alignment horizontal="left" vertical="center" indent="1"/>
    </xf>
    <xf numFmtId="4" fontId="41" fillId="74" borderId="61" applyNumberFormat="0" applyProtection="0">
      <alignment horizontal="right" vertical="center"/>
    </xf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49" fillId="0" borderId="63" applyNumberFormat="0" applyFill="0" applyAlignment="0" applyProtection="0"/>
    <xf numFmtId="0" fontId="65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65" applyNumberFormat="0" applyFill="0" applyAlignment="0" applyProtection="0"/>
    <xf numFmtId="0" fontId="69" fillId="0" borderId="66" applyNumberFormat="0" applyFill="0" applyAlignment="0" applyProtection="0"/>
    <xf numFmtId="0" fontId="22" fillId="0" borderId="0" applyNumberFormat="0" applyFill="0" applyBorder="0" applyAlignment="0" applyProtection="0"/>
    <xf numFmtId="0" fontId="70" fillId="77" borderId="0" applyNumberFormat="0" applyBorder="0" applyAlignment="0" applyProtection="0"/>
    <xf numFmtId="0" fontId="71" fillId="78" borderId="0" applyNumberFormat="0" applyBorder="0" applyAlignment="0" applyProtection="0"/>
    <xf numFmtId="0" fontId="72" fillId="79" borderId="0" applyNumberFormat="0" applyBorder="0" applyAlignment="0" applyProtection="0"/>
    <xf numFmtId="0" fontId="73" fillId="80" borderId="67" applyNumberFormat="0" applyAlignment="0" applyProtection="0"/>
    <xf numFmtId="0" fontId="74" fillId="81" borderId="68" applyNumberFormat="0" applyAlignment="0" applyProtection="0"/>
    <xf numFmtId="0" fontId="75" fillId="81" borderId="67" applyNumberFormat="0" applyAlignment="0" applyProtection="0"/>
    <xf numFmtId="0" fontId="76" fillId="0" borderId="69" applyNumberFormat="0" applyFill="0" applyAlignment="0" applyProtection="0"/>
    <xf numFmtId="0" fontId="19" fillId="82" borderId="70" applyNumberFormat="0" applyAlignment="0" applyProtection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72" applyNumberFormat="0" applyFill="0" applyAlignment="0" applyProtection="0"/>
    <xf numFmtId="0" fontId="80" fillId="84" borderId="0" applyNumberFormat="0" applyBorder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80" fillId="87" borderId="0" applyNumberFormat="0" applyBorder="0" applyAlignment="0" applyProtection="0"/>
    <xf numFmtId="0" fontId="80" fillId="88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80" fillId="91" borderId="0" applyNumberFormat="0" applyBorder="0" applyAlignment="0" applyProtection="0"/>
    <xf numFmtId="0" fontId="80" fillId="92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80" fillId="95" borderId="0" applyNumberFormat="0" applyBorder="0" applyAlignment="0" applyProtection="0"/>
    <xf numFmtId="0" fontId="80" fillId="96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80" fillId="99" borderId="0" applyNumberFormat="0" applyBorder="0" applyAlignment="0" applyProtection="0"/>
    <xf numFmtId="0" fontId="80" fillId="100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80" fillId="103" borderId="0" applyNumberFormat="0" applyBorder="0" applyAlignment="0" applyProtection="0"/>
    <xf numFmtId="0" fontId="80" fillId="104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80" fillId="107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80" fillId="87" borderId="0" applyNumberFormat="0" applyBorder="0" applyAlignment="0" applyProtection="0"/>
    <xf numFmtId="0" fontId="80" fillId="91" borderId="0" applyNumberFormat="0" applyBorder="0" applyAlignment="0" applyProtection="0"/>
    <xf numFmtId="0" fontId="80" fillId="95" borderId="0" applyNumberFormat="0" applyBorder="0" applyAlignment="0" applyProtection="0"/>
    <xf numFmtId="0" fontId="80" fillId="99" borderId="0" applyNumberFormat="0" applyBorder="0" applyAlignment="0" applyProtection="0"/>
    <xf numFmtId="0" fontId="80" fillId="103" borderId="0" applyNumberFormat="0" applyBorder="0" applyAlignment="0" applyProtection="0"/>
    <xf numFmtId="0" fontId="80" fillId="107" borderId="0" applyNumberFormat="0" applyBorder="0" applyAlignment="0" applyProtection="0"/>
    <xf numFmtId="0" fontId="80" fillId="84" borderId="0" applyNumberFormat="0" applyBorder="0" applyAlignment="0" applyProtection="0"/>
    <xf numFmtId="0" fontId="80" fillId="88" borderId="0" applyNumberFormat="0" applyBorder="0" applyAlignment="0" applyProtection="0"/>
    <xf numFmtId="0" fontId="80" fillId="92" borderId="0" applyNumberFormat="0" applyBorder="0" applyAlignment="0" applyProtection="0"/>
    <xf numFmtId="0" fontId="80" fillId="96" borderId="0" applyNumberFormat="0" applyBorder="0" applyAlignment="0" applyProtection="0"/>
    <xf numFmtId="0" fontId="80" fillId="100" borderId="0" applyNumberFormat="0" applyBorder="0" applyAlignment="0" applyProtection="0"/>
    <xf numFmtId="0" fontId="80" fillId="104" borderId="0" applyNumberFormat="0" applyBorder="0" applyAlignment="0" applyProtection="0"/>
    <xf numFmtId="0" fontId="71" fillId="78" borderId="0" applyNumberFormat="0" applyBorder="0" applyAlignment="0" applyProtection="0"/>
    <xf numFmtId="0" fontId="75" fillId="81" borderId="67" applyNumberFormat="0" applyAlignment="0" applyProtection="0"/>
    <xf numFmtId="0" fontId="19" fillId="82" borderId="70" applyNumberFormat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21" fillId="108" borderId="0"/>
    <xf numFmtId="0" fontId="78" fillId="0" borderId="0" applyNumberFormat="0" applyFill="0" applyBorder="0" applyAlignment="0" applyProtection="0"/>
    <xf numFmtId="0" fontId="70" fillId="77" borderId="0" applyNumberFormat="0" applyBorder="0" applyAlignment="0" applyProtection="0"/>
    <xf numFmtId="0" fontId="68" fillId="0" borderId="65" applyNumberFormat="0" applyFill="0" applyAlignment="0" applyProtection="0"/>
    <xf numFmtId="0" fontId="69" fillId="0" borderId="66" applyNumberFormat="0" applyFill="0" applyAlignment="0" applyProtection="0"/>
    <xf numFmtId="0" fontId="22" fillId="0" borderId="34" applyNumberFormat="0" applyFill="0" applyAlignment="0" applyProtection="0"/>
    <xf numFmtId="0" fontId="22" fillId="0" borderId="0" applyNumberFormat="0" applyFill="0" applyBorder="0" applyAlignment="0" applyProtection="0"/>
    <xf numFmtId="0" fontId="73" fillId="80" borderId="67" applyNumberFormat="0" applyAlignment="0" applyProtection="0"/>
    <xf numFmtId="0" fontId="76" fillId="0" borderId="69" applyNumberFormat="0" applyFill="0" applyAlignment="0" applyProtection="0"/>
    <xf numFmtId="0" fontId="72" fillId="79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74" fillId="81" borderId="68" applyNumberFormat="0" applyAlignment="0" applyProtection="0"/>
    <xf numFmtId="9" fontId="21" fillId="0" borderId="0" applyFont="0" applyFill="0" applyBorder="0" applyAlignment="0" applyProtection="0"/>
    <xf numFmtId="0" fontId="21" fillId="109" borderId="0">
      <alignment vertical="top" wrapText="1"/>
    </xf>
    <xf numFmtId="0" fontId="79" fillId="0" borderId="72" applyNumberFormat="0" applyFill="0" applyAlignment="0" applyProtection="0"/>
    <xf numFmtId="0" fontId="77" fillId="0" borderId="0" applyNumberForma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4" fillId="0" borderId="0" applyNumberFormat="0" applyFill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169" fontId="2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21" fillId="41" borderId="61" applyNumberFormat="0" applyProtection="0">
      <alignment horizontal="left" vertical="center" indent="1"/>
    </xf>
    <xf numFmtId="0" fontId="21" fillId="41" borderId="61" applyNumberFormat="0" applyProtection="0">
      <alignment horizontal="left" vertical="top" indent="1"/>
    </xf>
    <xf numFmtId="0" fontId="21" fillId="35" borderId="61" applyNumberFormat="0" applyProtection="0">
      <alignment horizontal="left" vertical="center" indent="1"/>
    </xf>
    <xf numFmtId="0" fontId="21" fillId="35" borderId="61" applyNumberFormat="0" applyProtection="0">
      <alignment horizontal="left" vertical="top" indent="1"/>
    </xf>
    <xf numFmtId="0" fontId="21" fillId="39" borderId="61" applyNumberFormat="0" applyProtection="0">
      <alignment horizontal="left" vertical="center" indent="1"/>
    </xf>
    <xf numFmtId="0" fontId="21" fillId="39" borderId="61" applyNumberFormat="0" applyProtection="0">
      <alignment horizontal="left" vertical="top" indent="1"/>
    </xf>
    <xf numFmtId="0" fontId="21" fillId="74" borderId="61" applyNumberFormat="0" applyProtection="0">
      <alignment horizontal="left" vertical="center" indent="1"/>
    </xf>
    <xf numFmtId="0" fontId="21" fillId="74" borderId="61" applyNumberFormat="0" applyProtection="0">
      <alignment horizontal="left" vertical="top" indent="1"/>
    </xf>
    <xf numFmtId="0" fontId="21" fillId="38" borderId="1" applyNumberFormat="0">
      <protection locked="0"/>
    </xf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32" fillId="0" borderId="0" applyNumberForma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32" fillId="0" borderId="0" applyNumberForma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0" borderId="0"/>
    <xf numFmtId="0" fontId="18" fillId="83" borderId="71" applyNumberFormat="0" applyFont="0" applyAlignment="0" applyProtection="0"/>
    <xf numFmtId="43" fontId="18" fillId="0" borderId="0" applyFont="0" applyFill="0" applyBorder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21" fillId="0" borderId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21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9" fontId="21" fillId="0" borderId="0" applyFont="0" applyFill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0" borderId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5" borderId="0" applyNumberFormat="0" applyBorder="0" applyAlignment="0" applyProtection="0"/>
    <xf numFmtId="0" fontId="18" fillId="89" borderId="0" applyNumberFormat="0" applyBorder="0" applyAlignment="0" applyProtection="0"/>
    <xf numFmtId="0" fontId="18" fillId="93" borderId="0" applyNumberFormat="0" applyBorder="0" applyAlignment="0" applyProtection="0"/>
    <xf numFmtId="0" fontId="18" fillId="97" borderId="0" applyNumberFormat="0" applyBorder="0" applyAlignment="0" applyProtection="0"/>
    <xf numFmtId="0" fontId="18" fillId="101" borderId="0" applyNumberFormat="0" applyBorder="0" applyAlignment="0" applyProtection="0"/>
    <xf numFmtId="0" fontId="18" fillId="105" borderId="0" applyNumberFormat="0" applyBorder="0" applyAlignment="0" applyProtection="0"/>
    <xf numFmtId="0" fontId="18" fillId="86" borderId="0" applyNumberFormat="0" applyBorder="0" applyAlignment="0" applyProtection="0"/>
    <xf numFmtId="0" fontId="18" fillId="90" borderId="0" applyNumberFormat="0" applyBorder="0" applyAlignment="0" applyProtection="0"/>
    <xf numFmtId="0" fontId="18" fillId="94" borderId="0" applyNumberFormat="0" applyBorder="0" applyAlignment="0" applyProtection="0"/>
    <xf numFmtId="0" fontId="18" fillId="98" borderId="0" applyNumberFormat="0" applyBorder="0" applyAlignment="0" applyProtection="0"/>
    <xf numFmtId="0" fontId="18" fillId="102" borderId="0" applyNumberFormat="0" applyBorder="0" applyAlignment="0" applyProtection="0"/>
    <xf numFmtId="0" fontId="18" fillId="106" borderId="0" applyNumberFormat="0" applyBorder="0" applyAlignment="0" applyProtection="0"/>
    <xf numFmtId="170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0" borderId="0"/>
    <xf numFmtId="0" fontId="18" fillId="0" borderId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  <xf numFmtId="0" fontId="18" fillId="83" borderId="71" applyNumberFormat="0" applyFont="0" applyAlignment="0" applyProtection="0"/>
    <xf numFmtId="0" fontId="18" fillId="85" borderId="0" applyNumberFormat="0" applyBorder="0" applyAlignment="0" applyProtection="0"/>
    <xf numFmtId="0" fontId="18" fillId="86" borderId="0" applyNumberFormat="0" applyBorder="0" applyAlignment="0" applyProtection="0"/>
    <xf numFmtId="0" fontId="18" fillId="89" borderId="0" applyNumberFormat="0" applyBorder="0" applyAlignment="0" applyProtection="0"/>
    <xf numFmtId="0" fontId="18" fillId="90" borderId="0" applyNumberFormat="0" applyBorder="0" applyAlignment="0" applyProtection="0"/>
    <xf numFmtId="0" fontId="18" fillId="93" borderId="0" applyNumberFormat="0" applyBorder="0" applyAlignment="0" applyProtection="0"/>
    <xf numFmtId="0" fontId="18" fillId="94" borderId="0" applyNumberFormat="0" applyBorder="0" applyAlignment="0" applyProtection="0"/>
    <xf numFmtId="0" fontId="18" fillId="97" borderId="0" applyNumberFormat="0" applyBorder="0" applyAlignment="0" applyProtection="0"/>
    <xf numFmtId="0" fontId="18" fillId="98" borderId="0" applyNumberFormat="0" applyBorder="0" applyAlignment="0" applyProtection="0"/>
    <xf numFmtId="0" fontId="18" fillId="101" borderId="0" applyNumberFormat="0" applyBorder="0" applyAlignment="0" applyProtection="0"/>
    <xf numFmtId="0" fontId="18" fillId="102" borderId="0" applyNumberFormat="0" applyBorder="0" applyAlignment="0" applyProtection="0"/>
    <xf numFmtId="0" fontId="18" fillId="105" borderId="0" applyNumberFormat="0" applyBorder="0" applyAlignment="0" applyProtection="0"/>
    <xf numFmtId="0" fontId="18" fillId="106" borderId="0" applyNumberFormat="0" applyBorder="0" applyAlignment="0" applyProtection="0"/>
  </cellStyleXfs>
  <cellXfs count="425">
    <xf numFmtId="0" fontId="0" fillId="0" borderId="0" xfId="0"/>
    <xf numFmtId="0" fontId="2" fillId="0" borderId="0" xfId="0" applyFont="1"/>
    <xf numFmtId="0" fontId="0" fillId="5" borderId="0" xfId="0" applyFill="1"/>
    <xf numFmtId="0" fontId="3" fillId="0" borderId="0" xfId="0" applyFont="1"/>
    <xf numFmtId="0" fontId="4" fillId="0" borderId="0" xfId="0" applyFont="1" applyBorder="1" applyAlignment="1">
      <alignment horizontal="center" vertic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6" fillId="0" borderId="0" xfId="0" applyFont="1"/>
    <xf numFmtId="0" fontId="0" fillId="10" borderId="2" xfId="0" applyFill="1" applyBorder="1" applyAlignment="1">
      <alignment wrapText="1"/>
    </xf>
    <xf numFmtId="0" fontId="0" fillId="11" borderId="2" xfId="0" applyFont="1" applyFill="1" applyBorder="1" applyAlignment="1">
      <alignment wrapText="1"/>
    </xf>
    <xf numFmtId="0" fontId="0" fillId="9" borderId="0" xfId="0" applyFill="1"/>
    <xf numFmtId="0" fontId="0" fillId="12" borderId="0" xfId="0" applyFill="1"/>
    <xf numFmtId="0" fontId="10" fillId="1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 applyProtection="1">
      <alignment horizontal="center" vertical="center" wrapText="1"/>
    </xf>
    <xf numFmtId="0" fontId="1" fillId="14" borderId="0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0" xfId="0" applyFont="1" applyBorder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top" wrapText="1"/>
    </xf>
    <xf numFmtId="0" fontId="10" fillId="13" borderId="0" xfId="0" applyFont="1" applyFill="1" applyBorder="1" applyAlignment="1">
      <alignment horizontal="center" vertical="center" wrapText="1"/>
    </xf>
    <xf numFmtId="0" fontId="13" fillId="0" borderId="0" xfId="0" applyFont="1" applyBorder="1"/>
    <xf numFmtId="0" fontId="9" fillId="0" borderId="8" xfId="0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top" wrapText="1"/>
    </xf>
    <xf numFmtId="0" fontId="9" fillId="0" borderId="11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2" fillId="2" borderId="3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" fillId="14" borderId="16" xfId="0" applyFont="1" applyFill="1" applyBorder="1" applyAlignment="1">
      <alignment horizontal="center" vertical="center" wrapText="1"/>
    </xf>
    <xf numFmtId="0" fontId="10" fillId="13" borderId="17" xfId="0" applyFont="1" applyFill="1" applyBorder="1" applyAlignment="1">
      <alignment horizontal="center" vertical="center" wrapText="1"/>
    </xf>
    <xf numFmtId="0" fontId="1" fillId="22" borderId="16" xfId="0" applyFont="1" applyFill="1" applyBorder="1" applyAlignment="1">
      <alignment horizontal="center" vertical="center" wrapText="1"/>
    </xf>
    <xf numFmtId="0" fontId="1" fillId="22" borderId="0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0" fontId="11" fillId="14" borderId="16" xfId="0" applyFont="1" applyFill="1" applyBorder="1" applyAlignment="1">
      <alignment horizontal="center" vertical="center" wrapText="1"/>
    </xf>
    <xf numFmtId="0" fontId="11" fillId="14" borderId="0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15" fontId="2" fillId="2" borderId="18" xfId="0" applyNumberFormat="1" applyFont="1" applyFill="1" applyBorder="1" applyAlignment="1">
      <alignment horizontal="center" vertical="center" wrapText="1"/>
    </xf>
    <xf numFmtId="15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15" fontId="5" fillId="2" borderId="18" xfId="0" applyNumberFormat="1" applyFont="1" applyFill="1" applyBorder="1" applyAlignment="1">
      <alignment horizontal="center" vertical="center" wrapText="1"/>
    </xf>
    <xf numFmtId="15" fontId="5" fillId="2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165" fontId="2" fillId="3" borderId="18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19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7" xfId="0" applyBorder="1" applyAlignment="1">
      <alignment wrapText="1"/>
    </xf>
    <xf numFmtId="0" fontId="19" fillId="24" borderId="23" xfId="1" applyFont="1" applyFill="1" applyBorder="1" applyAlignment="1">
      <alignment horizontal="center"/>
    </xf>
    <xf numFmtId="0" fontId="19" fillId="24" borderId="24" xfId="1" applyFont="1" applyFill="1" applyBorder="1" applyAlignment="1">
      <alignment horizontal="center"/>
    </xf>
    <xf numFmtId="0" fontId="19" fillId="24" borderId="25" xfId="1" applyFont="1" applyFill="1" applyBorder="1" applyAlignment="1">
      <alignment horizontal="center"/>
    </xf>
    <xf numFmtId="0" fontId="18" fillId="11" borderId="0" xfId="1" applyFill="1"/>
    <xf numFmtId="0" fontId="20" fillId="25" borderId="26" xfId="1" applyFont="1" applyFill="1" applyBorder="1" applyAlignment="1">
      <alignment horizontal="center" vertical="center"/>
    </xf>
    <xf numFmtId="0" fontId="20" fillId="25" borderId="27" xfId="1" applyFont="1" applyFill="1" applyBorder="1" applyAlignment="1">
      <alignment horizontal="center" vertical="center"/>
    </xf>
    <xf numFmtId="0" fontId="20" fillId="25" borderId="28" xfId="1" applyFont="1" applyFill="1" applyBorder="1" applyAlignment="1">
      <alignment horizontal="center" vertical="center"/>
    </xf>
    <xf numFmtId="0" fontId="6" fillId="11" borderId="1" xfId="1" applyFont="1" applyFill="1" applyBorder="1"/>
    <xf numFmtId="0" fontId="6" fillId="11" borderId="19" xfId="1" applyFont="1" applyFill="1" applyBorder="1"/>
    <xf numFmtId="166" fontId="6" fillId="11" borderId="29" xfId="1" applyNumberFormat="1" applyFont="1" applyFill="1" applyBorder="1"/>
    <xf numFmtId="166" fontId="6" fillId="11" borderId="30" xfId="1" applyNumberFormat="1" applyFont="1" applyFill="1" applyBorder="1"/>
    <xf numFmtId="166" fontId="6" fillId="0" borderId="30" xfId="1" applyNumberFormat="1" applyFont="1" applyFill="1" applyBorder="1"/>
    <xf numFmtId="0" fontId="6" fillId="0" borderId="1" xfId="1" applyFont="1" applyFill="1" applyBorder="1"/>
    <xf numFmtId="0" fontId="6" fillId="0" borderId="30" xfId="1" applyFont="1" applyFill="1" applyBorder="1"/>
    <xf numFmtId="0" fontId="6" fillId="0" borderId="31" xfId="1" applyFont="1" applyFill="1" applyBorder="1"/>
    <xf numFmtId="0" fontId="18" fillId="0" borderId="0" xfId="1" applyFill="1"/>
    <xf numFmtId="166" fontId="6" fillId="0" borderId="29" xfId="1" applyNumberFormat="1" applyFont="1" applyFill="1" applyBorder="1"/>
    <xf numFmtId="0" fontId="6" fillId="11" borderId="30" xfId="1" applyFont="1" applyFill="1" applyBorder="1"/>
    <xf numFmtId="0" fontId="6" fillId="11" borderId="31" xfId="1" applyFont="1" applyFill="1" applyBorder="1"/>
    <xf numFmtId="0" fontId="21" fillId="11" borderId="1" xfId="1" applyFont="1" applyFill="1" applyBorder="1"/>
    <xf numFmtId="0" fontId="21" fillId="0" borderId="1" xfId="1" applyFont="1" applyFill="1" applyBorder="1"/>
    <xf numFmtId="0" fontId="21" fillId="11" borderId="32" xfId="1" applyFont="1" applyFill="1" applyBorder="1"/>
    <xf numFmtId="0" fontId="6" fillId="11" borderId="32" xfId="1" applyFont="1" applyFill="1" applyBorder="1"/>
    <xf numFmtId="0" fontId="6" fillId="0" borderId="32" xfId="1" applyFont="1" applyFill="1" applyBorder="1"/>
    <xf numFmtId="0" fontId="6" fillId="11" borderId="33" xfId="1" applyFont="1" applyFill="1" applyBorder="1"/>
    <xf numFmtId="0" fontId="20" fillId="11" borderId="20" xfId="1" applyFont="1" applyFill="1" applyBorder="1"/>
    <xf numFmtId="0" fontId="6" fillId="11" borderId="21" xfId="1" applyFont="1" applyFill="1" applyBorder="1"/>
    <xf numFmtId="0" fontId="6" fillId="11" borderId="22" xfId="1" applyFont="1" applyFill="1" applyBorder="1"/>
    <xf numFmtId="166" fontId="6" fillId="11" borderId="20" xfId="1" applyNumberFormat="1" applyFont="1" applyFill="1" applyBorder="1"/>
    <xf numFmtId="166" fontId="6" fillId="11" borderId="21" xfId="1" applyNumberFormat="1" applyFont="1" applyFill="1" applyBorder="1"/>
    <xf numFmtId="0" fontId="2" fillId="14" borderId="3" xfId="0" applyFont="1" applyFill="1" applyBorder="1" applyAlignment="1">
      <alignment horizontal="center" vertical="center" wrapText="1"/>
    </xf>
    <xf numFmtId="0" fontId="0" fillId="0" borderId="0" xfId="0" applyAlignment="1"/>
    <xf numFmtId="0" fontId="6" fillId="0" borderId="0" xfId="0" applyNumberFormat="1" applyFont="1" applyAlignment="1">
      <alignment horizontal="center" vertical="center"/>
    </xf>
    <xf numFmtId="0" fontId="25" fillId="0" borderId="36" xfId="3" applyFont="1" applyFill="1" applyBorder="1" applyAlignment="1" applyProtection="1">
      <alignment horizontal="center" vertical="center"/>
    </xf>
    <xf numFmtId="0" fontId="25" fillId="0" borderId="38" xfId="3" applyFont="1" applyFill="1" applyBorder="1" applyAlignment="1" applyProtection="1">
      <alignment horizontal="center" vertical="center"/>
    </xf>
    <xf numFmtId="0" fontId="26" fillId="26" borderId="30" xfId="0" applyFont="1" applyFill="1" applyBorder="1" applyAlignment="1" applyProtection="1">
      <alignment horizontal="center" vertical="center" wrapText="1"/>
    </xf>
    <xf numFmtId="0" fontId="26" fillId="26" borderId="1" xfId="0" applyFont="1" applyFill="1" applyBorder="1" applyAlignment="1" applyProtection="1">
      <alignment horizontal="center" vertical="center" wrapText="1"/>
    </xf>
    <xf numFmtId="49" fontId="26" fillId="26" borderId="1" xfId="0" applyNumberFormat="1" applyFont="1" applyFill="1" applyBorder="1" applyAlignment="1" applyProtection="1">
      <alignment horizontal="center" vertical="center" wrapText="1"/>
    </xf>
    <xf numFmtId="0" fontId="0" fillId="27" borderId="0" xfId="0" applyFill="1"/>
    <xf numFmtId="0" fontId="26" fillId="27" borderId="37" xfId="0" applyFont="1" applyFill="1" applyBorder="1"/>
    <xf numFmtId="0" fontId="26" fillId="0" borderId="37" xfId="0" applyFont="1" applyFill="1" applyBorder="1" applyAlignment="1" applyProtection="1">
      <alignment horizontal="center" vertical="center" wrapText="1"/>
      <protection locked="0"/>
    </xf>
    <xf numFmtId="41" fontId="26" fillId="27" borderId="37" xfId="0" applyNumberFormat="1" applyFont="1" applyFill="1" applyBorder="1" applyAlignment="1">
      <alignment horizontal="center" vertical="center"/>
    </xf>
    <xf numFmtId="167" fontId="26" fillId="27" borderId="37" xfId="0" applyNumberFormat="1" applyFont="1" applyFill="1" applyBorder="1" applyAlignment="1">
      <alignment horizontal="center" vertical="center"/>
    </xf>
    <xf numFmtId="0" fontId="25" fillId="0" borderId="37" xfId="3" applyFont="1" applyFill="1" applyBorder="1" applyAlignment="1" applyProtection="1">
      <alignment horizontal="center" vertical="center" wrapText="1"/>
      <protection locked="0"/>
    </xf>
    <xf numFmtId="0" fontId="25" fillId="27" borderId="37" xfId="3" applyFont="1" applyFill="1" applyBorder="1" applyAlignment="1" applyProtection="1">
      <alignment horizontal="center" vertical="center" wrapText="1"/>
      <protection locked="0"/>
    </xf>
    <xf numFmtId="167" fontId="25" fillId="27" borderId="37" xfId="3" applyNumberFormat="1" applyFont="1" applyFill="1" applyBorder="1" applyAlignment="1" applyProtection="1">
      <alignment horizontal="center" vertical="center"/>
    </xf>
    <xf numFmtId="167" fontId="25" fillId="0" borderId="37" xfId="3" applyNumberFormat="1" applyFont="1" applyFill="1" applyBorder="1" applyAlignment="1" applyProtection="1">
      <alignment horizontal="center" vertical="center" wrapText="1"/>
      <protection locked="0"/>
    </xf>
    <xf numFmtId="41" fontId="25" fillId="27" borderId="37" xfId="3" applyNumberFormat="1" applyFont="1" applyFill="1" applyBorder="1" applyAlignment="1" applyProtection="1">
      <alignment horizontal="center" vertical="center"/>
    </xf>
    <xf numFmtId="41" fontId="25" fillId="0" borderId="37" xfId="3" applyNumberFormat="1" applyFont="1" applyFill="1" applyBorder="1" applyAlignment="1" applyProtection="1">
      <alignment horizontal="center" vertical="center" wrapText="1"/>
    </xf>
    <xf numFmtId="15" fontId="2" fillId="0" borderId="18" xfId="0" applyNumberFormat="1" applyFont="1" applyFill="1" applyBorder="1" applyAlignment="1">
      <alignment horizontal="center" vertical="center" wrapText="1"/>
    </xf>
    <xf numFmtId="15" fontId="2" fillId="0" borderId="1" xfId="0" applyNumberFormat="1" applyFont="1" applyFill="1" applyBorder="1" applyAlignment="1">
      <alignment horizontal="center" vertical="center" wrapText="1"/>
    </xf>
    <xf numFmtId="15" fontId="5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6" fillId="26" borderId="35" xfId="0" applyFont="1" applyFill="1" applyBorder="1" applyAlignment="1" applyProtection="1">
      <alignment horizontal="center" vertical="center" wrapText="1"/>
    </xf>
    <xf numFmtId="0" fontId="25" fillId="28" borderId="1" xfId="3" applyFont="1" applyFill="1" applyBorder="1" applyAlignment="1" applyProtection="1">
      <alignment horizontal="center" vertical="center"/>
    </xf>
    <xf numFmtId="0" fontId="25" fillId="28" borderId="30" xfId="3" applyFont="1" applyFill="1" applyBorder="1" applyAlignment="1" applyProtection="1">
      <alignment horizontal="center" vertical="center"/>
    </xf>
    <xf numFmtId="0" fontId="25" fillId="28" borderId="0" xfId="3" applyFont="1" applyFill="1" applyBorder="1" applyAlignment="1" applyProtection="1">
      <alignment horizontal="center" vertical="center"/>
    </xf>
    <xf numFmtId="0" fontId="0" fillId="0" borderId="0" xfId="0" applyFill="1"/>
    <xf numFmtId="0" fontId="0" fillId="0" borderId="0" xfId="0" applyAlignment="1">
      <alignment horizontal="left" wrapText="1"/>
    </xf>
    <xf numFmtId="0" fontId="11" fillId="2" borderId="3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7" fillId="0" borderId="0" xfId="0" applyFont="1" applyBorder="1" applyAlignment="1">
      <alignment horizontal="left" vertical="top" wrapText="1"/>
    </xf>
    <xf numFmtId="0" fontId="13" fillId="0" borderId="0" xfId="0" applyFont="1"/>
    <xf numFmtId="0" fontId="3" fillId="30" borderId="0" xfId="0" applyFont="1" applyFill="1"/>
    <xf numFmtId="1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0" fillId="0" borderId="6" xfId="0" applyFont="1" applyBorder="1" applyAlignment="1">
      <alignment horizontal="center" vertical="center" wrapText="1"/>
    </xf>
    <xf numFmtId="0" fontId="3" fillId="29" borderId="0" xfId="0" applyFont="1" applyFill="1"/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28" fillId="0" borderId="0" xfId="0" applyFont="1" applyFill="1" applyBorder="1" applyAlignment="1">
      <alignment horizontal="left" vertical="center" wrapText="1"/>
    </xf>
    <xf numFmtId="0" fontId="28" fillId="0" borderId="0" xfId="0" applyFont="1" applyFill="1" applyBorder="1" applyAlignment="1">
      <alignment horizontal="left" vertical="top" wrapText="1"/>
    </xf>
    <xf numFmtId="0" fontId="29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13" fillId="0" borderId="0" xfId="0" applyFont="1" applyFill="1"/>
    <xf numFmtId="0" fontId="27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top"/>
    </xf>
    <xf numFmtId="15" fontId="2" fillId="2" borderId="5" xfId="0" applyNumberFormat="1" applyFont="1" applyFill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top" wrapText="1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0" fillId="0" borderId="0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14" fontId="2" fillId="3" borderId="30" xfId="0" applyNumberFormat="1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14" fontId="2" fillId="3" borderId="40" xfId="0" applyNumberFormat="1" applyFont="1" applyFill="1" applyBorder="1" applyAlignment="1">
      <alignment horizontal="center" vertical="center" wrapText="1"/>
    </xf>
    <xf numFmtId="0" fontId="0" fillId="0" borderId="41" xfId="0" applyBorder="1"/>
    <xf numFmtId="0" fontId="2" fillId="3" borderId="5" xfId="0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14" fontId="2" fillId="3" borderId="19" xfId="0" applyNumberFormat="1" applyFont="1" applyFill="1" applyBorder="1" applyAlignment="1">
      <alignment horizontal="center" vertical="center" wrapText="1"/>
    </xf>
    <xf numFmtId="0" fontId="1" fillId="14" borderId="42" xfId="0" applyFont="1" applyFill="1" applyBorder="1" applyAlignment="1">
      <alignment horizontal="center" vertical="center" wrapText="1"/>
    </xf>
    <xf numFmtId="0" fontId="1" fillId="14" borderId="4" xfId="0" applyFont="1" applyFill="1" applyBorder="1" applyAlignment="1">
      <alignment horizontal="center" vertical="center" wrapText="1"/>
    </xf>
    <xf numFmtId="0" fontId="1" fillId="14" borderId="43" xfId="0" applyFont="1" applyFill="1" applyBorder="1" applyAlignment="1">
      <alignment horizontal="center" vertical="center" wrapText="1"/>
    </xf>
    <xf numFmtId="0" fontId="11" fillId="31" borderId="14" xfId="0" applyFont="1" applyFill="1" applyBorder="1" applyAlignment="1">
      <alignment vertical="center" wrapText="1"/>
    </xf>
    <xf numFmtId="0" fontId="11" fillId="31" borderId="15" xfId="0" applyFont="1" applyFill="1" applyBorder="1" applyAlignment="1">
      <alignment vertical="center" wrapText="1"/>
    </xf>
    <xf numFmtId="14" fontId="2" fillId="3" borderId="18" xfId="0" applyNumberFormat="1" applyFont="1" applyFill="1" applyBorder="1" applyAlignment="1">
      <alignment horizontal="center" vertical="center" wrapText="1"/>
    </xf>
    <xf numFmtId="0" fontId="31" fillId="0" borderId="37" xfId="3" applyFont="1" applyFill="1" applyBorder="1" applyAlignment="1">
      <alignment horizontal="center" vertical="center"/>
    </xf>
    <xf numFmtId="0" fontId="31" fillId="0" borderId="37" xfId="3" applyFont="1" applyFill="1" applyBorder="1" applyAlignment="1">
      <alignment horizontal="center" vertical="center" wrapText="1"/>
    </xf>
    <xf numFmtId="0" fontId="10" fillId="32" borderId="45" xfId="0" applyFont="1" applyFill="1" applyBorder="1" applyAlignment="1" applyProtection="1">
      <alignment horizontal="center" vertical="center" wrapText="1"/>
      <protection locked="0"/>
    </xf>
    <xf numFmtId="41" fontId="10" fillId="32" borderId="45" xfId="0" applyNumberFormat="1" applyFont="1" applyFill="1" applyBorder="1" applyAlignment="1" applyProtection="1">
      <alignment horizontal="center" vertical="center" wrapText="1"/>
      <protection locked="0"/>
    </xf>
    <xf numFmtId="0" fontId="25" fillId="28" borderId="27" xfId="3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41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26" borderId="46" xfId="0" applyFont="1" applyFill="1" applyBorder="1" applyAlignment="1" applyProtection="1">
      <alignment horizontal="center" vertical="center"/>
    </xf>
    <xf numFmtId="0" fontId="26" fillId="26" borderId="38" xfId="0" applyFont="1" applyFill="1" applyBorder="1" applyAlignment="1" applyProtection="1">
      <alignment horizontal="center" vertical="center"/>
    </xf>
    <xf numFmtId="0" fontId="26" fillId="26" borderId="3" xfId="0" applyFont="1" applyFill="1" applyBorder="1" applyAlignment="1" applyProtection="1">
      <alignment horizontal="center" vertical="center"/>
    </xf>
    <xf numFmtId="0" fontId="26" fillId="26" borderId="3" xfId="0" applyFont="1" applyFill="1" applyBorder="1" applyAlignment="1" applyProtection="1">
      <alignment horizontal="center" vertical="center" wrapText="1"/>
    </xf>
    <xf numFmtId="0" fontId="26" fillId="0" borderId="48" xfId="0" applyFont="1" applyFill="1" applyBorder="1" applyAlignment="1" applyProtection="1">
      <alignment horizontal="center" vertical="center" wrapText="1"/>
      <protection locked="0"/>
    </xf>
    <xf numFmtId="0" fontId="25" fillId="0" borderId="47" xfId="3" applyFont="1" applyFill="1" applyBorder="1" applyAlignment="1" applyProtection="1">
      <alignment horizontal="center" vertical="center" wrapText="1"/>
      <protection locked="0"/>
    </xf>
    <xf numFmtId="0" fontId="31" fillId="0" borderId="47" xfId="3" applyFont="1" applyFill="1" applyBorder="1" applyAlignment="1">
      <alignment horizontal="center" vertical="center"/>
    </xf>
    <xf numFmtId="0" fontId="31" fillId="0" borderId="47" xfId="3" applyFont="1" applyFill="1" applyBorder="1" applyAlignment="1" applyProtection="1">
      <alignment horizontal="center" vertical="center" wrapText="1"/>
      <protection locked="0"/>
    </xf>
    <xf numFmtId="0" fontId="31" fillId="0" borderId="37" xfId="3" applyFont="1" applyFill="1" applyBorder="1" applyAlignment="1" applyProtection="1">
      <alignment horizontal="center" vertical="center" wrapText="1"/>
      <protection locked="0"/>
    </xf>
    <xf numFmtId="41" fontId="31" fillId="0" borderId="37" xfId="3" applyNumberFormat="1" applyFont="1" applyFill="1" applyBorder="1" applyAlignment="1">
      <alignment horizontal="center" vertical="center" wrapText="1"/>
    </xf>
    <xf numFmtId="167" fontId="31" fillId="0" borderId="37" xfId="3" applyNumberFormat="1" applyFont="1" applyFill="1" applyBorder="1" applyAlignment="1" applyProtection="1">
      <alignment horizontal="center" vertical="center" wrapText="1"/>
      <protection locked="0"/>
    </xf>
    <xf numFmtId="0" fontId="26" fillId="26" borderId="46" xfId="0" applyFont="1" applyFill="1" applyBorder="1" applyAlignment="1" applyProtection="1">
      <alignment horizontal="center" vertical="center" wrapText="1"/>
    </xf>
    <xf numFmtId="0" fontId="31" fillId="0" borderId="47" xfId="4" applyFont="1" applyFill="1" applyBorder="1" applyAlignment="1" applyProtection="1">
      <alignment horizontal="center" vertical="center" wrapText="1"/>
      <protection locked="0"/>
    </xf>
    <xf numFmtId="0" fontId="31" fillId="0" borderId="37" xfId="4" applyFont="1" applyFill="1" applyBorder="1" applyAlignment="1" applyProtection="1">
      <alignment horizontal="center" vertical="center" wrapText="1"/>
      <protection locked="0"/>
    </xf>
    <xf numFmtId="41" fontId="31" fillId="0" borderId="37" xfId="4" applyNumberFormat="1" applyFont="1" applyFill="1" applyBorder="1" applyAlignment="1" applyProtection="1">
      <alignment horizontal="center" vertical="center" wrapText="1"/>
    </xf>
    <xf numFmtId="167" fontId="31" fillId="27" borderId="37" xfId="4" applyNumberFormat="1" applyFont="1" applyFill="1" applyBorder="1" applyAlignment="1" applyProtection="1">
      <alignment horizontal="center" vertical="center"/>
    </xf>
    <xf numFmtId="167" fontId="31" fillId="0" borderId="37" xfId="4" applyNumberFormat="1" applyFont="1" applyFill="1" applyBorder="1" applyAlignment="1" applyProtection="1">
      <alignment horizontal="center" vertical="center" wrapText="1"/>
      <protection locked="0"/>
    </xf>
    <xf numFmtId="167" fontId="33" fillId="0" borderId="37" xfId="3" applyNumberFormat="1" applyFont="1" applyFill="1" applyBorder="1" applyAlignment="1" applyProtection="1">
      <alignment horizontal="center" vertical="center" wrapText="1"/>
      <protection locked="0"/>
    </xf>
    <xf numFmtId="0" fontId="26" fillId="26" borderId="49" xfId="0" applyFont="1" applyFill="1" applyBorder="1" applyAlignment="1" applyProtection="1">
      <alignment horizontal="center" vertical="center" wrapText="1"/>
    </xf>
    <xf numFmtId="0" fontId="25" fillId="28" borderId="21" xfId="3" applyFont="1" applyFill="1" applyBorder="1" applyAlignment="1" applyProtection="1">
      <alignment horizontal="center" vertical="center"/>
    </xf>
    <xf numFmtId="0" fontId="10" fillId="33" borderId="45" xfId="0" applyFont="1" applyFill="1" applyBorder="1" applyAlignment="1" applyProtection="1">
      <alignment horizontal="center" vertical="center" wrapText="1"/>
      <protection locked="0"/>
    </xf>
    <xf numFmtId="0" fontId="29" fillId="34" borderId="45" xfId="0" applyNumberFormat="1" applyFont="1" applyFill="1" applyBorder="1" applyAlignment="1" applyProtection="1">
      <alignment horizontal="center" vertical="center" wrapText="1"/>
    </xf>
    <xf numFmtId="0" fontId="29" fillId="34" borderId="45" xfId="0" applyNumberFormat="1" applyFont="1" applyFill="1" applyBorder="1" applyAlignment="1" applyProtection="1">
      <alignment horizontal="left" vertical="center" wrapText="1"/>
    </xf>
    <xf numFmtId="167" fontId="29" fillId="34" borderId="45" xfId="0" applyNumberFormat="1" applyFont="1" applyFill="1" applyBorder="1" applyAlignment="1" applyProtection="1">
      <alignment horizontal="center" vertical="center" wrapText="1"/>
    </xf>
    <xf numFmtId="0" fontId="21" fillId="0" borderId="45" xfId="0" applyNumberFormat="1" applyFont="1" applyFill="1" applyBorder="1" applyAlignment="1" applyProtection="1">
      <alignment horizontal="center" vertical="center" wrapText="1"/>
    </xf>
    <xf numFmtId="0" fontId="21" fillId="0" borderId="45" xfId="0" applyNumberFormat="1" applyFont="1" applyFill="1" applyBorder="1" applyAlignment="1" applyProtection="1">
      <alignment horizontal="left" vertical="center" wrapText="1"/>
    </xf>
    <xf numFmtId="0" fontId="21" fillId="0" borderId="45" xfId="0" applyNumberFormat="1" applyFont="1" applyFill="1" applyBorder="1" applyAlignment="1" applyProtection="1">
      <alignment vertical="center" wrapText="1"/>
    </xf>
    <xf numFmtId="15" fontId="21" fillId="0" borderId="45" xfId="0" applyNumberFormat="1" applyFont="1" applyFill="1" applyBorder="1" applyAlignment="1" applyProtection="1">
      <alignment horizontal="center" vertical="center" wrapText="1"/>
    </xf>
    <xf numFmtId="14" fontId="21" fillId="0" borderId="45" xfId="0" applyNumberFormat="1" applyFont="1" applyFill="1" applyBorder="1" applyAlignment="1" applyProtection="1">
      <alignment horizontal="center" vertical="center" wrapText="1"/>
    </xf>
    <xf numFmtId="167" fontId="21" fillId="0" borderId="45" xfId="0" applyNumberFormat="1" applyFont="1" applyFill="1" applyBorder="1" applyAlignment="1" applyProtection="1">
      <alignment horizontal="center" vertical="center" wrapText="1"/>
    </xf>
    <xf numFmtId="168" fontId="21" fillId="0" borderId="45" xfId="0" applyNumberFormat="1" applyFont="1" applyFill="1" applyBorder="1" applyAlignment="1" applyProtection="1">
      <alignment horizontal="center" vertical="center" wrapText="1"/>
    </xf>
    <xf numFmtId="0" fontId="35" fillId="0" borderId="45" xfId="0" applyNumberFormat="1" applyFont="1" applyFill="1" applyBorder="1" applyAlignment="1" applyProtection="1">
      <alignment horizontal="left" vertical="center" wrapText="1"/>
    </xf>
    <xf numFmtId="0" fontId="30" fillId="0" borderId="45" xfId="0" applyNumberFormat="1" applyFont="1" applyFill="1" applyBorder="1" applyAlignment="1" applyProtection="1">
      <alignment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39" fillId="0" borderId="37" xfId="0" applyFont="1" applyFill="1" applyBorder="1" applyAlignment="1" applyProtection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5" fillId="0" borderId="50" xfId="0" applyNumberFormat="1" applyFont="1" applyFill="1" applyBorder="1" applyAlignment="1" applyProtection="1">
      <alignment horizontal="left" vertical="center" wrapText="1"/>
    </xf>
    <xf numFmtId="0" fontId="21" fillId="0" borderId="44" xfId="0" applyNumberFormat="1" applyFont="1" applyFill="1" applyBorder="1" applyAlignment="1" applyProtection="1">
      <alignment vertical="center" wrapText="1"/>
    </xf>
    <xf numFmtId="0" fontId="21" fillId="0" borderId="50" xfId="0" applyNumberFormat="1" applyFont="1" applyFill="1" applyBorder="1" applyAlignment="1" applyProtection="1">
      <alignment horizontal="center" vertical="center" wrapText="1"/>
    </xf>
    <xf numFmtId="0" fontId="40" fillId="11" borderId="18" xfId="1" applyFont="1" applyFill="1" applyBorder="1"/>
    <xf numFmtId="0" fontId="40" fillId="0" borderId="18" xfId="1" applyFont="1" applyFill="1" applyBorder="1"/>
    <xf numFmtId="0" fontId="40" fillId="0" borderId="52" xfId="1" applyFont="1" applyFill="1" applyBorder="1"/>
    <xf numFmtId="0" fontId="22" fillId="0" borderId="0" xfId="2" applyFill="1" applyBorder="1" applyAlignment="1">
      <alignment horizontal="center" vertical="center" wrapText="1"/>
    </xf>
    <xf numFmtId="14" fontId="27" fillId="0" borderId="0" xfId="0" applyNumberFormat="1" applyFont="1" applyAlignment="1">
      <alignment horizontal="left" vertical="top"/>
    </xf>
    <xf numFmtId="0" fontId="31" fillId="14" borderId="18" xfId="3" applyFont="1" applyFill="1" applyBorder="1" applyAlignment="1">
      <alignment horizontal="center" vertical="center" wrapText="1"/>
    </xf>
    <xf numFmtId="14" fontId="2" fillId="2" borderId="30" xfId="0" applyNumberFormat="1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14" fontId="2" fillId="2" borderId="18" xfId="0" applyNumberFormat="1" applyFont="1" applyFill="1" applyBorder="1" applyAlignment="1">
      <alignment horizontal="center" vertical="center" wrapText="1"/>
    </xf>
    <xf numFmtId="14" fontId="2" fillId="2" borderId="40" xfId="0" applyNumberFormat="1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14" fontId="2" fillId="2" borderId="19" xfId="0" applyNumberFormat="1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14" fontId="2" fillId="0" borderId="24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3" fillId="11" borderId="0" xfId="0" applyFont="1" applyFill="1"/>
    <xf numFmtId="165" fontId="2" fillId="0" borderId="24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 applyProtection="1">
      <alignment horizontal="center" vertical="center" wrapText="1"/>
    </xf>
    <xf numFmtId="0" fontId="2" fillId="0" borderId="64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 applyProtection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10" fillId="32" borderId="45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 applyAlignment="1">
      <alignment wrapText="1"/>
    </xf>
    <xf numFmtId="0" fontId="0" fillId="0" borderId="0" xfId="0"/>
    <xf numFmtId="14" fontId="0" fillId="0" borderId="0" xfId="0" applyNumberFormat="1"/>
    <xf numFmtId="165" fontId="2" fillId="0" borderId="74" xfId="0" applyNumberFormat="1" applyFont="1" applyFill="1" applyBorder="1" applyAlignment="1">
      <alignment horizontal="center" vertical="center" wrapText="1"/>
    </xf>
    <xf numFmtId="165" fontId="2" fillId="0" borderId="73" xfId="0" applyNumberFormat="1" applyFont="1" applyFill="1" applyBorder="1" applyAlignment="1">
      <alignment horizontal="center" vertical="center" wrapText="1"/>
    </xf>
    <xf numFmtId="165" fontId="2" fillId="0" borderId="75" xfId="0" applyNumberFormat="1" applyFont="1" applyFill="1" applyBorder="1" applyAlignment="1">
      <alignment horizontal="center" vertical="center" wrapText="1"/>
    </xf>
    <xf numFmtId="14" fontId="1" fillId="14" borderId="42" xfId="0" applyNumberFormat="1" applyFont="1" applyFill="1" applyBorder="1" applyAlignment="1">
      <alignment horizontal="center" vertical="center" wrapText="1"/>
    </xf>
    <xf numFmtId="14" fontId="2" fillId="3" borderId="29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80" fillId="0" borderId="0" xfId="0" applyFont="1" applyFill="1"/>
    <xf numFmtId="164" fontId="2" fillId="2" borderId="30" xfId="0" applyNumberFormat="1" applyFont="1" applyFill="1" applyBorder="1" applyAlignment="1">
      <alignment horizontal="center" vertical="center" wrapText="1"/>
    </xf>
    <xf numFmtId="0" fontId="0" fillId="0" borderId="85" xfId="0" applyFont="1" applyBorder="1" applyAlignment="1">
      <alignment horizontal="center" vertical="center"/>
    </xf>
    <xf numFmtId="0" fontId="5" fillId="0" borderId="19" xfId="0" applyFont="1" applyBorder="1" applyAlignment="1" applyProtection="1">
      <alignment horizontal="center" vertical="center" wrapText="1"/>
    </xf>
    <xf numFmtId="0" fontId="6" fillId="0" borderId="84" xfId="0" applyNumberFormat="1" applyFont="1" applyBorder="1" applyAlignment="1">
      <alignment horizontal="center" vertical="center"/>
    </xf>
    <xf numFmtId="0" fontId="81" fillId="113" borderId="78" xfId="2" applyFont="1" applyFill="1" applyBorder="1" applyAlignment="1">
      <alignment horizontal="center" vertical="center" wrapText="1"/>
    </xf>
    <xf numFmtId="14" fontId="6" fillId="0" borderId="78" xfId="0" applyNumberFormat="1" applyFont="1" applyBorder="1" applyAlignment="1">
      <alignment horizontal="center" vertical="center"/>
    </xf>
    <xf numFmtId="0" fontId="5" fillId="0" borderId="30" xfId="0" applyFont="1" applyBorder="1" applyAlignment="1" applyProtection="1">
      <alignment horizontal="center" vertical="center" wrapText="1"/>
    </xf>
    <xf numFmtId="0" fontId="81" fillId="113" borderId="81" xfId="2" applyFont="1" applyFill="1" applyBorder="1" applyAlignment="1">
      <alignment horizontal="center" vertical="center" wrapText="1"/>
    </xf>
    <xf numFmtId="15" fontId="2" fillId="2" borderId="86" xfId="0" applyNumberFormat="1" applyFont="1" applyFill="1" applyBorder="1" applyAlignment="1">
      <alignment horizontal="center" vertical="center" wrapText="1"/>
    </xf>
    <xf numFmtId="14" fontId="2" fillId="2" borderId="31" xfId="0" applyNumberFormat="1" applyFont="1" applyFill="1" applyBorder="1" applyAlignment="1">
      <alignment horizontal="center" vertical="center" wrapText="1"/>
    </xf>
    <xf numFmtId="0" fontId="2" fillId="14" borderId="30" xfId="0" applyFont="1" applyFill="1" applyBorder="1" applyAlignment="1">
      <alignment horizontal="center" vertical="center" wrapText="1"/>
    </xf>
    <xf numFmtId="14" fontId="6" fillId="0" borderId="83" xfId="0" applyNumberFormat="1" applyFont="1" applyBorder="1" applyAlignment="1">
      <alignment horizontal="left" vertical="center" wrapText="1"/>
    </xf>
    <xf numFmtId="0" fontId="2" fillId="14" borderId="19" xfId="0" applyFont="1" applyFill="1" applyBorder="1" applyAlignment="1">
      <alignment horizontal="center" vertical="center" wrapText="1"/>
    </xf>
    <xf numFmtId="0" fontId="81" fillId="113" borderId="77" xfId="2" applyFont="1" applyFill="1" applyBorder="1" applyAlignment="1">
      <alignment horizontal="center" vertical="center" wrapText="1"/>
    </xf>
    <xf numFmtId="0" fontId="6" fillId="0" borderId="77" xfId="0" applyFont="1" applyBorder="1" applyAlignment="1">
      <alignment horizontal="left" vertical="center" wrapText="1"/>
    </xf>
    <xf numFmtId="14" fontId="2" fillId="2" borderId="87" xfId="0" applyNumberFormat="1" applyFont="1" applyFill="1" applyBorder="1" applyAlignment="1">
      <alignment horizontal="center" vertical="center" wrapText="1"/>
    </xf>
    <xf numFmtId="15" fontId="2" fillId="0" borderId="30" xfId="0" applyNumberFormat="1" applyFont="1" applyFill="1" applyBorder="1" applyAlignment="1">
      <alignment horizontal="center" vertical="center" wrapText="1"/>
    </xf>
    <xf numFmtId="0" fontId="2" fillId="0" borderId="31" xfId="0" applyFont="1" applyBorder="1" applyAlignment="1" applyProtection="1">
      <alignment horizontal="center" vertical="center" wrapText="1"/>
    </xf>
    <xf numFmtId="0" fontId="6" fillId="0" borderId="83" xfId="0" applyFont="1" applyBorder="1" applyAlignment="1">
      <alignment horizontal="left" vertical="center" wrapText="1"/>
    </xf>
    <xf numFmtId="15" fontId="5" fillId="2" borderId="29" xfId="0" applyNumberFormat="1" applyFont="1" applyFill="1" applyBorder="1" applyAlignment="1">
      <alignment horizontal="center" vertical="center" wrapText="1"/>
    </xf>
    <xf numFmtId="15" fontId="2" fillId="2" borderId="30" xfId="0" applyNumberFormat="1" applyFont="1" applyFill="1" applyBorder="1" applyAlignment="1">
      <alignment horizontal="center" vertical="center" wrapText="1"/>
    </xf>
    <xf numFmtId="14" fontId="6" fillId="0" borderId="80" xfId="0" applyNumberFormat="1" applyFont="1" applyBorder="1" applyAlignment="1">
      <alignment horizontal="left" vertical="center"/>
    </xf>
    <xf numFmtId="0" fontId="2" fillId="14" borderId="31" xfId="0" applyFont="1" applyFill="1" applyBorder="1" applyAlignment="1">
      <alignment horizontal="center" vertical="center" wrapText="1"/>
    </xf>
    <xf numFmtId="0" fontId="6" fillId="0" borderId="79" xfId="0" applyFont="1" applyBorder="1" applyAlignment="1">
      <alignment horizontal="left" vertical="center" wrapText="1"/>
    </xf>
    <xf numFmtId="14" fontId="2" fillId="2" borderId="4" xfId="0" applyNumberFormat="1" applyFont="1" applyFill="1" applyBorder="1" applyAlignment="1">
      <alignment horizontal="center" vertical="center" wrapText="1"/>
    </xf>
    <xf numFmtId="0" fontId="2" fillId="14" borderId="29" xfId="0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15" fontId="2" fillId="2" borderId="29" xfId="0" applyNumberFormat="1" applyFont="1" applyFill="1" applyBorder="1" applyAlignment="1">
      <alignment horizontal="center" vertical="center" wrapText="1"/>
    </xf>
    <xf numFmtId="164" fontId="5" fillId="2" borderId="30" xfId="0" applyNumberFormat="1" applyFont="1" applyFill="1" applyBorder="1" applyAlignment="1">
      <alignment horizontal="center" vertical="center" wrapText="1"/>
    </xf>
    <xf numFmtId="0" fontId="6" fillId="0" borderId="78" xfId="0" applyNumberFormat="1" applyFont="1" applyBorder="1" applyAlignment="1">
      <alignment horizontal="center" vertical="center"/>
    </xf>
    <xf numFmtId="14" fontId="6" fillId="0" borderId="78" xfId="0" applyNumberFormat="1" applyFont="1" applyBorder="1" applyAlignment="1">
      <alignment horizontal="left" vertical="center"/>
    </xf>
    <xf numFmtId="14" fontId="6" fillId="0" borderId="80" xfId="0" applyNumberFormat="1" applyFont="1" applyBorder="1" applyAlignment="1">
      <alignment horizontal="center" vertical="center"/>
    </xf>
    <xf numFmtId="0" fontId="5" fillId="0" borderId="38" xfId="0" applyFont="1" applyBorder="1" applyAlignment="1" applyProtection="1">
      <alignment horizontal="center" vertical="center" wrapText="1"/>
    </xf>
    <xf numFmtId="0" fontId="79" fillId="0" borderId="0" xfId="0" applyFont="1" applyFill="1" applyBorder="1"/>
    <xf numFmtId="0" fontId="0" fillId="0" borderId="0" xfId="0" applyFont="1" applyFill="1" applyBorder="1"/>
    <xf numFmtId="0" fontId="0" fillId="0" borderId="82" xfId="0" applyFont="1" applyBorder="1" applyAlignment="1">
      <alignment horizontal="center" vertical="center"/>
    </xf>
    <xf numFmtId="14" fontId="6" fillId="0" borderId="0" xfId="0" applyNumberFormat="1" applyFont="1" applyFill="1" applyBorder="1"/>
    <xf numFmtId="14" fontId="2" fillId="2" borderId="5" xfId="0" applyNumberFormat="1" applyFont="1" applyFill="1" applyBorder="1" applyAlignment="1">
      <alignment horizontal="center" vertical="center" wrapText="1"/>
    </xf>
    <xf numFmtId="15" fontId="5" fillId="0" borderId="30" xfId="0" applyNumberFormat="1" applyFont="1" applyFill="1" applyBorder="1" applyAlignment="1">
      <alignment horizontal="center" vertical="center" wrapText="1"/>
    </xf>
    <xf numFmtId="15" fontId="5" fillId="2" borderId="5" xfId="0" applyNumberFormat="1" applyFont="1" applyFill="1" applyBorder="1" applyAlignment="1">
      <alignment horizontal="center" vertical="center" wrapText="1"/>
    </xf>
    <xf numFmtId="0" fontId="2" fillId="0" borderId="30" xfId="0" applyFont="1" applyBorder="1" applyAlignment="1" applyProtection="1">
      <alignment horizontal="center" vertical="center" wrapText="1"/>
    </xf>
    <xf numFmtId="0" fontId="6" fillId="0" borderId="80" xfId="0" applyNumberFormat="1" applyFont="1" applyFill="1" applyBorder="1" applyAlignment="1">
      <alignment horizontal="center" vertical="center"/>
    </xf>
    <xf numFmtId="0" fontId="19" fillId="113" borderId="0" xfId="0" applyFont="1" applyFill="1" applyBorder="1"/>
    <xf numFmtId="0" fontId="0" fillId="0" borderId="81" xfId="0" applyFont="1" applyBorder="1" applyAlignment="1">
      <alignment horizontal="center" vertical="center"/>
    </xf>
    <xf numFmtId="14" fontId="2" fillId="3" borderId="86" xfId="0" applyNumberFormat="1" applyFont="1" applyFill="1" applyBorder="1" applyAlignment="1">
      <alignment horizontal="center" vertical="center" wrapText="1"/>
    </xf>
    <xf numFmtId="0" fontId="2" fillId="14" borderId="30" xfId="0" applyFont="1" applyFill="1" applyBorder="1" applyAlignment="1" applyProtection="1">
      <alignment horizontal="center" vertical="center" wrapText="1"/>
    </xf>
    <xf numFmtId="0" fontId="2" fillId="14" borderId="38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4" fontId="11" fillId="0" borderId="76" xfId="0" applyNumberFormat="1" applyFont="1" applyBorder="1" applyAlignment="1" applyProtection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4" fontId="11" fillId="0" borderId="76" xfId="0" applyNumberFormat="1" applyFont="1" applyBorder="1" applyAlignment="1" applyProtection="1">
      <alignment horizontal="center" vertical="center" wrapText="1"/>
    </xf>
    <xf numFmtId="15" fontId="5" fillId="2" borderId="30" xfId="0" applyNumberFormat="1" applyFont="1" applyFill="1" applyBorder="1" applyAlignment="1">
      <alignment horizontal="center" vertical="center" wrapText="1"/>
    </xf>
    <xf numFmtId="0" fontId="6" fillId="0" borderId="78" xfId="0" applyNumberFormat="1" applyFont="1" applyFill="1" applyBorder="1" applyAlignment="1">
      <alignment horizontal="center" vertical="center"/>
    </xf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 applyProtection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15" fontId="2" fillId="2" borderId="18" xfId="0" applyNumberFormat="1" applyFont="1" applyFill="1" applyBorder="1" applyAlignment="1">
      <alignment horizontal="center" vertical="center" wrapText="1"/>
    </xf>
    <xf numFmtId="15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15" fontId="5" fillId="2" borderId="18" xfId="0" applyNumberFormat="1" applyFont="1" applyFill="1" applyBorder="1" applyAlignment="1">
      <alignment horizontal="center" vertical="center" wrapText="1"/>
    </xf>
    <xf numFmtId="15" fontId="5" fillId="2" borderId="1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165" fontId="2" fillId="3" borderId="18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65" fontId="2" fillId="3" borderId="19" xfId="0" applyNumberFormat="1" applyFont="1" applyFill="1" applyBorder="1" applyAlignment="1">
      <alignment horizontal="center" vertical="center" wrapText="1"/>
    </xf>
    <xf numFmtId="165" fontId="2" fillId="3" borderId="5" xfId="0" applyNumberFormat="1" applyFont="1" applyFill="1" applyBorder="1" applyAlignment="1">
      <alignment horizontal="center" vertical="center" wrapText="1"/>
    </xf>
    <xf numFmtId="10" fontId="2" fillId="2" borderId="1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/>
    </xf>
    <xf numFmtId="15" fontId="2" fillId="0" borderId="1" xfId="0" applyNumberFormat="1" applyFont="1" applyFill="1" applyBorder="1" applyAlignment="1">
      <alignment horizontal="center" vertical="center" wrapText="1"/>
    </xf>
    <xf numFmtId="15" fontId="5" fillId="0" borderId="1" xfId="0" applyNumberFormat="1" applyFont="1" applyFill="1" applyBorder="1" applyAlignment="1">
      <alignment horizontal="center" vertical="center" wrapText="1"/>
    </xf>
    <xf numFmtId="15" fontId="2" fillId="2" borderId="5" xfId="0" applyNumberFormat="1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center" vertical="center" wrapText="1"/>
    </xf>
    <xf numFmtId="14" fontId="2" fillId="2" borderId="30" xfId="0" applyNumberFormat="1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14" fontId="2" fillId="2" borderId="19" xfId="0" applyNumberFormat="1" applyFont="1" applyFill="1" applyBorder="1" applyAlignment="1">
      <alignment horizontal="center" vertical="center" wrapText="1"/>
    </xf>
    <xf numFmtId="165" fontId="1" fillId="4" borderId="16" xfId="0" applyNumberFormat="1" applyFont="1" applyFill="1" applyBorder="1" applyAlignment="1">
      <alignment horizontal="center" vertical="center" wrapText="1"/>
    </xf>
    <xf numFmtId="165" fontId="1" fillId="4" borderId="0" xfId="0" applyNumberFormat="1" applyFont="1" applyFill="1" applyBorder="1" applyAlignment="1">
      <alignment horizontal="center" vertical="center" wrapText="1"/>
    </xf>
    <xf numFmtId="165" fontId="1" fillId="4" borderId="17" xfId="0" applyNumberFormat="1" applyFont="1" applyFill="1" applyBorder="1" applyAlignment="1">
      <alignment horizontal="center" vertical="center" wrapText="1"/>
    </xf>
    <xf numFmtId="165" fontId="0" fillId="0" borderId="16" xfId="0" applyNumberFormat="1" applyBorder="1" applyAlignment="1">
      <alignment wrapText="1"/>
    </xf>
    <xf numFmtId="165" fontId="0" fillId="0" borderId="0" xfId="0" applyNumberFormat="1" applyBorder="1" applyAlignment="1">
      <alignment wrapText="1"/>
    </xf>
    <xf numFmtId="165" fontId="0" fillId="0" borderId="17" xfId="0" applyNumberFormat="1" applyBorder="1" applyAlignment="1">
      <alignment wrapText="1"/>
    </xf>
    <xf numFmtId="15" fontId="5" fillId="0" borderId="1" xfId="0" applyNumberFormat="1" applyFont="1" applyFill="1" applyBorder="1" applyAlignment="1" applyProtection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165" fontId="2" fillId="0" borderId="88" xfId="0" applyNumberFormat="1" applyFont="1" applyFill="1" applyBorder="1" applyAlignment="1">
      <alignment horizontal="center" vertical="center" wrapText="1"/>
    </xf>
    <xf numFmtId="165" fontId="2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84" fillId="0" borderId="89" xfId="0" applyFont="1" applyFill="1" applyBorder="1" applyAlignment="1">
      <alignment horizontal="center" vertical="center" wrapText="1"/>
    </xf>
    <xf numFmtId="0" fontId="84" fillId="0" borderId="2" xfId="0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Border="1" applyAlignment="1">
      <alignment wrapText="1"/>
    </xf>
    <xf numFmtId="0" fontId="2" fillId="13" borderId="2" xfId="0" applyFont="1" applyFill="1" applyBorder="1" applyAlignment="1">
      <alignment horizontal="center" vertical="center" wrapText="1"/>
    </xf>
    <xf numFmtId="165" fontId="83" fillId="0" borderId="25" xfId="0" applyNumberFormat="1" applyFont="1" applyFill="1" applyBorder="1" applyAlignment="1">
      <alignment horizontal="center" vertical="center" wrapText="1"/>
    </xf>
    <xf numFmtId="14" fontId="20" fillId="0" borderId="23" xfId="0" applyNumberFormat="1" applyFont="1" applyFill="1" applyBorder="1" applyAlignment="1">
      <alignment horizontal="center" vertical="center" wrapText="1"/>
    </xf>
    <xf numFmtId="0" fontId="27" fillId="0" borderId="0" xfId="0" applyFont="1" applyFill="1" applyAlignment="1">
      <alignment horizontal="left"/>
    </xf>
    <xf numFmtId="0" fontId="12" fillId="3" borderId="4" xfId="0" applyFont="1" applyFill="1" applyBorder="1" applyAlignment="1">
      <alignment horizontal="center" wrapText="1"/>
    </xf>
    <xf numFmtId="0" fontId="11" fillId="20" borderId="4" xfId="0" applyFont="1" applyFill="1" applyBorder="1" applyAlignment="1">
      <alignment horizontal="center" vertical="center" wrapText="1"/>
    </xf>
    <xf numFmtId="0" fontId="10" fillId="21" borderId="13" xfId="0" applyFont="1" applyFill="1" applyBorder="1" applyAlignment="1">
      <alignment horizontal="center" vertical="center" wrapText="1"/>
    </xf>
    <xf numFmtId="0" fontId="10" fillId="21" borderId="14" xfId="0" applyFont="1" applyFill="1" applyBorder="1" applyAlignment="1">
      <alignment horizontal="center" vertical="center" wrapText="1"/>
    </xf>
    <xf numFmtId="0" fontId="11" fillId="112" borderId="13" xfId="0" applyFont="1" applyFill="1" applyBorder="1" applyAlignment="1">
      <alignment horizontal="center" vertical="center" wrapText="1"/>
    </xf>
    <xf numFmtId="0" fontId="11" fillId="112" borderId="14" xfId="0" applyFont="1" applyFill="1" applyBorder="1" applyAlignment="1">
      <alignment horizontal="center" vertical="center" wrapText="1"/>
    </xf>
    <xf numFmtId="0" fontId="11" fillId="112" borderId="15" xfId="0" applyFont="1" applyFill="1" applyBorder="1" applyAlignment="1">
      <alignment horizontal="center" vertical="center" wrapText="1"/>
    </xf>
    <xf numFmtId="0" fontId="1" fillId="18" borderId="0" xfId="0" applyFont="1" applyFill="1" applyAlignment="1">
      <alignment horizontal="center" vertical="center" wrapText="1"/>
    </xf>
    <xf numFmtId="0" fontId="11" fillId="19" borderId="4" xfId="0" applyFont="1" applyFill="1" applyBorder="1" applyAlignment="1">
      <alignment horizontal="center" vertical="center" wrapText="1"/>
    </xf>
    <xf numFmtId="0" fontId="11" fillId="19" borderId="4" xfId="0" applyFont="1" applyFill="1" applyBorder="1" applyAlignment="1">
      <alignment horizontal="left" vertical="center" wrapText="1"/>
    </xf>
    <xf numFmtId="0" fontId="1" fillId="111" borderId="13" xfId="0" applyFont="1" applyFill="1" applyBorder="1" applyAlignment="1">
      <alignment horizontal="center" vertical="center" wrapText="1"/>
    </xf>
    <xf numFmtId="0" fontId="1" fillId="111" borderId="14" xfId="0" applyFont="1" applyFill="1" applyBorder="1" applyAlignment="1">
      <alignment horizontal="center" vertical="center" wrapText="1"/>
    </xf>
    <xf numFmtId="0" fontId="1" fillId="111" borderId="15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5" borderId="15" xfId="0" applyFont="1" applyFill="1" applyBorder="1" applyAlignment="1">
      <alignment horizontal="center" vertical="center" wrapText="1"/>
    </xf>
    <xf numFmtId="0" fontId="1" fillId="23" borderId="13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5" xfId="0" applyFont="1" applyFill="1" applyBorder="1" applyAlignment="1">
      <alignment horizontal="center" vertical="center" wrapText="1"/>
    </xf>
    <xf numFmtId="0" fontId="11" fillId="110" borderId="13" xfId="0" applyFont="1" applyFill="1" applyBorder="1" applyAlignment="1">
      <alignment horizontal="center" vertical="center" wrapText="1"/>
    </xf>
    <xf numFmtId="0" fontId="11" fillId="110" borderId="14" xfId="0" applyFont="1" applyFill="1" applyBorder="1" applyAlignment="1">
      <alignment horizontal="center" vertical="center" wrapText="1"/>
    </xf>
    <xf numFmtId="0" fontId="11" fillId="110" borderId="15" xfId="0" applyFont="1" applyFill="1" applyBorder="1" applyAlignment="1">
      <alignment horizontal="center" vertical="center" wrapText="1"/>
    </xf>
    <xf numFmtId="0" fontId="19" fillId="32" borderId="16" xfId="0" applyFont="1" applyFill="1" applyBorder="1" applyAlignment="1" applyProtection="1">
      <alignment horizontal="center" vertical="center"/>
      <protection locked="0"/>
    </xf>
    <xf numFmtId="0" fontId="19" fillId="32" borderId="0" xfId="0" applyFont="1" applyFill="1" applyBorder="1" applyAlignment="1" applyProtection="1">
      <alignment horizontal="center" vertical="center"/>
      <protection locked="0"/>
    </xf>
    <xf numFmtId="0" fontId="10" fillId="76" borderId="0" xfId="0" applyFont="1" applyFill="1" applyBorder="1" applyAlignment="1">
      <alignment horizontal="center" vertical="center" wrapText="1"/>
    </xf>
    <xf numFmtId="0" fontId="2" fillId="13" borderId="23" xfId="0" applyFont="1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11" fillId="31" borderId="13" xfId="0" applyFont="1" applyFill="1" applyBorder="1" applyAlignment="1">
      <alignment horizontal="center" vertical="center" wrapText="1"/>
    </xf>
    <xf numFmtId="0" fontId="11" fillId="31" borderId="14" xfId="0" applyFont="1" applyFill="1" applyBorder="1" applyAlignment="1">
      <alignment horizontal="center" vertical="center" wrapText="1"/>
    </xf>
    <xf numFmtId="0" fontId="11" fillId="31" borderId="15" xfId="0" applyFont="1" applyFill="1" applyBorder="1" applyAlignment="1">
      <alignment horizontal="center" vertical="center" wrapText="1"/>
    </xf>
    <xf numFmtId="0" fontId="1" fillId="15" borderId="13" xfId="0" applyFont="1" applyFill="1" applyBorder="1" applyAlignment="1">
      <alignment horizontal="center" vertical="center" wrapText="1"/>
    </xf>
    <xf numFmtId="0" fontId="1" fillId="16" borderId="13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>
      <alignment horizontal="center" vertical="center" wrapText="1"/>
    </xf>
    <xf numFmtId="0" fontId="11" fillId="17" borderId="13" xfId="0" applyFont="1" applyFill="1" applyBorder="1" applyAlignment="1">
      <alignment horizontal="center" vertical="center" wrapText="1"/>
    </xf>
    <xf numFmtId="0" fontId="11" fillId="17" borderId="14" xfId="0" applyFont="1" applyFill="1" applyBorder="1" applyAlignment="1">
      <alignment horizontal="center" vertical="center" wrapText="1"/>
    </xf>
    <xf numFmtId="0" fontId="11" fillId="17" borderId="15" xfId="0" applyFont="1" applyFill="1" applyBorder="1" applyAlignment="1">
      <alignment horizontal="center" vertical="center" wrapText="1"/>
    </xf>
    <xf numFmtId="0" fontId="34" fillId="34" borderId="50" xfId="0" applyNumberFormat="1" applyFont="1" applyFill="1" applyBorder="1" applyAlignment="1" applyProtection="1">
      <alignment horizontal="center" vertical="center"/>
    </xf>
    <xf numFmtId="0" fontId="34" fillId="34" borderId="51" xfId="0" applyNumberFormat="1" applyFont="1" applyFill="1" applyBorder="1" applyAlignment="1" applyProtection="1">
      <alignment horizontal="center" vertical="center"/>
    </xf>
    <xf numFmtId="0" fontId="34" fillId="34" borderId="44" xfId="0" applyNumberFormat="1" applyFont="1" applyFill="1" applyBorder="1" applyAlignment="1" applyProtection="1">
      <alignment horizontal="center" vertical="center"/>
    </xf>
    <xf numFmtId="0" fontId="19" fillId="24" borderId="23" xfId="1" applyFont="1" applyFill="1" applyBorder="1" applyAlignment="1">
      <alignment horizontal="center" vertical="top"/>
    </xf>
    <xf numFmtId="0" fontId="19" fillId="24" borderId="24" xfId="1" applyFont="1" applyFill="1" applyBorder="1" applyAlignment="1">
      <alignment horizontal="center" vertical="top"/>
    </xf>
    <xf numFmtId="15" fontId="2" fillId="0" borderId="5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left" vertical="top" wrapText="1"/>
    </xf>
    <xf numFmtId="0" fontId="86" fillId="0" borderId="1" xfId="0" applyFont="1" applyBorder="1"/>
    <xf numFmtId="0" fontId="85" fillId="0" borderId="1" xfId="0" applyFont="1" applyFill="1" applyBorder="1" applyAlignment="1">
      <alignment horizontal="left" vertical="center" wrapText="1"/>
    </xf>
    <xf numFmtId="0" fontId="26" fillId="0" borderId="90" xfId="0" applyFont="1" applyFill="1" applyBorder="1" applyAlignment="1" applyProtection="1">
      <alignment horizontal="center" vertical="center" wrapText="1"/>
      <protection locked="0"/>
    </xf>
    <xf numFmtId="0" fontId="26" fillId="0" borderId="91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26" fillId="0" borderId="92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3" applyNumberFormat="1" applyFont="1" applyFill="1" applyBorder="1" applyAlignment="1">
      <alignment horizontal="center" vertical="center" wrapText="1"/>
    </xf>
    <xf numFmtId="0" fontId="33" fillId="0" borderId="17" xfId="3" applyNumberFormat="1" applyFont="1" applyFill="1" applyBorder="1" applyAlignment="1" applyProtection="1">
      <alignment horizontal="center" vertical="center" wrapText="1"/>
      <protection locked="0"/>
    </xf>
    <xf numFmtId="0" fontId="31" fillId="0" borderId="17" xfId="4" applyNumberFormat="1" applyFont="1" applyFill="1" applyBorder="1" applyAlignment="1" applyProtection="1">
      <alignment horizontal="center" vertical="center" wrapText="1"/>
      <protection locked="0"/>
    </xf>
    <xf numFmtId="0" fontId="31" fillId="0" borderId="93" xfId="4" applyNumberFormat="1" applyFont="1" applyFill="1" applyBorder="1" applyAlignment="1" applyProtection="1">
      <alignment horizontal="center" vertical="center" wrapText="1"/>
      <protection locked="0"/>
    </xf>
  </cellXfs>
  <cellStyles count="5602">
    <cellStyle name="20% - Accent1" xfId="125" builtinId="30" customBuiltin="1"/>
    <cellStyle name="20% - Accent1 10" xfId="1009"/>
    <cellStyle name="20% - Accent1 10 2" xfId="2325"/>
    <cellStyle name="20% - Accent1 10 2 2" xfId="4949"/>
    <cellStyle name="20% - Accent1 10 3" xfId="3639"/>
    <cellStyle name="20% - Accent1 11" xfId="1653"/>
    <cellStyle name="20% - Accent1 11 2" xfId="2966"/>
    <cellStyle name="20% - Accent1 11 2 2" xfId="5590"/>
    <cellStyle name="20% - Accent1 11 3" xfId="4280"/>
    <cellStyle name="20% - Accent1 12" xfId="1668"/>
    <cellStyle name="20% - Accent1 12 2" xfId="4295"/>
    <cellStyle name="20% - Accent1 13" xfId="2982"/>
    <cellStyle name="20% - Accent1 2" xfId="7"/>
    <cellStyle name="20% - Accent1 2 2" xfId="401"/>
    <cellStyle name="20% - Accent1 2 2 2" xfId="816"/>
    <cellStyle name="20% - Accent1 2 2 2 2" xfId="1474"/>
    <cellStyle name="20% - Accent1 2 2 2 2 2" xfId="2787"/>
    <cellStyle name="20% - Accent1 2 2 2 2 2 2" xfId="5411"/>
    <cellStyle name="20% - Accent1 2 2 2 2 3" xfId="4101"/>
    <cellStyle name="20% - Accent1 2 2 2 3" xfId="2133"/>
    <cellStyle name="20% - Accent1 2 2 2 3 2" xfId="4757"/>
    <cellStyle name="20% - Accent1 2 2 2 4" xfId="3447"/>
    <cellStyle name="20% - Accent1 2 2 3" xfId="1160"/>
    <cellStyle name="20% - Accent1 2 2 3 2" xfId="2474"/>
    <cellStyle name="20% - Accent1 2 2 3 2 2" xfId="5098"/>
    <cellStyle name="20% - Accent1 2 2 3 3" xfId="3788"/>
    <cellStyle name="20% - Accent1 2 2 4" xfId="1820"/>
    <cellStyle name="20% - Accent1 2 2 4 2" xfId="4444"/>
    <cellStyle name="20% - Accent1 2 2 5" xfId="3134"/>
    <cellStyle name="20% - Accent1 2 3" xfId="676"/>
    <cellStyle name="20% - Accent1 2 3 2" xfId="1337"/>
    <cellStyle name="20% - Accent1 2 3 2 2" xfId="2650"/>
    <cellStyle name="20% - Accent1 2 3 2 2 2" xfId="5274"/>
    <cellStyle name="20% - Accent1 2 3 2 3" xfId="3964"/>
    <cellStyle name="20% - Accent1 2 3 3" xfId="1996"/>
    <cellStyle name="20% - Accent1 2 3 3 2" xfId="4620"/>
    <cellStyle name="20% - Accent1 2 3 4" xfId="3310"/>
    <cellStyle name="20% - Accent1 2 4" xfId="1010"/>
    <cellStyle name="20% - Accent1 2 4 2" xfId="2326"/>
    <cellStyle name="20% - Accent1 2 4 2 2" xfId="4950"/>
    <cellStyle name="20% - Accent1 2 4 3" xfId="3640"/>
    <cellStyle name="20% - Accent1 2 5" xfId="1681"/>
    <cellStyle name="20% - Accent1 2 5 2" xfId="4307"/>
    <cellStyle name="20% - Accent1 2 6" xfId="2995"/>
    <cellStyle name="20% - Accent1 2 7" xfId="148"/>
    <cellStyle name="20% - Accent1 3" xfId="388"/>
    <cellStyle name="20% - Accent1 3 2" xfId="803"/>
    <cellStyle name="20% - Accent1 3 2 2" xfId="1462"/>
    <cellStyle name="20% - Accent1 3 2 2 2" xfId="2775"/>
    <cellStyle name="20% - Accent1 3 2 2 2 2" xfId="5399"/>
    <cellStyle name="20% - Accent1 3 2 2 3" xfId="4089"/>
    <cellStyle name="20% - Accent1 3 2 3" xfId="2121"/>
    <cellStyle name="20% - Accent1 3 2 3 2" xfId="4745"/>
    <cellStyle name="20% - Accent1 3 2 4" xfId="3435"/>
    <cellStyle name="20% - Accent1 3 3" xfId="1148"/>
    <cellStyle name="20% - Accent1 3 3 2" xfId="2462"/>
    <cellStyle name="20% - Accent1 3 3 2 2" xfId="5086"/>
    <cellStyle name="20% - Accent1 3 3 3" xfId="3776"/>
    <cellStyle name="20% - Accent1 3 4" xfId="1808"/>
    <cellStyle name="20% - Accent1 3 4 2" xfId="4432"/>
    <cellStyle name="20% - Accent1 3 5" xfId="3122"/>
    <cellStyle name="20% - Accent1 4" xfId="623"/>
    <cellStyle name="20% - Accent1 4 2" xfId="941"/>
    <cellStyle name="20% - Accent1 4 2 2" xfId="1599"/>
    <cellStyle name="20% - Accent1 4 2 2 2" xfId="2912"/>
    <cellStyle name="20% - Accent1 4 2 2 2 2" xfId="5536"/>
    <cellStyle name="20% - Accent1 4 2 2 3" xfId="4226"/>
    <cellStyle name="20% - Accent1 4 2 3" xfId="2258"/>
    <cellStyle name="20% - Accent1 4 2 3 2" xfId="4882"/>
    <cellStyle name="20% - Accent1 4 2 4" xfId="3572"/>
    <cellStyle name="20% - Accent1 4 3" xfId="1285"/>
    <cellStyle name="20% - Accent1 4 3 2" xfId="2599"/>
    <cellStyle name="20% - Accent1 4 3 2 2" xfId="5223"/>
    <cellStyle name="20% - Accent1 4 3 3" xfId="3913"/>
    <cellStyle name="20% - Accent1 4 4" xfId="1945"/>
    <cellStyle name="20% - Accent1 4 4 2" xfId="4569"/>
    <cellStyle name="20% - Accent1 4 5" xfId="3259"/>
    <cellStyle name="20% - Accent1 5" xfId="636"/>
    <cellStyle name="20% - Accent1 5 2" xfId="954"/>
    <cellStyle name="20% - Accent1 5 2 2" xfId="1612"/>
    <cellStyle name="20% - Accent1 5 2 2 2" xfId="2925"/>
    <cellStyle name="20% - Accent1 5 2 2 2 2" xfId="5549"/>
    <cellStyle name="20% - Accent1 5 2 2 3" xfId="4239"/>
    <cellStyle name="20% - Accent1 5 2 3" xfId="2271"/>
    <cellStyle name="20% - Accent1 5 2 3 2" xfId="4895"/>
    <cellStyle name="20% - Accent1 5 2 4" xfId="3585"/>
    <cellStyle name="20% - Accent1 5 3" xfId="1298"/>
    <cellStyle name="20% - Accent1 5 3 2" xfId="2612"/>
    <cellStyle name="20% - Accent1 5 3 2 2" xfId="5236"/>
    <cellStyle name="20% - Accent1 5 3 3" xfId="3926"/>
    <cellStyle name="20% - Accent1 5 4" xfId="1958"/>
    <cellStyle name="20% - Accent1 5 4 2" xfId="4582"/>
    <cellStyle name="20% - Accent1 5 5" xfId="3272"/>
    <cellStyle name="20% - Accent1 6" xfId="650"/>
    <cellStyle name="20% - Accent1 6 2" xfId="967"/>
    <cellStyle name="20% - Accent1 6 2 2" xfId="1625"/>
    <cellStyle name="20% - Accent1 6 2 2 2" xfId="2938"/>
    <cellStyle name="20% - Accent1 6 2 2 2 2" xfId="5562"/>
    <cellStyle name="20% - Accent1 6 2 2 3" xfId="4252"/>
    <cellStyle name="20% - Accent1 6 2 3" xfId="2284"/>
    <cellStyle name="20% - Accent1 6 2 3 2" xfId="4908"/>
    <cellStyle name="20% - Accent1 6 2 4" xfId="3598"/>
    <cellStyle name="20% - Accent1 6 3" xfId="1312"/>
    <cellStyle name="20% - Accent1 6 3 2" xfId="2625"/>
    <cellStyle name="20% - Accent1 6 3 2 2" xfId="5249"/>
    <cellStyle name="20% - Accent1 6 3 3" xfId="3939"/>
    <cellStyle name="20% - Accent1 6 4" xfId="1971"/>
    <cellStyle name="20% - Accent1 6 4 2" xfId="4595"/>
    <cellStyle name="20% - Accent1 6 5" xfId="3285"/>
    <cellStyle name="20% - Accent1 7" xfId="663"/>
    <cellStyle name="20% - Accent1 7 2" xfId="1325"/>
    <cellStyle name="20% - Accent1 7 2 2" xfId="2638"/>
    <cellStyle name="20% - Accent1 7 2 2 2" xfId="5262"/>
    <cellStyle name="20% - Accent1 7 2 3" xfId="3952"/>
    <cellStyle name="20% - Accent1 7 3" xfId="1984"/>
    <cellStyle name="20% - Accent1 7 3 2" xfId="4608"/>
    <cellStyle name="20% - Accent1 7 4" xfId="3298"/>
    <cellStyle name="20% - Accent1 8" xfId="983"/>
    <cellStyle name="20% - Accent1 8 2" xfId="1640"/>
    <cellStyle name="20% - Accent1 8 2 2" xfId="2953"/>
    <cellStyle name="20% - Accent1 8 2 2 2" xfId="5577"/>
    <cellStyle name="20% - Accent1 8 2 3" xfId="4267"/>
    <cellStyle name="20% - Accent1 8 3" xfId="2299"/>
    <cellStyle name="20% - Accent1 8 3 2" xfId="4923"/>
    <cellStyle name="20% - Accent1 8 4" xfId="3613"/>
    <cellStyle name="20% - Accent1 9" xfId="997"/>
    <cellStyle name="20% - Accent1 9 2" xfId="2313"/>
    <cellStyle name="20% - Accent1 9 2 2" xfId="4937"/>
    <cellStyle name="20% - Accent1 9 3" xfId="3627"/>
    <cellStyle name="20% - Accent2" xfId="129" builtinId="34" customBuiltin="1"/>
    <cellStyle name="20% - Accent2 10" xfId="1011"/>
    <cellStyle name="20% - Accent2 10 2" xfId="2327"/>
    <cellStyle name="20% - Accent2 10 2 2" xfId="4951"/>
    <cellStyle name="20% - Accent2 10 3" xfId="3641"/>
    <cellStyle name="20% - Accent2 11" xfId="1655"/>
    <cellStyle name="20% - Accent2 11 2" xfId="2968"/>
    <cellStyle name="20% - Accent2 11 2 2" xfId="5592"/>
    <cellStyle name="20% - Accent2 11 3" xfId="4282"/>
    <cellStyle name="20% - Accent2 12" xfId="1670"/>
    <cellStyle name="20% - Accent2 12 2" xfId="4297"/>
    <cellStyle name="20% - Accent2 13" xfId="2984"/>
    <cellStyle name="20% - Accent2 2" xfId="8"/>
    <cellStyle name="20% - Accent2 2 2" xfId="402"/>
    <cellStyle name="20% - Accent2 2 2 2" xfId="817"/>
    <cellStyle name="20% - Accent2 2 2 2 2" xfId="1475"/>
    <cellStyle name="20% - Accent2 2 2 2 2 2" xfId="2788"/>
    <cellStyle name="20% - Accent2 2 2 2 2 2 2" xfId="5412"/>
    <cellStyle name="20% - Accent2 2 2 2 2 3" xfId="4102"/>
    <cellStyle name="20% - Accent2 2 2 2 3" xfId="2134"/>
    <cellStyle name="20% - Accent2 2 2 2 3 2" xfId="4758"/>
    <cellStyle name="20% - Accent2 2 2 2 4" xfId="3448"/>
    <cellStyle name="20% - Accent2 2 2 3" xfId="1161"/>
    <cellStyle name="20% - Accent2 2 2 3 2" xfId="2475"/>
    <cellStyle name="20% - Accent2 2 2 3 2 2" xfId="5099"/>
    <cellStyle name="20% - Accent2 2 2 3 3" xfId="3789"/>
    <cellStyle name="20% - Accent2 2 2 4" xfId="1821"/>
    <cellStyle name="20% - Accent2 2 2 4 2" xfId="4445"/>
    <cellStyle name="20% - Accent2 2 2 5" xfId="3135"/>
    <cellStyle name="20% - Accent2 2 3" xfId="677"/>
    <cellStyle name="20% - Accent2 2 3 2" xfId="1338"/>
    <cellStyle name="20% - Accent2 2 3 2 2" xfId="2651"/>
    <cellStyle name="20% - Accent2 2 3 2 2 2" xfId="5275"/>
    <cellStyle name="20% - Accent2 2 3 2 3" xfId="3965"/>
    <cellStyle name="20% - Accent2 2 3 3" xfId="1997"/>
    <cellStyle name="20% - Accent2 2 3 3 2" xfId="4621"/>
    <cellStyle name="20% - Accent2 2 3 4" xfId="3311"/>
    <cellStyle name="20% - Accent2 2 4" xfId="1012"/>
    <cellStyle name="20% - Accent2 2 4 2" xfId="2328"/>
    <cellStyle name="20% - Accent2 2 4 2 2" xfId="4952"/>
    <cellStyle name="20% - Accent2 2 4 3" xfId="3642"/>
    <cellStyle name="20% - Accent2 2 5" xfId="1682"/>
    <cellStyle name="20% - Accent2 2 5 2" xfId="4308"/>
    <cellStyle name="20% - Accent2 2 6" xfId="2996"/>
    <cellStyle name="20% - Accent2 2 7" xfId="149"/>
    <cellStyle name="20% - Accent2 3" xfId="390"/>
    <cellStyle name="20% - Accent2 3 2" xfId="805"/>
    <cellStyle name="20% - Accent2 3 2 2" xfId="1464"/>
    <cellStyle name="20% - Accent2 3 2 2 2" xfId="2777"/>
    <cellStyle name="20% - Accent2 3 2 2 2 2" xfId="5401"/>
    <cellStyle name="20% - Accent2 3 2 2 3" xfId="4091"/>
    <cellStyle name="20% - Accent2 3 2 3" xfId="2123"/>
    <cellStyle name="20% - Accent2 3 2 3 2" xfId="4747"/>
    <cellStyle name="20% - Accent2 3 2 4" xfId="3437"/>
    <cellStyle name="20% - Accent2 3 3" xfId="1150"/>
    <cellStyle name="20% - Accent2 3 3 2" xfId="2464"/>
    <cellStyle name="20% - Accent2 3 3 2 2" xfId="5088"/>
    <cellStyle name="20% - Accent2 3 3 3" xfId="3778"/>
    <cellStyle name="20% - Accent2 3 4" xfId="1810"/>
    <cellStyle name="20% - Accent2 3 4 2" xfId="4434"/>
    <cellStyle name="20% - Accent2 3 5" xfId="3124"/>
    <cellStyle name="20% - Accent2 4" xfId="625"/>
    <cellStyle name="20% - Accent2 4 2" xfId="943"/>
    <cellStyle name="20% - Accent2 4 2 2" xfId="1601"/>
    <cellStyle name="20% - Accent2 4 2 2 2" xfId="2914"/>
    <cellStyle name="20% - Accent2 4 2 2 2 2" xfId="5538"/>
    <cellStyle name="20% - Accent2 4 2 2 3" xfId="4228"/>
    <cellStyle name="20% - Accent2 4 2 3" xfId="2260"/>
    <cellStyle name="20% - Accent2 4 2 3 2" xfId="4884"/>
    <cellStyle name="20% - Accent2 4 2 4" xfId="3574"/>
    <cellStyle name="20% - Accent2 4 3" xfId="1287"/>
    <cellStyle name="20% - Accent2 4 3 2" xfId="2601"/>
    <cellStyle name="20% - Accent2 4 3 2 2" xfId="5225"/>
    <cellStyle name="20% - Accent2 4 3 3" xfId="3915"/>
    <cellStyle name="20% - Accent2 4 4" xfId="1947"/>
    <cellStyle name="20% - Accent2 4 4 2" xfId="4571"/>
    <cellStyle name="20% - Accent2 4 5" xfId="3261"/>
    <cellStyle name="20% - Accent2 5" xfId="638"/>
    <cellStyle name="20% - Accent2 5 2" xfId="956"/>
    <cellStyle name="20% - Accent2 5 2 2" xfId="1614"/>
    <cellStyle name="20% - Accent2 5 2 2 2" xfId="2927"/>
    <cellStyle name="20% - Accent2 5 2 2 2 2" xfId="5551"/>
    <cellStyle name="20% - Accent2 5 2 2 3" xfId="4241"/>
    <cellStyle name="20% - Accent2 5 2 3" xfId="2273"/>
    <cellStyle name="20% - Accent2 5 2 3 2" xfId="4897"/>
    <cellStyle name="20% - Accent2 5 2 4" xfId="3587"/>
    <cellStyle name="20% - Accent2 5 3" xfId="1300"/>
    <cellStyle name="20% - Accent2 5 3 2" xfId="2614"/>
    <cellStyle name="20% - Accent2 5 3 2 2" xfId="5238"/>
    <cellStyle name="20% - Accent2 5 3 3" xfId="3928"/>
    <cellStyle name="20% - Accent2 5 4" xfId="1960"/>
    <cellStyle name="20% - Accent2 5 4 2" xfId="4584"/>
    <cellStyle name="20% - Accent2 5 5" xfId="3274"/>
    <cellStyle name="20% - Accent2 6" xfId="652"/>
    <cellStyle name="20% - Accent2 6 2" xfId="969"/>
    <cellStyle name="20% - Accent2 6 2 2" xfId="1627"/>
    <cellStyle name="20% - Accent2 6 2 2 2" xfId="2940"/>
    <cellStyle name="20% - Accent2 6 2 2 2 2" xfId="5564"/>
    <cellStyle name="20% - Accent2 6 2 2 3" xfId="4254"/>
    <cellStyle name="20% - Accent2 6 2 3" xfId="2286"/>
    <cellStyle name="20% - Accent2 6 2 3 2" xfId="4910"/>
    <cellStyle name="20% - Accent2 6 2 4" xfId="3600"/>
    <cellStyle name="20% - Accent2 6 3" xfId="1314"/>
    <cellStyle name="20% - Accent2 6 3 2" xfId="2627"/>
    <cellStyle name="20% - Accent2 6 3 2 2" xfId="5251"/>
    <cellStyle name="20% - Accent2 6 3 3" xfId="3941"/>
    <cellStyle name="20% - Accent2 6 4" xfId="1973"/>
    <cellStyle name="20% - Accent2 6 4 2" xfId="4597"/>
    <cellStyle name="20% - Accent2 6 5" xfId="3287"/>
    <cellStyle name="20% - Accent2 7" xfId="665"/>
    <cellStyle name="20% - Accent2 7 2" xfId="1327"/>
    <cellStyle name="20% - Accent2 7 2 2" xfId="2640"/>
    <cellStyle name="20% - Accent2 7 2 2 2" xfId="5264"/>
    <cellStyle name="20% - Accent2 7 2 3" xfId="3954"/>
    <cellStyle name="20% - Accent2 7 3" xfId="1986"/>
    <cellStyle name="20% - Accent2 7 3 2" xfId="4610"/>
    <cellStyle name="20% - Accent2 7 4" xfId="3300"/>
    <cellStyle name="20% - Accent2 8" xfId="985"/>
    <cellStyle name="20% - Accent2 8 2" xfId="1642"/>
    <cellStyle name="20% - Accent2 8 2 2" xfId="2955"/>
    <cellStyle name="20% - Accent2 8 2 2 2" xfId="5579"/>
    <cellStyle name="20% - Accent2 8 2 3" xfId="4269"/>
    <cellStyle name="20% - Accent2 8 3" xfId="2301"/>
    <cellStyle name="20% - Accent2 8 3 2" xfId="4925"/>
    <cellStyle name="20% - Accent2 8 4" xfId="3615"/>
    <cellStyle name="20% - Accent2 9" xfId="999"/>
    <cellStyle name="20% - Accent2 9 2" xfId="2315"/>
    <cellStyle name="20% - Accent2 9 2 2" xfId="4939"/>
    <cellStyle name="20% - Accent2 9 3" xfId="3629"/>
    <cellStyle name="20% - Accent3" xfId="133" builtinId="38" customBuiltin="1"/>
    <cellStyle name="20% - Accent3 10" xfId="1013"/>
    <cellStyle name="20% - Accent3 10 2" xfId="2329"/>
    <cellStyle name="20% - Accent3 10 2 2" xfId="4953"/>
    <cellStyle name="20% - Accent3 10 3" xfId="3643"/>
    <cellStyle name="20% - Accent3 11" xfId="1657"/>
    <cellStyle name="20% - Accent3 11 2" xfId="2970"/>
    <cellStyle name="20% - Accent3 11 2 2" xfId="5594"/>
    <cellStyle name="20% - Accent3 11 3" xfId="4284"/>
    <cellStyle name="20% - Accent3 12" xfId="1672"/>
    <cellStyle name="20% - Accent3 12 2" xfId="4299"/>
    <cellStyle name="20% - Accent3 13" xfId="2986"/>
    <cellStyle name="20% - Accent3 2" xfId="9"/>
    <cellStyle name="20% - Accent3 2 2" xfId="403"/>
    <cellStyle name="20% - Accent3 2 2 2" xfId="818"/>
    <cellStyle name="20% - Accent3 2 2 2 2" xfId="1476"/>
    <cellStyle name="20% - Accent3 2 2 2 2 2" xfId="2789"/>
    <cellStyle name="20% - Accent3 2 2 2 2 2 2" xfId="5413"/>
    <cellStyle name="20% - Accent3 2 2 2 2 3" xfId="4103"/>
    <cellStyle name="20% - Accent3 2 2 2 3" xfId="2135"/>
    <cellStyle name="20% - Accent3 2 2 2 3 2" xfId="4759"/>
    <cellStyle name="20% - Accent3 2 2 2 4" xfId="3449"/>
    <cellStyle name="20% - Accent3 2 2 3" xfId="1162"/>
    <cellStyle name="20% - Accent3 2 2 3 2" xfId="2476"/>
    <cellStyle name="20% - Accent3 2 2 3 2 2" xfId="5100"/>
    <cellStyle name="20% - Accent3 2 2 3 3" xfId="3790"/>
    <cellStyle name="20% - Accent3 2 2 4" xfId="1822"/>
    <cellStyle name="20% - Accent3 2 2 4 2" xfId="4446"/>
    <cellStyle name="20% - Accent3 2 2 5" xfId="3136"/>
    <cellStyle name="20% - Accent3 2 3" xfId="678"/>
    <cellStyle name="20% - Accent3 2 3 2" xfId="1339"/>
    <cellStyle name="20% - Accent3 2 3 2 2" xfId="2652"/>
    <cellStyle name="20% - Accent3 2 3 2 2 2" xfId="5276"/>
    <cellStyle name="20% - Accent3 2 3 2 3" xfId="3966"/>
    <cellStyle name="20% - Accent3 2 3 3" xfId="1998"/>
    <cellStyle name="20% - Accent3 2 3 3 2" xfId="4622"/>
    <cellStyle name="20% - Accent3 2 3 4" xfId="3312"/>
    <cellStyle name="20% - Accent3 2 4" xfId="1014"/>
    <cellStyle name="20% - Accent3 2 4 2" xfId="2330"/>
    <cellStyle name="20% - Accent3 2 4 2 2" xfId="4954"/>
    <cellStyle name="20% - Accent3 2 4 3" xfId="3644"/>
    <cellStyle name="20% - Accent3 2 5" xfId="1683"/>
    <cellStyle name="20% - Accent3 2 5 2" xfId="4309"/>
    <cellStyle name="20% - Accent3 2 6" xfId="2997"/>
    <cellStyle name="20% - Accent3 2 7" xfId="150"/>
    <cellStyle name="20% - Accent3 3" xfId="392"/>
    <cellStyle name="20% - Accent3 3 2" xfId="807"/>
    <cellStyle name="20% - Accent3 3 2 2" xfId="1466"/>
    <cellStyle name="20% - Accent3 3 2 2 2" xfId="2779"/>
    <cellStyle name="20% - Accent3 3 2 2 2 2" xfId="5403"/>
    <cellStyle name="20% - Accent3 3 2 2 3" xfId="4093"/>
    <cellStyle name="20% - Accent3 3 2 3" xfId="2125"/>
    <cellStyle name="20% - Accent3 3 2 3 2" xfId="4749"/>
    <cellStyle name="20% - Accent3 3 2 4" xfId="3439"/>
    <cellStyle name="20% - Accent3 3 3" xfId="1152"/>
    <cellStyle name="20% - Accent3 3 3 2" xfId="2466"/>
    <cellStyle name="20% - Accent3 3 3 2 2" xfId="5090"/>
    <cellStyle name="20% - Accent3 3 3 3" xfId="3780"/>
    <cellStyle name="20% - Accent3 3 4" xfId="1812"/>
    <cellStyle name="20% - Accent3 3 4 2" xfId="4436"/>
    <cellStyle name="20% - Accent3 3 5" xfId="3126"/>
    <cellStyle name="20% - Accent3 4" xfId="627"/>
    <cellStyle name="20% - Accent3 4 2" xfId="945"/>
    <cellStyle name="20% - Accent3 4 2 2" xfId="1603"/>
    <cellStyle name="20% - Accent3 4 2 2 2" xfId="2916"/>
    <cellStyle name="20% - Accent3 4 2 2 2 2" xfId="5540"/>
    <cellStyle name="20% - Accent3 4 2 2 3" xfId="4230"/>
    <cellStyle name="20% - Accent3 4 2 3" xfId="2262"/>
    <cellStyle name="20% - Accent3 4 2 3 2" xfId="4886"/>
    <cellStyle name="20% - Accent3 4 2 4" xfId="3576"/>
    <cellStyle name="20% - Accent3 4 3" xfId="1289"/>
    <cellStyle name="20% - Accent3 4 3 2" xfId="2603"/>
    <cellStyle name="20% - Accent3 4 3 2 2" xfId="5227"/>
    <cellStyle name="20% - Accent3 4 3 3" xfId="3917"/>
    <cellStyle name="20% - Accent3 4 4" xfId="1949"/>
    <cellStyle name="20% - Accent3 4 4 2" xfId="4573"/>
    <cellStyle name="20% - Accent3 4 5" xfId="3263"/>
    <cellStyle name="20% - Accent3 5" xfId="640"/>
    <cellStyle name="20% - Accent3 5 2" xfId="958"/>
    <cellStyle name="20% - Accent3 5 2 2" xfId="1616"/>
    <cellStyle name="20% - Accent3 5 2 2 2" xfId="2929"/>
    <cellStyle name="20% - Accent3 5 2 2 2 2" xfId="5553"/>
    <cellStyle name="20% - Accent3 5 2 2 3" xfId="4243"/>
    <cellStyle name="20% - Accent3 5 2 3" xfId="2275"/>
    <cellStyle name="20% - Accent3 5 2 3 2" xfId="4899"/>
    <cellStyle name="20% - Accent3 5 2 4" xfId="3589"/>
    <cellStyle name="20% - Accent3 5 3" xfId="1302"/>
    <cellStyle name="20% - Accent3 5 3 2" xfId="2616"/>
    <cellStyle name="20% - Accent3 5 3 2 2" xfId="5240"/>
    <cellStyle name="20% - Accent3 5 3 3" xfId="3930"/>
    <cellStyle name="20% - Accent3 5 4" xfId="1962"/>
    <cellStyle name="20% - Accent3 5 4 2" xfId="4586"/>
    <cellStyle name="20% - Accent3 5 5" xfId="3276"/>
    <cellStyle name="20% - Accent3 6" xfId="654"/>
    <cellStyle name="20% - Accent3 6 2" xfId="971"/>
    <cellStyle name="20% - Accent3 6 2 2" xfId="1629"/>
    <cellStyle name="20% - Accent3 6 2 2 2" xfId="2942"/>
    <cellStyle name="20% - Accent3 6 2 2 2 2" xfId="5566"/>
    <cellStyle name="20% - Accent3 6 2 2 3" xfId="4256"/>
    <cellStyle name="20% - Accent3 6 2 3" xfId="2288"/>
    <cellStyle name="20% - Accent3 6 2 3 2" xfId="4912"/>
    <cellStyle name="20% - Accent3 6 2 4" xfId="3602"/>
    <cellStyle name="20% - Accent3 6 3" xfId="1316"/>
    <cellStyle name="20% - Accent3 6 3 2" xfId="2629"/>
    <cellStyle name="20% - Accent3 6 3 2 2" xfId="5253"/>
    <cellStyle name="20% - Accent3 6 3 3" xfId="3943"/>
    <cellStyle name="20% - Accent3 6 4" xfId="1975"/>
    <cellStyle name="20% - Accent3 6 4 2" xfId="4599"/>
    <cellStyle name="20% - Accent3 6 5" xfId="3289"/>
    <cellStyle name="20% - Accent3 7" xfId="667"/>
    <cellStyle name="20% - Accent3 7 2" xfId="1329"/>
    <cellStyle name="20% - Accent3 7 2 2" xfId="2642"/>
    <cellStyle name="20% - Accent3 7 2 2 2" xfId="5266"/>
    <cellStyle name="20% - Accent3 7 2 3" xfId="3956"/>
    <cellStyle name="20% - Accent3 7 3" xfId="1988"/>
    <cellStyle name="20% - Accent3 7 3 2" xfId="4612"/>
    <cellStyle name="20% - Accent3 7 4" xfId="3302"/>
    <cellStyle name="20% - Accent3 8" xfId="987"/>
    <cellStyle name="20% - Accent3 8 2" xfId="1644"/>
    <cellStyle name="20% - Accent3 8 2 2" xfId="2957"/>
    <cellStyle name="20% - Accent3 8 2 2 2" xfId="5581"/>
    <cellStyle name="20% - Accent3 8 2 3" xfId="4271"/>
    <cellStyle name="20% - Accent3 8 3" xfId="2303"/>
    <cellStyle name="20% - Accent3 8 3 2" xfId="4927"/>
    <cellStyle name="20% - Accent3 8 4" xfId="3617"/>
    <cellStyle name="20% - Accent3 9" xfId="1001"/>
    <cellStyle name="20% - Accent3 9 2" xfId="2317"/>
    <cellStyle name="20% - Accent3 9 2 2" xfId="4941"/>
    <cellStyle name="20% - Accent3 9 3" xfId="3631"/>
    <cellStyle name="20% - Accent4" xfId="137" builtinId="42" customBuiltin="1"/>
    <cellStyle name="20% - Accent4 10" xfId="1015"/>
    <cellStyle name="20% - Accent4 10 2" xfId="2331"/>
    <cellStyle name="20% - Accent4 10 2 2" xfId="4955"/>
    <cellStyle name="20% - Accent4 10 3" xfId="3645"/>
    <cellStyle name="20% - Accent4 11" xfId="1659"/>
    <cellStyle name="20% - Accent4 11 2" xfId="2972"/>
    <cellStyle name="20% - Accent4 11 2 2" xfId="5596"/>
    <cellStyle name="20% - Accent4 11 3" xfId="4286"/>
    <cellStyle name="20% - Accent4 12" xfId="1674"/>
    <cellStyle name="20% - Accent4 12 2" xfId="4301"/>
    <cellStyle name="20% - Accent4 13" xfId="2988"/>
    <cellStyle name="20% - Accent4 2" xfId="10"/>
    <cellStyle name="20% - Accent4 2 2" xfId="404"/>
    <cellStyle name="20% - Accent4 2 2 2" xfId="819"/>
    <cellStyle name="20% - Accent4 2 2 2 2" xfId="1477"/>
    <cellStyle name="20% - Accent4 2 2 2 2 2" xfId="2790"/>
    <cellStyle name="20% - Accent4 2 2 2 2 2 2" xfId="5414"/>
    <cellStyle name="20% - Accent4 2 2 2 2 3" xfId="4104"/>
    <cellStyle name="20% - Accent4 2 2 2 3" xfId="2136"/>
    <cellStyle name="20% - Accent4 2 2 2 3 2" xfId="4760"/>
    <cellStyle name="20% - Accent4 2 2 2 4" xfId="3450"/>
    <cellStyle name="20% - Accent4 2 2 3" xfId="1163"/>
    <cellStyle name="20% - Accent4 2 2 3 2" xfId="2477"/>
    <cellStyle name="20% - Accent4 2 2 3 2 2" xfId="5101"/>
    <cellStyle name="20% - Accent4 2 2 3 3" xfId="3791"/>
    <cellStyle name="20% - Accent4 2 2 4" xfId="1823"/>
    <cellStyle name="20% - Accent4 2 2 4 2" xfId="4447"/>
    <cellStyle name="20% - Accent4 2 2 5" xfId="3137"/>
    <cellStyle name="20% - Accent4 2 3" xfId="679"/>
    <cellStyle name="20% - Accent4 2 3 2" xfId="1340"/>
    <cellStyle name="20% - Accent4 2 3 2 2" xfId="2653"/>
    <cellStyle name="20% - Accent4 2 3 2 2 2" xfId="5277"/>
    <cellStyle name="20% - Accent4 2 3 2 3" xfId="3967"/>
    <cellStyle name="20% - Accent4 2 3 3" xfId="1999"/>
    <cellStyle name="20% - Accent4 2 3 3 2" xfId="4623"/>
    <cellStyle name="20% - Accent4 2 3 4" xfId="3313"/>
    <cellStyle name="20% - Accent4 2 4" xfId="1016"/>
    <cellStyle name="20% - Accent4 2 4 2" xfId="2332"/>
    <cellStyle name="20% - Accent4 2 4 2 2" xfId="4956"/>
    <cellStyle name="20% - Accent4 2 4 3" xfId="3646"/>
    <cellStyle name="20% - Accent4 2 5" xfId="1684"/>
    <cellStyle name="20% - Accent4 2 5 2" xfId="4310"/>
    <cellStyle name="20% - Accent4 2 6" xfId="2998"/>
    <cellStyle name="20% - Accent4 2 7" xfId="151"/>
    <cellStyle name="20% - Accent4 3" xfId="394"/>
    <cellStyle name="20% - Accent4 3 2" xfId="809"/>
    <cellStyle name="20% - Accent4 3 2 2" xfId="1468"/>
    <cellStyle name="20% - Accent4 3 2 2 2" xfId="2781"/>
    <cellStyle name="20% - Accent4 3 2 2 2 2" xfId="5405"/>
    <cellStyle name="20% - Accent4 3 2 2 3" xfId="4095"/>
    <cellStyle name="20% - Accent4 3 2 3" xfId="2127"/>
    <cellStyle name="20% - Accent4 3 2 3 2" xfId="4751"/>
    <cellStyle name="20% - Accent4 3 2 4" xfId="3441"/>
    <cellStyle name="20% - Accent4 3 3" xfId="1154"/>
    <cellStyle name="20% - Accent4 3 3 2" xfId="2468"/>
    <cellStyle name="20% - Accent4 3 3 2 2" xfId="5092"/>
    <cellStyle name="20% - Accent4 3 3 3" xfId="3782"/>
    <cellStyle name="20% - Accent4 3 4" xfId="1814"/>
    <cellStyle name="20% - Accent4 3 4 2" xfId="4438"/>
    <cellStyle name="20% - Accent4 3 5" xfId="3128"/>
    <cellStyle name="20% - Accent4 4" xfId="629"/>
    <cellStyle name="20% - Accent4 4 2" xfId="947"/>
    <cellStyle name="20% - Accent4 4 2 2" xfId="1605"/>
    <cellStyle name="20% - Accent4 4 2 2 2" xfId="2918"/>
    <cellStyle name="20% - Accent4 4 2 2 2 2" xfId="5542"/>
    <cellStyle name="20% - Accent4 4 2 2 3" xfId="4232"/>
    <cellStyle name="20% - Accent4 4 2 3" xfId="2264"/>
    <cellStyle name="20% - Accent4 4 2 3 2" xfId="4888"/>
    <cellStyle name="20% - Accent4 4 2 4" xfId="3578"/>
    <cellStyle name="20% - Accent4 4 3" xfId="1291"/>
    <cellStyle name="20% - Accent4 4 3 2" xfId="2605"/>
    <cellStyle name="20% - Accent4 4 3 2 2" xfId="5229"/>
    <cellStyle name="20% - Accent4 4 3 3" xfId="3919"/>
    <cellStyle name="20% - Accent4 4 4" xfId="1951"/>
    <cellStyle name="20% - Accent4 4 4 2" xfId="4575"/>
    <cellStyle name="20% - Accent4 4 5" xfId="3265"/>
    <cellStyle name="20% - Accent4 5" xfId="642"/>
    <cellStyle name="20% - Accent4 5 2" xfId="960"/>
    <cellStyle name="20% - Accent4 5 2 2" xfId="1618"/>
    <cellStyle name="20% - Accent4 5 2 2 2" xfId="2931"/>
    <cellStyle name="20% - Accent4 5 2 2 2 2" xfId="5555"/>
    <cellStyle name="20% - Accent4 5 2 2 3" xfId="4245"/>
    <cellStyle name="20% - Accent4 5 2 3" xfId="2277"/>
    <cellStyle name="20% - Accent4 5 2 3 2" xfId="4901"/>
    <cellStyle name="20% - Accent4 5 2 4" xfId="3591"/>
    <cellStyle name="20% - Accent4 5 3" xfId="1304"/>
    <cellStyle name="20% - Accent4 5 3 2" xfId="2618"/>
    <cellStyle name="20% - Accent4 5 3 2 2" xfId="5242"/>
    <cellStyle name="20% - Accent4 5 3 3" xfId="3932"/>
    <cellStyle name="20% - Accent4 5 4" xfId="1964"/>
    <cellStyle name="20% - Accent4 5 4 2" xfId="4588"/>
    <cellStyle name="20% - Accent4 5 5" xfId="3278"/>
    <cellStyle name="20% - Accent4 6" xfId="656"/>
    <cellStyle name="20% - Accent4 6 2" xfId="973"/>
    <cellStyle name="20% - Accent4 6 2 2" xfId="1631"/>
    <cellStyle name="20% - Accent4 6 2 2 2" xfId="2944"/>
    <cellStyle name="20% - Accent4 6 2 2 2 2" xfId="5568"/>
    <cellStyle name="20% - Accent4 6 2 2 3" xfId="4258"/>
    <cellStyle name="20% - Accent4 6 2 3" xfId="2290"/>
    <cellStyle name="20% - Accent4 6 2 3 2" xfId="4914"/>
    <cellStyle name="20% - Accent4 6 2 4" xfId="3604"/>
    <cellStyle name="20% - Accent4 6 3" xfId="1318"/>
    <cellStyle name="20% - Accent4 6 3 2" xfId="2631"/>
    <cellStyle name="20% - Accent4 6 3 2 2" xfId="5255"/>
    <cellStyle name="20% - Accent4 6 3 3" xfId="3945"/>
    <cellStyle name="20% - Accent4 6 4" xfId="1977"/>
    <cellStyle name="20% - Accent4 6 4 2" xfId="4601"/>
    <cellStyle name="20% - Accent4 6 5" xfId="3291"/>
    <cellStyle name="20% - Accent4 7" xfId="669"/>
    <cellStyle name="20% - Accent4 7 2" xfId="1331"/>
    <cellStyle name="20% - Accent4 7 2 2" xfId="2644"/>
    <cellStyle name="20% - Accent4 7 2 2 2" xfId="5268"/>
    <cellStyle name="20% - Accent4 7 2 3" xfId="3958"/>
    <cellStyle name="20% - Accent4 7 3" xfId="1990"/>
    <cellStyle name="20% - Accent4 7 3 2" xfId="4614"/>
    <cellStyle name="20% - Accent4 7 4" xfId="3304"/>
    <cellStyle name="20% - Accent4 8" xfId="989"/>
    <cellStyle name="20% - Accent4 8 2" xfId="1646"/>
    <cellStyle name="20% - Accent4 8 2 2" xfId="2959"/>
    <cellStyle name="20% - Accent4 8 2 2 2" xfId="5583"/>
    <cellStyle name="20% - Accent4 8 2 3" xfId="4273"/>
    <cellStyle name="20% - Accent4 8 3" xfId="2305"/>
    <cellStyle name="20% - Accent4 8 3 2" xfId="4929"/>
    <cellStyle name="20% - Accent4 8 4" xfId="3619"/>
    <cellStyle name="20% - Accent4 9" xfId="1003"/>
    <cellStyle name="20% - Accent4 9 2" xfId="2319"/>
    <cellStyle name="20% - Accent4 9 2 2" xfId="4943"/>
    <cellStyle name="20% - Accent4 9 3" xfId="3633"/>
    <cellStyle name="20% - Accent5" xfId="141" builtinId="46" customBuiltin="1"/>
    <cellStyle name="20% - Accent5 10" xfId="1017"/>
    <cellStyle name="20% - Accent5 10 2" xfId="2333"/>
    <cellStyle name="20% - Accent5 10 2 2" xfId="4957"/>
    <cellStyle name="20% - Accent5 10 3" xfId="3647"/>
    <cellStyle name="20% - Accent5 11" xfId="1661"/>
    <cellStyle name="20% - Accent5 11 2" xfId="2974"/>
    <cellStyle name="20% - Accent5 11 2 2" xfId="5598"/>
    <cellStyle name="20% - Accent5 11 3" xfId="4288"/>
    <cellStyle name="20% - Accent5 12" xfId="1676"/>
    <cellStyle name="20% - Accent5 12 2" xfId="4303"/>
    <cellStyle name="20% - Accent5 13" xfId="2990"/>
    <cellStyle name="20% - Accent5 2" xfId="11"/>
    <cellStyle name="20% - Accent5 2 2" xfId="405"/>
    <cellStyle name="20% - Accent5 2 2 2" xfId="820"/>
    <cellStyle name="20% - Accent5 2 2 2 2" xfId="1478"/>
    <cellStyle name="20% - Accent5 2 2 2 2 2" xfId="2791"/>
    <cellStyle name="20% - Accent5 2 2 2 2 2 2" xfId="5415"/>
    <cellStyle name="20% - Accent5 2 2 2 2 3" xfId="4105"/>
    <cellStyle name="20% - Accent5 2 2 2 3" xfId="2137"/>
    <cellStyle name="20% - Accent5 2 2 2 3 2" xfId="4761"/>
    <cellStyle name="20% - Accent5 2 2 2 4" xfId="3451"/>
    <cellStyle name="20% - Accent5 2 2 3" xfId="1164"/>
    <cellStyle name="20% - Accent5 2 2 3 2" xfId="2478"/>
    <cellStyle name="20% - Accent5 2 2 3 2 2" xfId="5102"/>
    <cellStyle name="20% - Accent5 2 2 3 3" xfId="3792"/>
    <cellStyle name="20% - Accent5 2 2 4" xfId="1824"/>
    <cellStyle name="20% - Accent5 2 2 4 2" xfId="4448"/>
    <cellStyle name="20% - Accent5 2 2 5" xfId="3138"/>
    <cellStyle name="20% - Accent5 2 3" xfId="680"/>
    <cellStyle name="20% - Accent5 2 3 2" xfId="1341"/>
    <cellStyle name="20% - Accent5 2 3 2 2" xfId="2654"/>
    <cellStyle name="20% - Accent5 2 3 2 2 2" xfId="5278"/>
    <cellStyle name="20% - Accent5 2 3 2 3" xfId="3968"/>
    <cellStyle name="20% - Accent5 2 3 3" xfId="2000"/>
    <cellStyle name="20% - Accent5 2 3 3 2" xfId="4624"/>
    <cellStyle name="20% - Accent5 2 3 4" xfId="3314"/>
    <cellStyle name="20% - Accent5 2 4" xfId="1018"/>
    <cellStyle name="20% - Accent5 2 4 2" xfId="2334"/>
    <cellStyle name="20% - Accent5 2 4 2 2" xfId="4958"/>
    <cellStyle name="20% - Accent5 2 4 3" xfId="3648"/>
    <cellStyle name="20% - Accent5 2 5" xfId="1685"/>
    <cellStyle name="20% - Accent5 2 5 2" xfId="4311"/>
    <cellStyle name="20% - Accent5 2 6" xfId="2999"/>
    <cellStyle name="20% - Accent5 2 7" xfId="152"/>
    <cellStyle name="20% - Accent5 3" xfId="396"/>
    <cellStyle name="20% - Accent5 3 2" xfId="811"/>
    <cellStyle name="20% - Accent5 3 2 2" xfId="1470"/>
    <cellStyle name="20% - Accent5 3 2 2 2" xfId="2783"/>
    <cellStyle name="20% - Accent5 3 2 2 2 2" xfId="5407"/>
    <cellStyle name="20% - Accent5 3 2 2 3" xfId="4097"/>
    <cellStyle name="20% - Accent5 3 2 3" xfId="2129"/>
    <cellStyle name="20% - Accent5 3 2 3 2" xfId="4753"/>
    <cellStyle name="20% - Accent5 3 2 4" xfId="3443"/>
    <cellStyle name="20% - Accent5 3 3" xfId="1156"/>
    <cellStyle name="20% - Accent5 3 3 2" xfId="2470"/>
    <cellStyle name="20% - Accent5 3 3 2 2" xfId="5094"/>
    <cellStyle name="20% - Accent5 3 3 3" xfId="3784"/>
    <cellStyle name="20% - Accent5 3 4" xfId="1816"/>
    <cellStyle name="20% - Accent5 3 4 2" xfId="4440"/>
    <cellStyle name="20% - Accent5 3 5" xfId="3130"/>
    <cellStyle name="20% - Accent5 4" xfId="631"/>
    <cellStyle name="20% - Accent5 4 2" xfId="949"/>
    <cellStyle name="20% - Accent5 4 2 2" xfId="1607"/>
    <cellStyle name="20% - Accent5 4 2 2 2" xfId="2920"/>
    <cellStyle name="20% - Accent5 4 2 2 2 2" xfId="5544"/>
    <cellStyle name="20% - Accent5 4 2 2 3" xfId="4234"/>
    <cellStyle name="20% - Accent5 4 2 3" xfId="2266"/>
    <cellStyle name="20% - Accent5 4 2 3 2" xfId="4890"/>
    <cellStyle name="20% - Accent5 4 2 4" xfId="3580"/>
    <cellStyle name="20% - Accent5 4 3" xfId="1293"/>
    <cellStyle name="20% - Accent5 4 3 2" xfId="2607"/>
    <cellStyle name="20% - Accent5 4 3 2 2" xfId="5231"/>
    <cellStyle name="20% - Accent5 4 3 3" xfId="3921"/>
    <cellStyle name="20% - Accent5 4 4" xfId="1953"/>
    <cellStyle name="20% - Accent5 4 4 2" xfId="4577"/>
    <cellStyle name="20% - Accent5 4 5" xfId="3267"/>
    <cellStyle name="20% - Accent5 5" xfId="644"/>
    <cellStyle name="20% - Accent5 5 2" xfId="962"/>
    <cellStyle name="20% - Accent5 5 2 2" xfId="1620"/>
    <cellStyle name="20% - Accent5 5 2 2 2" xfId="2933"/>
    <cellStyle name="20% - Accent5 5 2 2 2 2" xfId="5557"/>
    <cellStyle name="20% - Accent5 5 2 2 3" xfId="4247"/>
    <cellStyle name="20% - Accent5 5 2 3" xfId="2279"/>
    <cellStyle name="20% - Accent5 5 2 3 2" xfId="4903"/>
    <cellStyle name="20% - Accent5 5 2 4" xfId="3593"/>
    <cellStyle name="20% - Accent5 5 3" xfId="1306"/>
    <cellStyle name="20% - Accent5 5 3 2" xfId="2620"/>
    <cellStyle name="20% - Accent5 5 3 2 2" xfId="5244"/>
    <cellStyle name="20% - Accent5 5 3 3" xfId="3934"/>
    <cellStyle name="20% - Accent5 5 4" xfId="1966"/>
    <cellStyle name="20% - Accent5 5 4 2" xfId="4590"/>
    <cellStyle name="20% - Accent5 5 5" xfId="3280"/>
    <cellStyle name="20% - Accent5 6" xfId="658"/>
    <cellStyle name="20% - Accent5 6 2" xfId="975"/>
    <cellStyle name="20% - Accent5 6 2 2" xfId="1633"/>
    <cellStyle name="20% - Accent5 6 2 2 2" xfId="2946"/>
    <cellStyle name="20% - Accent5 6 2 2 2 2" xfId="5570"/>
    <cellStyle name="20% - Accent5 6 2 2 3" xfId="4260"/>
    <cellStyle name="20% - Accent5 6 2 3" xfId="2292"/>
    <cellStyle name="20% - Accent5 6 2 3 2" xfId="4916"/>
    <cellStyle name="20% - Accent5 6 2 4" xfId="3606"/>
    <cellStyle name="20% - Accent5 6 3" xfId="1320"/>
    <cellStyle name="20% - Accent5 6 3 2" xfId="2633"/>
    <cellStyle name="20% - Accent5 6 3 2 2" xfId="5257"/>
    <cellStyle name="20% - Accent5 6 3 3" xfId="3947"/>
    <cellStyle name="20% - Accent5 6 4" xfId="1979"/>
    <cellStyle name="20% - Accent5 6 4 2" xfId="4603"/>
    <cellStyle name="20% - Accent5 6 5" xfId="3293"/>
    <cellStyle name="20% - Accent5 7" xfId="671"/>
    <cellStyle name="20% - Accent5 7 2" xfId="1333"/>
    <cellStyle name="20% - Accent5 7 2 2" xfId="2646"/>
    <cellStyle name="20% - Accent5 7 2 2 2" xfId="5270"/>
    <cellStyle name="20% - Accent5 7 2 3" xfId="3960"/>
    <cellStyle name="20% - Accent5 7 3" xfId="1992"/>
    <cellStyle name="20% - Accent5 7 3 2" xfId="4616"/>
    <cellStyle name="20% - Accent5 7 4" xfId="3306"/>
    <cellStyle name="20% - Accent5 8" xfId="991"/>
    <cellStyle name="20% - Accent5 8 2" xfId="1648"/>
    <cellStyle name="20% - Accent5 8 2 2" xfId="2961"/>
    <cellStyle name="20% - Accent5 8 2 2 2" xfId="5585"/>
    <cellStyle name="20% - Accent5 8 2 3" xfId="4275"/>
    <cellStyle name="20% - Accent5 8 3" xfId="2307"/>
    <cellStyle name="20% - Accent5 8 3 2" xfId="4931"/>
    <cellStyle name="20% - Accent5 8 4" xfId="3621"/>
    <cellStyle name="20% - Accent5 9" xfId="1005"/>
    <cellStyle name="20% - Accent5 9 2" xfId="2321"/>
    <cellStyle name="20% - Accent5 9 2 2" xfId="4945"/>
    <cellStyle name="20% - Accent5 9 3" xfId="3635"/>
    <cellStyle name="20% - Accent6" xfId="145" builtinId="50" customBuiltin="1"/>
    <cellStyle name="20% - Accent6 10" xfId="1019"/>
    <cellStyle name="20% - Accent6 10 2" xfId="2335"/>
    <cellStyle name="20% - Accent6 10 2 2" xfId="4959"/>
    <cellStyle name="20% - Accent6 10 3" xfId="3649"/>
    <cellStyle name="20% - Accent6 11" xfId="1663"/>
    <cellStyle name="20% - Accent6 11 2" xfId="2976"/>
    <cellStyle name="20% - Accent6 11 2 2" xfId="5600"/>
    <cellStyle name="20% - Accent6 11 3" xfId="4290"/>
    <cellStyle name="20% - Accent6 12" xfId="1678"/>
    <cellStyle name="20% - Accent6 12 2" xfId="4305"/>
    <cellStyle name="20% - Accent6 13" xfId="2992"/>
    <cellStyle name="20% - Accent6 2" xfId="12"/>
    <cellStyle name="20% - Accent6 2 2" xfId="406"/>
    <cellStyle name="20% - Accent6 2 2 2" xfId="821"/>
    <cellStyle name="20% - Accent6 2 2 2 2" xfId="1479"/>
    <cellStyle name="20% - Accent6 2 2 2 2 2" xfId="2792"/>
    <cellStyle name="20% - Accent6 2 2 2 2 2 2" xfId="5416"/>
    <cellStyle name="20% - Accent6 2 2 2 2 3" xfId="4106"/>
    <cellStyle name="20% - Accent6 2 2 2 3" xfId="2138"/>
    <cellStyle name="20% - Accent6 2 2 2 3 2" xfId="4762"/>
    <cellStyle name="20% - Accent6 2 2 2 4" xfId="3452"/>
    <cellStyle name="20% - Accent6 2 2 3" xfId="1165"/>
    <cellStyle name="20% - Accent6 2 2 3 2" xfId="2479"/>
    <cellStyle name="20% - Accent6 2 2 3 2 2" xfId="5103"/>
    <cellStyle name="20% - Accent6 2 2 3 3" xfId="3793"/>
    <cellStyle name="20% - Accent6 2 2 4" xfId="1825"/>
    <cellStyle name="20% - Accent6 2 2 4 2" xfId="4449"/>
    <cellStyle name="20% - Accent6 2 2 5" xfId="3139"/>
    <cellStyle name="20% - Accent6 2 3" xfId="681"/>
    <cellStyle name="20% - Accent6 2 3 2" xfId="1342"/>
    <cellStyle name="20% - Accent6 2 3 2 2" xfId="2655"/>
    <cellStyle name="20% - Accent6 2 3 2 2 2" xfId="5279"/>
    <cellStyle name="20% - Accent6 2 3 2 3" xfId="3969"/>
    <cellStyle name="20% - Accent6 2 3 3" xfId="2001"/>
    <cellStyle name="20% - Accent6 2 3 3 2" xfId="4625"/>
    <cellStyle name="20% - Accent6 2 3 4" xfId="3315"/>
    <cellStyle name="20% - Accent6 2 4" xfId="1020"/>
    <cellStyle name="20% - Accent6 2 4 2" xfId="2336"/>
    <cellStyle name="20% - Accent6 2 4 2 2" xfId="4960"/>
    <cellStyle name="20% - Accent6 2 4 3" xfId="3650"/>
    <cellStyle name="20% - Accent6 2 5" xfId="1686"/>
    <cellStyle name="20% - Accent6 2 5 2" xfId="4312"/>
    <cellStyle name="20% - Accent6 2 6" xfId="3000"/>
    <cellStyle name="20% - Accent6 2 7" xfId="153"/>
    <cellStyle name="20% - Accent6 3" xfId="398"/>
    <cellStyle name="20% - Accent6 3 2" xfId="813"/>
    <cellStyle name="20% - Accent6 3 2 2" xfId="1472"/>
    <cellStyle name="20% - Accent6 3 2 2 2" xfId="2785"/>
    <cellStyle name="20% - Accent6 3 2 2 2 2" xfId="5409"/>
    <cellStyle name="20% - Accent6 3 2 2 3" xfId="4099"/>
    <cellStyle name="20% - Accent6 3 2 3" xfId="2131"/>
    <cellStyle name="20% - Accent6 3 2 3 2" xfId="4755"/>
    <cellStyle name="20% - Accent6 3 2 4" xfId="3445"/>
    <cellStyle name="20% - Accent6 3 3" xfId="1158"/>
    <cellStyle name="20% - Accent6 3 3 2" xfId="2472"/>
    <cellStyle name="20% - Accent6 3 3 2 2" xfId="5096"/>
    <cellStyle name="20% - Accent6 3 3 3" xfId="3786"/>
    <cellStyle name="20% - Accent6 3 4" xfId="1818"/>
    <cellStyle name="20% - Accent6 3 4 2" xfId="4442"/>
    <cellStyle name="20% - Accent6 3 5" xfId="3132"/>
    <cellStyle name="20% - Accent6 4" xfId="633"/>
    <cellStyle name="20% - Accent6 4 2" xfId="951"/>
    <cellStyle name="20% - Accent6 4 2 2" xfId="1609"/>
    <cellStyle name="20% - Accent6 4 2 2 2" xfId="2922"/>
    <cellStyle name="20% - Accent6 4 2 2 2 2" xfId="5546"/>
    <cellStyle name="20% - Accent6 4 2 2 3" xfId="4236"/>
    <cellStyle name="20% - Accent6 4 2 3" xfId="2268"/>
    <cellStyle name="20% - Accent6 4 2 3 2" xfId="4892"/>
    <cellStyle name="20% - Accent6 4 2 4" xfId="3582"/>
    <cellStyle name="20% - Accent6 4 3" xfId="1295"/>
    <cellStyle name="20% - Accent6 4 3 2" xfId="2609"/>
    <cellStyle name="20% - Accent6 4 3 2 2" xfId="5233"/>
    <cellStyle name="20% - Accent6 4 3 3" xfId="3923"/>
    <cellStyle name="20% - Accent6 4 4" xfId="1955"/>
    <cellStyle name="20% - Accent6 4 4 2" xfId="4579"/>
    <cellStyle name="20% - Accent6 4 5" xfId="3269"/>
    <cellStyle name="20% - Accent6 5" xfId="646"/>
    <cellStyle name="20% - Accent6 5 2" xfId="964"/>
    <cellStyle name="20% - Accent6 5 2 2" xfId="1622"/>
    <cellStyle name="20% - Accent6 5 2 2 2" xfId="2935"/>
    <cellStyle name="20% - Accent6 5 2 2 2 2" xfId="5559"/>
    <cellStyle name="20% - Accent6 5 2 2 3" xfId="4249"/>
    <cellStyle name="20% - Accent6 5 2 3" xfId="2281"/>
    <cellStyle name="20% - Accent6 5 2 3 2" xfId="4905"/>
    <cellStyle name="20% - Accent6 5 2 4" xfId="3595"/>
    <cellStyle name="20% - Accent6 5 3" xfId="1308"/>
    <cellStyle name="20% - Accent6 5 3 2" xfId="2622"/>
    <cellStyle name="20% - Accent6 5 3 2 2" xfId="5246"/>
    <cellStyle name="20% - Accent6 5 3 3" xfId="3936"/>
    <cellStyle name="20% - Accent6 5 4" xfId="1968"/>
    <cellStyle name="20% - Accent6 5 4 2" xfId="4592"/>
    <cellStyle name="20% - Accent6 5 5" xfId="3282"/>
    <cellStyle name="20% - Accent6 6" xfId="660"/>
    <cellStyle name="20% - Accent6 6 2" xfId="977"/>
    <cellStyle name="20% - Accent6 6 2 2" xfId="1635"/>
    <cellStyle name="20% - Accent6 6 2 2 2" xfId="2948"/>
    <cellStyle name="20% - Accent6 6 2 2 2 2" xfId="5572"/>
    <cellStyle name="20% - Accent6 6 2 2 3" xfId="4262"/>
    <cellStyle name="20% - Accent6 6 2 3" xfId="2294"/>
    <cellStyle name="20% - Accent6 6 2 3 2" xfId="4918"/>
    <cellStyle name="20% - Accent6 6 2 4" xfId="3608"/>
    <cellStyle name="20% - Accent6 6 3" xfId="1322"/>
    <cellStyle name="20% - Accent6 6 3 2" xfId="2635"/>
    <cellStyle name="20% - Accent6 6 3 2 2" xfId="5259"/>
    <cellStyle name="20% - Accent6 6 3 3" xfId="3949"/>
    <cellStyle name="20% - Accent6 6 4" xfId="1981"/>
    <cellStyle name="20% - Accent6 6 4 2" xfId="4605"/>
    <cellStyle name="20% - Accent6 6 5" xfId="3295"/>
    <cellStyle name="20% - Accent6 7" xfId="673"/>
    <cellStyle name="20% - Accent6 7 2" xfId="1335"/>
    <cellStyle name="20% - Accent6 7 2 2" xfId="2648"/>
    <cellStyle name="20% - Accent6 7 2 2 2" xfId="5272"/>
    <cellStyle name="20% - Accent6 7 2 3" xfId="3962"/>
    <cellStyle name="20% - Accent6 7 3" xfId="1994"/>
    <cellStyle name="20% - Accent6 7 3 2" xfId="4618"/>
    <cellStyle name="20% - Accent6 7 4" xfId="3308"/>
    <cellStyle name="20% - Accent6 8" xfId="993"/>
    <cellStyle name="20% - Accent6 8 2" xfId="1650"/>
    <cellStyle name="20% - Accent6 8 2 2" xfId="2963"/>
    <cellStyle name="20% - Accent6 8 2 2 2" xfId="5587"/>
    <cellStyle name="20% - Accent6 8 2 3" xfId="4277"/>
    <cellStyle name="20% - Accent6 8 3" xfId="2309"/>
    <cellStyle name="20% - Accent6 8 3 2" xfId="4933"/>
    <cellStyle name="20% - Accent6 8 4" xfId="3623"/>
    <cellStyle name="20% - Accent6 9" xfId="1007"/>
    <cellStyle name="20% - Accent6 9 2" xfId="2323"/>
    <cellStyle name="20% - Accent6 9 2 2" xfId="4947"/>
    <cellStyle name="20% - Accent6 9 3" xfId="3637"/>
    <cellStyle name="40% - Accent1" xfId="126" builtinId="31" customBuiltin="1"/>
    <cellStyle name="40% - Accent1 10" xfId="1021"/>
    <cellStyle name="40% - Accent1 10 2" xfId="2337"/>
    <cellStyle name="40% - Accent1 10 2 2" xfId="4961"/>
    <cellStyle name="40% - Accent1 10 3" xfId="3651"/>
    <cellStyle name="40% - Accent1 11" xfId="1654"/>
    <cellStyle name="40% - Accent1 11 2" xfId="2967"/>
    <cellStyle name="40% - Accent1 11 2 2" xfId="5591"/>
    <cellStyle name="40% - Accent1 11 3" xfId="4281"/>
    <cellStyle name="40% - Accent1 12" xfId="1669"/>
    <cellStyle name="40% - Accent1 12 2" xfId="4296"/>
    <cellStyle name="40% - Accent1 13" xfId="2983"/>
    <cellStyle name="40% - Accent1 2" xfId="13"/>
    <cellStyle name="40% - Accent1 2 2" xfId="407"/>
    <cellStyle name="40% - Accent1 2 2 2" xfId="822"/>
    <cellStyle name="40% - Accent1 2 2 2 2" xfId="1480"/>
    <cellStyle name="40% - Accent1 2 2 2 2 2" xfId="2793"/>
    <cellStyle name="40% - Accent1 2 2 2 2 2 2" xfId="5417"/>
    <cellStyle name="40% - Accent1 2 2 2 2 3" xfId="4107"/>
    <cellStyle name="40% - Accent1 2 2 2 3" xfId="2139"/>
    <cellStyle name="40% - Accent1 2 2 2 3 2" xfId="4763"/>
    <cellStyle name="40% - Accent1 2 2 2 4" xfId="3453"/>
    <cellStyle name="40% - Accent1 2 2 3" xfId="1166"/>
    <cellStyle name="40% - Accent1 2 2 3 2" xfId="2480"/>
    <cellStyle name="40% - Accent1 2 2 3 2 2" xfId="5104"/>
    <cellStyle name="40% - Accent1 2 2 3 3" xfId="3794"/>
    <cellStyle name="40% - Accent1 2 2 4" xfId="1826"/>
    <cellStyle name="40% - Accent1 2 2 4 2" xfId="4450"/>
    <cellStyle name="40% - Accent1 2 2 5" xfId="3140"/>
    <cellStyle name="40% - Accent1 2 3" xfId="682"/>
    <cellStyle name="40% - Accent1 2 3 2" xfId="1343"/>
    <cellStyle name="40% - Accent1 2 3 2 2" xfId="2656"/>
    <cellStyle name="40% - Accent1 2 3 2 2 2" xfId="5280"/>
    <cellStyle name="40% - Accent1 2 3 2 3" xfId="3970"/>
    <cellStyle name="40% - Accent1 2 3 3" xfId="2002"/>
    <cellStyle name="40% - Accent1 2 3 3 2" xfId="4626"/>
    <cellStyle name="40% - Accent1 2 3 4" xfId="3316"/>
    <cellStyle name="40% - Accent1 2 4" xfId="1022"/>
    <cellStyle name="40% - Accent1 2 4 2" xfId="2338"/>
    <cellStyle name="40% - Accent1 2 4 2 2" xfId="4962"/>
    <cellStyle name="40% - Accent1 2 4 3" xfId="3652"/>
    <cellStyle name="40% - Accent1 2 5" xfId="1687"/>
    <cellStyle name="40% - Accent1 2 5 2" xfId="4313"/>
    <cellStyle name="40% - Accent1 2 6" xfId="3001"/>
    <cellStyle name="40% - Accent1 2 7" xfId="154"/>
    <cellStyle name="40% - Accent1 3" xfId="389"/>
    <cellStyle name="40% - Accent1 3 2" xfId="804"/>
    <cellStyle name="40% - Accent1 3 2 2" xfId="1463"/>
    <cellStyle name="40% - Accent1 3 2 2 2" xfId="2776"/>
    <cellStyle name="40% - Accent1 3 2 2 2 2" xfId="5400"/>
    <cellStyle name="40% - Accent1 3 2 2 3" xfId="4090"/>
    <cellStyle name="40% - Accent1 3 2 3" xfId="2122"/>
    <cellStyle name="40% - Accent1 3 2 3 2" xfId="4746"/>
    <cellStyle name="40% - Accent1 3 2 4" xfId="3436"/>
    <cellStyle name="40% - Accent1 3 3" xfId="1149"/>
    <cellStyle name="40% - Accent1 3 3 2" xfId="2463"/>
    <cellStyle name="40% - Accent1 3 3 2 2" xfId="5087"/>
    <cellStyle name="40% - Accent1 3 3 3" xfId="3777"/>
    <cellStyle name="40% - Accent1 3 4" xfId="1809"/>
    <cellStyle name="40% - Accent1 3 4 2" xfId="4433"/>
    <cellStyle name="40% - Accent1 3 5" xfId="3123"/>
    <cellStyle name="40% - Accent1 4" xfId="624"/>
    <cellStyle name="40% - Accent1 4 2" xfId="942"/>
    <cellStyle name="40% - Accent1 4 2 2" xfId="1600"/>
    <cellStyle name="40% - Accent1 4 2 2 2" xfId="2913"/>
    <cellStyle name="40% - Accent1 4 2 2 2 2" xfId="5537"/>
    <cellStyle name="40% - Accent1 4 2 2 3" xfId="4227"/>
    <cellStyle name="40% - Accent1 4 2 3" xfId="2259"/>
    <cellStyle name="40% - Accent1 4 2 3 2" xfId="4883"/>
    <cellStyle name="40% - Accent1 4 2 4" xfId="3573"/>
    <cellStyle name="40% - Accent1 4 3" xfId="1286"/>
    <cellStyle name="40% - Accent1 4 3 2" xfId="2600"/>
    <cellStyle name="40% - Accent1 4 3 2 2" xfId="5224"/>
    <cellStyle name="40% - Accent1 4 3 3" xfId="3914"/>
    <cellStyle name="40% - Accent1 4 4" xfId="1946"/>
    <cellStyle name="40% - Accent1 4 4 2" xfId="4570"/>
    <cellStyle name="40% - Accent1 4 5" xfId="3260"/>
    <cellStyle name="40% - Accent1 5" xfId="637"/>
    <cellStyle name="40% - Accent1 5 2" xfId="955"/>
    <cellStyle name="40% - Accent1 5 2 2" xfId="1613"/>
    <cellStyle name="40% - Accent1 5 2 2 2" xfId="2926"/>
    <cellStyle name="40% - Accent1 5 2 2 2 2" xfId="5550"/>
    <cellStyle name="40% - Accent1 5 2 2 3" xfId="4240"/>
    <cellStyle name="40% - Accent1 5 2 3" xfId="2272"/>
    <cellStyle name="40% - Accent1 5 2 3 2" xfId="4896"/>
    <cellStyle name="40% - Accent1 5 2 4" xfId="3586"/>
    <cellStyle name="40% - Accent1 5 3" xfId="1299"/>
    <cellStyle name="40% - Accent1 5 3 2" xfId="2613"/>
    <cellStyle name="40% - Accent1 5 3 2 2" xfId="5237"/>
    <cellStyle name="40% - Accent1 5 3 3" xfId="3927"/>
    <cellStyle name="40% - Accent1 5 4" xfId="1959"/>
    <cellStyle name="40% - Accent1 5 4 2" xfId="4583"/>
    <cellStyle name="40% - Accent1 5 5" xfId="3273"/>
    <cellStyle name="40% - Accent1 6" xfId="651"/>
    <cellStyle name="40% - Accent1 6 2" xfId="968"/>
    <cellStyle name="40% - Accent1 6 2 2" xfId="1626"/>
    <cellStyle name="40% - Accent1 6 2 2 2" xfId="2939"/>
    <cellStyle name="40% - Accent1 6 2 2 2 2" xfId="5563"/>
    <cellStyle name="40% - Accent1 6 2 2 3" xfId="4253"/>
    <cellStyle name="40% - Accent1 6 2 3" xfId="2285"/>
    <cellStyle name="40% - Accent1 6 2 3 2" xfId="4909"/>
    <cellStyle name="40% - Accent1 6 2 4" xfId="3599"/>
    <cellStyle name="40% - Accent1 6 3" xfId="1313"/>
    <cellStyle name="40% - Accent1 6 3 2" xfId="2626"/>
    <cellStyle name="40% - Accent1 6 3 2 2" xfId="5250"/>
    <cellStyle name="40% - Accent1 6 3 3" xfId="3940"/>
    <cellStyle name="40% - Accent1 6 4" xfId="1972"/>
    <cellStyle name="40% - Accent1 6 4 2" xfId="4596"/>
    <cellStyle name="40% - Accent1 6 5" xfId="3286"/>
    <cellStyle name="40% - Accent1 7" xfId="664"/>
    <cellStyle name="40% - Accent1 7 2" xfId="1326"/>
    <cellStyle name="40% - Accent1 7 2 2" xfId="2639"/>
    <cellStyle name="40% - Accent1 7 2 2 2" xfId="5263"/>
    <cellStyle name="40% - Accent1 7 2 3" xfId="3953"/>
    <cellStyle name="40% - Accent1 7 3" xfId="1985"/>
    <cellStyle name="40% - Accent1 7 3 2" xfId="4609"/>
    <cellStyle name="40% - Accent1 7 4" xfId="3299"/>
    <cellStyle name="40% - Accent1 8" xfId="984"/>
    <cellStyle name="40% - Accent1 8 2" xfId="1641"/>
    <cellStyle name="40% - Accent1 8 2 2" xfId="2954"/>
    <cellStyle name="40% - Accent1 8 2 2 2" xfId="5578"/>
    <cellStyle name="40% - Accent1 8 2 3" xfId="4268"/>
    <cellStyle name="40% - Accent1 8 3" xfId="2300"/>
    <cellStyle name="40% - Accent1 8 3 2" xfId="4924"/>
    <cellStyle name="40% - Accent1 8 4" xfId="3614"/>
    <cellStyle name="40% - Accent1 9" xfId="998"/>
    <cellStyle name="40% - Accent1 9 2" xfId="2314"/>
    <cellStyle name="40% - Accent1 9 2 2" xfId="4938"/>
    <cellStyle name="40% - Accent1 9 3" xfId="3628"/>
    <cellStyle name="40% - Accent2" xfId="130" builtinId="35" customBuiltin="1"/>
    <cellStyle name="40% - Accent2 10" xfId="1023"/>
    <cellStyle name="40% - Accent2 10 2" xfId="2339"/>
    <cellStyle name="40% - Accent2 10 2 2" xfId="4963"/>
    <cellStyle name="40% - Accent2 10 3" xfId="3653"/>
    <cellStyle name="40% - Accent2 11" xfId="1656"/>
    <cellStyle name="40% - Accent2 11 2" xfId="2969"/>
    <cellStyle name="40% - Accent2 11 2 2" xfId="5593"/>
    <cellStyle name="40% - Accent2 11 3" xfId="4283"/>
    <cellStyle name="40% - Accent2 12" xfId="1671"/>
    <cellStyle name="40% - Accent2 12 2" xfId="4298"/>
    <cellStyle name="40% - Accent2 13" xfId="2985"/>
    <cellStyle name="40% - Accent2 2" xfId="14"/>
    <cellStyle name="40% - Accent2 2 2" xfId="408"/>
    <cellStyle name="40% - Accent2 2 2 2" xfId="823"/>
    <cellStyle name="40% - Accent2 2 2 2 2" xfId="1481"/>
    <cellStyle name="40% - Accent2 2 2 2 2 2" xfId="2794"/>
    <cellStyle name="40% - Accent2 2 2 2 2 2 2" xfId="5418"/>
    <cellStyle name="40% - Accent2 2 2 2 2 3" xfId="4108"/>
    <cellStyle name="40% - Accent2 2 2 2 3" xfId="2140"/>
    <cellStyle name="40% - Accent2 2 2 2 3 2" xfId="4764"/>
    <cellStyle name="40% - Accent2 2 2 2 4" xfId="3454"/>
    <cellStyle name="40% - Accent2 2 2 3" xfId="1167"/>
    <cellStyle name="40% - Accent2 2 2 3 2" xfId="2481"/>
    <cellStyle name="40% - Accent2 2 2 3 2 2" xfId="5105"/>
    <cellStyle name="40% - Accent2 2 2 3 3" xfId="3795"/>
    <cellStyle name="40% - Accent2 2 2 4" xfId="1827"/>
    <cellStyle name="40% - Accent2 2 2 4 2" xfId="4451"/>
    <cellStyle name="40% - Accent2 2 2 5" xfId="3141"/>
    <cellStyle name="40% - Accent2 2 3" xfId="683"/>
    <cellStyle name="40% - Accent2 2 3 2" xfId="1344"/>
    <cellStyle name="40% - Accent2 2 3 2 2" xfId="2657"/>
    <cellStyle name="40% - Accent2 2 3 2 2 2" xfId="5281"/>
    <cellStyle name="40% - Accent2 2 3 2 3" xfId="3971"/>
    <cellStyle name="40% - Accent2 2 3 3" xfId="2003"/>
    <cellStyle name="40% - Accent2 2 3 3 2" xfId="4627"/>
    <cellStyle name="40% - Accent2 2 3 4" xfId="3317"/>
    <cellStyle name="40% - Accent2 2 4" xfId="1024"/>
    <cellStyle name="40% - Accent2 2 4 2" xfId="2340"/>
    <cellStyle name="40% - Accent2 2 4 2 2" xfId="4964"/>
    <cellStyle name="40% - Accent2 2 4 3" xfId="3654"/>
    <cellStyle name="40% - Accent2 2 5" xfId="1688"/>
    <cellStyle name="40% - Accent2 2 5 2" xfId="4314"/>
    <cellStyle name="40% - Accent2 2 6" xfId="3002"/>
    <cellStyle name="40% - Accent2 2 7" xfId="155"/>
    <cellStyle name="40% - Accent2 3" xfId="391"/>
    <cellStyle name="40% - Accent2 3 2" xfId="806"/>
    <cellStyle name="40% - Accent2 3 2 2" xfId="1465"/>
    <cellStyle name="40% - Accent2 3 2 2 2" xfId="2778"/>
    <cellStyle name="40% - Accent2 3 2 2 2 2" xfId="5402"/>
    <cellStyle name="40% - Accent2 3 2 2 3" xfId="4092"/>
    <cellStyle name="40% - Accent2 3 2 3" xfId="2124"/>
    <cellStyle name="40% - Accent2 3 2 3 2" xfId="4748"/>
    <cellStyle name="40% - Accent2 3 2 4" xfId="3438"/>
    <cellStyle name="40% - Accent2 3 3" xfId="1151"/>
    <cellStyle name="40% - Accent2 3 3 2" xfId="2465"/>
    <cellStyle name="40% - Accent2 3 3 2 2" xfId="5089"/>
    <cellStyle name="40% - Accent2 3 3 3" xfId="3779"/>
    <cellStyle name="40% - Accent2 3 4" xfId="1811"/>
    <cellStyle name="40% - Accent2 3 4 2" xfId="4435"/>
    <cellStyle name="40% - Accent2 3 5" xfId="3125"/>
    <cellStyle name="40% - Accent2 4" xfId="626"/>
    <cellStyle name="40% - Accent2 4 2" xfId="944"/>
    <cellStyle name="40% - Accent2 4 2 2" xfId="1602"/>
    <cellStyle name="40% - Accent2 4 2 2 2" xfId="2915"/>
    <cellStyle name="40% - Accent2 4 2 2 2 2" xfId="5539"/>
    <cellStyle name="40% - Accent2 4 2 2 3" xfId="4229"/>
    <cellStyle name="40% - Accent2 4 2 3" xfId="2261"/>
    <cellStyle name="40% - Accent2 4 2 3 2" xfId="4885"/>
    <cellStyle name="40% - Accent2 4 2 4" xfId="3575"/>
    <cellStyle name="40% - Accent2 4 3" xfId="1288"/>
    <cellStyle name="40% - Accent2 4 3 2" xfId="2602"/>
    <cellStyle name="40% - Accent2 4 3 2 2" xfId="5226"/>
    <cellStyle name="40% - Accent2 4 3 3" xfId="3916"/>
    <cellStyle name="40% - Accent2 4 4" xfId="1948"/>
    <cellStyle name="40% - Accent2 4 4 2" xfId="4572"/>
    <cellStyle name="40% - Accent2 4 5" xfId="3262"/>
    <cellStyle name="40% - Accent2 5" xfId="639"/>
    <cellStyle name="40% - Accent2 5 2" xfId="957"/>
    <cellStyle name="40% - Accent2 5 2 2" xfId="1615"/>
    <cellStyle name="40% - Accent2 5 2 2 2" xfId="2928"/>
    <cellStyle name="40% - Accent2 5 2 2 2 2" xfId="5552"/>
    <cellStyle name="40% - Accent2 5 2 2 3" xfId="4242"/>
    <cellStyle name="40% - Accent2 5 2 3" xfId="2274"/>
    <cellStyle name="40% - Accent2 5 2 3 2" xfId="4898"/>
    <cellStyle name="40% - Accent2 5 2 4" xfId="3588"/>
    <cellStyle name="40% - Accent2 5 3" xfId="1301"/>
    <cellStyle name="40% - Accent2 5 3 2" xfId="2615"/>
    <cellStyle name="40% - Accent2 5 3 2 2" xfId="5239"/>
    <cellStyle name="40% - Accent2 5 3 3" xfId="3929"/>
    <cellStyle name="40% - Accent2 5 4" xfId="1961"/>
    <cellStyle name="40% - Accent2 5 4 2" xfId="4585"/>
    <cellStyle name="40% - Accent2 5 5" xfId="3275"/>
    <cellStyle name="40% - Accent2 6" xfId="653"/>
    <cellStyle name="40% - Accent2 6 2" xfId="970"/>
    <cellStyle name="40% - Accent2 6 2 2" xfId="1628"/>
    <cellStyle name="40% - Accent2 6 2 2 2" xfId="2941"/>
    <cellStyle name="40% - Accent2 6 2 2 2 2" xfId="5565"/>
    <cellStyle name="40% - Accent2 6 2 2 3" xfId="4255"/>
    <cellStyle name="40% - Accent2 6 2 3" xfId="2287"/>
    <cellStyle name="40% - Accent2 6 2 3 2" xfId="4911"/>
    <cellStyle name="40% - Accent2 6 2 4" xfId="3601"/>
    <cellStyle name="40% - Accent2 6 3" xfId="1315"/>
    <cellStyle name="40% - Accent2 6 3 2" xfId="2628"/>
    <cellStyle name="40% - Accent2 6 3 2 2" xfId="5252"/>
    <cellStyle name="40% - Accent2 6 3 3" xfId="3942"/>
    <cellStyle name="40% - Accent2 6 4" xfId="1974"/>
    <cellStyle name="40% - Accent2 6 4 2" xfId="4598"/>
    <cellStyle name="40% - Accent2 6 5" xfId="3288"/>
    <cellStyle name="40% - Accent2 7" xfId="666"/>
    <cellStyle name="40% - Accent2 7 2" xfId="1328"/>
    <cellStyle name="40% - Accent2 7 2 2" xfId="2641"/>
    <cellStyle name="40% - Accent2 7 2 2 2" xfId="5265"/>
    <cellStyle name="40% - Accent2 7 2 3" xfId="3955"/>
    <cellStyle name="40% - Accent2 7 3" xfId="1987"/>
    <cellStyle name="40% - Accent2 7 3 2" xfId="4611"/>
    <cellStyle name="40% - Accent2 7 4" xfId="3301"/>
    <cellStyle name="40% - Accent2 8" xfId="986"/>
    <cellStyle name="40% - Accent2 8 2" xfId="1643"/>
    <cellStyle name="40% - Accent2 8 2 2" xfId="2956"/>
    <cellStyle name="40% - Accent2 8 2 2 2" xfId="5580"/>
    <cellStyle name="40% - Accent2 8 2 3" xfId="4270"/>
    <cellStyle name="40% - Accent2 8 3" xfId="2302"/>
    <cellStyle name="40% - Accent2 8 3 2" xfId="4926"/>
    <cellStyle name="40% - Accent2 8 4" xfId="3616"/>
    <cellStyle name="40% - Accent2 9" xfId="1000"/>
    <cellStyle name="40% - Accent2 9 2" xfId="2316"/>
    <cellStyle name="40% - Accent2 9 2 2" xfId="4940"/>
    <cellStyle name="40% - Accent2 9 3" xfId="3630"/>
    <cellStyle name="40% - Accent3" xfId="134" builtinId="39" customBuiltin="1"/>
    <cellStyle name="40% - Accent3 10" xfId="1025"/>
    <cellStyle name="40% - Accent3 10 2" xfId="2341"/>
    <cellStyle name="40% - Accent3 10 2 2" xfId="4965"/>
    <cellStyle name="40% - Accent3 10 3" xfId="3655"/>
    <cellStyle name="40% - Accent3 11" xfId="1658"/>
    <cellStyle name="40% - Accent3 11 2" xfId="2971"/>
    <cellStyle name="40% - Accent3 11 2 2" xfId="5595"/>
    <cellStyle name="40% - Accent3 11 3" xfId="4285"/>
    <cellStyle name="40% - Accent3 12" xfId="1673"/>
    <cellStyle name="40% - Accent3 12 2" xfId="4300"/>
    <cellStyle name="40% - Accent3 13" xfId="2987"/>
    <cellStyle name="40% - Accent3 2" xfId="15"/>
    <cellStyle name="40% - Accent3 2 2" xfId="409"/>
    <cellStyle name="40% - Accent3 2 2 2" xfId="824"/>
    <cellStyle name="40% - Accent3 2 2 2 2" xfId="1482"/>
    <cellStyle name="40% - Accent3 2 2 2 2 2" xfId="2795"/>
    <cellStyle name="40% - Accent3 2 2 2 2 2 2" xfId="5419"/>
    <cellStyle name="40% - Accent3 2 2 2 2 3" xfId="4109"/>
    <cellStyle name="40% - Accent3 2 2 2 3" xfId="2141"/>
    <cellStyle name="40% - Accent3 2 2 2 3 2" xfId="4765"/>
    <cellStyle name="40% - Accent3 2 2 2 4" xfId="3455"/>
    <cellStyle name="40% - Accent3 2 2 3" xfId="1168"/>
    <cellStyle name="40% - Accent3 2 2 3 2" xfId="2482"/>
    <cellStyle name="40% - Accent3 2 2 3 2 2" xfId="5106"/>
    <cellStyle name="40% - Accent3 2 2 3 3" xfId="3796"/>
    <cellStyle name="40% - Accent3 2 2 4" xfId="1828"/>
    <cellStyle name="40% - Accent3 2 2 4 2" xfId="4452"/>
    <cellStyle name="40% - Accent3 2 2 5" xfId="3142"/>
    <cellStyle name="40% - Accent3 2 3" xfId="684"/>
    <cellStyle name="40% - Accent3 2 3 2" xfId="1345"/>
    <cellStyle name="40% - Accent3 2 3 2 2" xfId="2658"/>
    <cellStyle name="40% - Accent3 2 3 2 2 2" xfId="5282"/>
    <cellStyle name="40% - Accent3 2 3 2 3" xfId="3972"/>
    <cellStyle name="40% - Accent3 2 3 3" xfId="2004"/>
    <cellStyle name="40% - Accent3 2 3 3 2" xfId="4628"/>
    <cellStyle name="40% - Accent3 2 3 4" xfId="3318"/>
    <cellStyle name="40% - Accent3 2 4" xfId="1026"/>
    <cellStyle name="40% - Accent3 2 4 2" xfId="2342"/>
    <cellStyle name="40% - Accent3 2 4 2 2" xfId="4966"/>
    <cellStyle name="40% - Accent3 2 4 3" xfId="3656"/>
    <cellStyle name="40% - Accent3 2 5" xfId="1689"/>
    <cellStyle name="40% - Accent3 2 5 2" xfId="4315"/>
    <cellStyle name="40% - Accent3 2 6" xfId="3003"/>
    <cellStyle name="40% - Accent3 2 7" xfId="156"/>
    <cellStyle name="40% - Accent3 3" xfId="393"/>
    <cellStyle name="40% - Accent3 3 2" xfId="808"/>
    <cellStyle name="40% - Accent3 3 2 2" xfId="1467"/>
    <cellStyle name="40% - Accent3 3 2 2 2" xfId="2780"/>
    <cellStyle name="40% - Accent3 3 2 2 2 2" xfId="5404"/>
    <cellStyle name="40% - Accent3 3 2 2 3" xfId="4094"/>
    <cellStyle name="40% - Accent3 3 2 3" xfId="2126"/>
    <cellStyle name="40% - Accent3 3 2 3 2" xfId="4750"/>
    <cellStyle name="40% - Accent3 3 2 4" xfId="3440"/>
    <cellStyle name="40% - Accent3 3 3" xfId="1153"/>
    <cellStyle name="40% - Accent3 3 3 2" xfId="2467"/>
    <cellStyle name="40% - Accent3 3 3 2 2" xfId="5091"/>
    <cellStyle name="40% - Accent3 3 3 3" xfId="3781"/>
    <cellStyle name="40% - Accent3 3 4" xfId="1813"/>
    <cellStyle name="40% - Accent3 3 4 2" xfId="4437"/>
    <cellStyle name="40% - Accent3 3 5" xfId="3127"/>
    <cellStyle name="40% - Accent3 4" xfId="628"/>
    <cellStyle name="40% - Accent3 4 2" xfId="946"/>
    <cellStyle name="40% - Accent3 4 2 2" xfId="1604"/>
    <cellStyle name="40% - Accent3 4 2 2 2" xfId="2917"/>
    <cellStyle name="40% - Accent3 4 2 2 2 2" xfId="5541"/>
    <cellStyle name="40% - Accent3 4 2 2 3" xfId="4231"/>
    <cellStyle name="40% - Accent3 4 2 3" xfId="2263"/>
    <cellStyle name="40% - Accent3 4 2 3 2" xfId="4887"/>
    <cellStyle name="40% - Accent3 4 2 4" xfId="3577"/>
    <cellStyle name="40% - Accent3 4 3" xfId="1290"/>
    <cellStyle name="40% - Accent3 4 3 2" xfId="2604"/>
    <cellStyle name="40% - Accent3 4 3 2 2" xfId="5228"/>
    <cellStyle name="40% - Accent3 4 3 3" xfId="3918"/>
    <cellStyle name="40% - Accent3 4 4" xfId="1950"/>
    <cellStyle name="40% - Accent3 4 4 2" xfId="4574"/>
    <cellStyle name="40% - Accent3 4 5" xfId="3264"/>
    <cellStyle name="40% - Accent3 5" xfId="641"/>
    <cellStyle name="40% - Accent3 5 2" xfId="959"/>
    <cellStyle name="40% - Accent3 5 2 2" xfId="1617"/>
    <cellStyle name="40% - Accent3 5 2 2 2" xfId="2930"/>
    <cellStyle name="40% - Accent3 5 2 2 2 2" xfId="5554"/>
    <cellStyle name="40% - Accent3 5 2 2 3" xfId="4244"/>
    <cellStyle name="40% - Accent3 5 2 3" xfId="2276"/>
    <cellStyle name="40% - Accent3 5 2 3 2" xfId="4900"/>
    <cellStyle name="40% - Accent3 5 2 4" xfId="3590"/>
    <cellStyle name="40% - Accent3 5 3" xfId="1303"/>
    <cellStyle name="40% - Accent3 5 3 2" xfId="2617"/>
    <cellStyle name="40% - Accent3 5 3 2 2" xfId="5241"/>
    <cellStyle name="40% - Accent3 5 3 3" xfId="3931"/>
    <cellStyle name="40% - Accent3 5 4" xfId="1963"/>
    <cellStyle name="40% - Accent3 5 4 2" xfId="4587"/>
    <cellStyle name="40% - Accent3 5 5" xfId="3277"/>
    <cellStyle name="40% - Accent3 6" xfId="655"/>
    <cellStyle name="40% - Accent3 6 2" xfId="972"/>
    <cellStyle name="40% - Accent3 6 2 2" xfId="1630"/>
    <cellStyle name="40% - Accent3 6 2 2 2" xfId="2943"/>
    <cellStyle name="40% - Accent3 6 2 2 2 2" xfId="5567"/>
    <cellStyle name="40% - Accent3 6 2 2 3" xfId="4257"/>
    <cellStyle name="40% - Accent3 6 2 3" xfId="2289"/>
    <cellStyle name="40% - Accent3 6 2 3 2" xfId="4913"/>
    <cellStyle name="40% - Accent3 6 2 4" xfId="3603"/>
    <cellStyle name="40% - Accent3 6 3" xfId="1317"/>
    <cellStyle name="40% - Accent3 6 3 2" xfId="2630"/>
    <cellStyle name="40% - Accent3 6 3 2 2" xfId="5254"/>
    <cellStyle name="40% - Accent3 6 3 3" xfId="3944"/>
    <cellStyle name="40% - Accent3 6 4" xfId="1976"/>
    <cellStyle name="40% - Accent3 6 4 2" xfId="4600"/>
    <cellStyle name="40% - Accent3 6 5" xfId="3290"/>
    <cellStyle name="40% - Accent3 7" xfId="668"/>
    <cellStyle name="40% - Accent3 7 2" xfId="1330"/>
    <cellStyle name="40% - Accent3 7 2 2" xfId="2643"/>
    <cellStyle name="40% - Accent3 7 2 2 2" xfId="5267"/>
    <cellStyle name="40% - Accent3 7 2 3" xfId="3957"/>
    <cellStyle name="40% - Accent3 7 3" xfId="1989"/>
    <cellStyle name="40% - Accent3 7 3 2" xfId="4613"/>
    <cellStyle name="40% - Accent3 7 4" xfId="3303"/>
    <cellStyle name="40% - Accent3 8" xfId="988"/>
    <cellStyle name="40% - Accent3 8 2" xfId="1645"/>
    <cellStyle name="40% - Accent3 8 2 2" xfId="2958"/>
    <cellStyle name="40% - Accent3 8 2 2 2" xfId="5582"/>
    <cellStyle name="40% - Accent3 8 2 3" xfId="4272"/>
    <cellStyle name="40% - Accent3 8 3" xfId="2304"/>
    <cellStyle name="40% - Accent3 8 3 2" xfId="4928"/>
    <cellStyle name="40% - Accent3 8 4" xfId="3618"/>
    <cellStyle name="40% - Accent3 9" xfId="1002"/>
    <cellStyle name="40% - Accent3 9 2" xfId="2318"/>
    <cellStyle name="40% - Accent3 9 2 2" xfId="4942"/>
    <cellStyle name="40% - Accent3 9 3" xfId="3632"/>
    <cellStyle name="40% - Accent4" xfId="138" builtinId="43" customBuiltin="1"/>
    <cellStyle name="40% - Accent4 10" xfId="1027"/>
    <cellStyle name="40% - Accent4 10 2" xfId="2343"/>
    <cellStyle name="40% - Accent4 10 2 2" xfId="4967"/>
    <cellStyle name="40% - Accent4 10 3" xfId="3657"/>
    <cellStyle name="40% - Accent4 11" xfId="1660"/>
    <cellStyle name="40% - Accent4 11 2" xfId="2973"/>
    <cellStyle name="40% - Accent4 11 2 2" xfId="5597"/>
    <cellStyle name="40% - Accent4 11 3" xfId="4287"/>
    <cellStyle name="40% - Accent4 12" xfId="1675"/>
    <cellStyle name="40% - Accent4 12 2" xfId="4302"/>
    <cellStyle name="40% - Accent4 13" xfId="2989"/>
    <cellStyle name="40% - Accent4 2" xfId="16"/>
    <cellStyle name="40% - Accent4 2 2" xfId="410"/>
    <cellStyle name="40% - Accent4 2 2 2" xfId="825"/>
    <cellStyle name="40% - Accent4 2 2 2 2" xfId="1483"/>
    <cellStyle name="40% - Accent4 2 2 2 2 2" xfId="2796"/>
    <cellStyle name="40% - Accent4 2 2 2 2 2 2" xfId="5420"/>
    <cellStyle name="40% - Accent4 2 2 2 2 3" xfId="4110"/>
    <cellStyle name="40% - Accent4 2 2 2 3" xfId="2142"/>
    <cellStyle name="40% - Accent4 2 2 2 3 2" xfId="4766"/>
    <cellStyle name="40% - Accent4 2 2 2 4" xfId="3456"/>
    <cellStyle name="40% - Accent4 2 2 3" xfId="1169"/>
    <cellStyle name="40% - Accent4 2 2 3 2" xfId="2483"/>
    <cellStyle name="40% - Accent4 2 2 3 2 2" xfId="5107"/>
    <cellStyle name="40% - Accent4 2 2 3 3" xfId="3797"/>
    <cellStyle name="40% - Accent4 2 2 4" xfId="1829"/>
    <cellStyle name="40% - Accent4 2 2 4 2" xfId="4453"/>
    <cellStyle name="40% - Accent4 2 2 5" xfId="3143"/>
    <cellStyle name="40% - Accent4 2 3" xfId="685"/>
    <cellStyle name="40% - Accent4 2 3 2" xfId="1346"/>
    <cellStyle name="40% - Accent4 2 3 2 2" xfId="2659"/>
    <cellStyle name="40% - Accent4 2 3 2 2 2" xfId="5283"/>
    <cellStyle name="40% - Accent4 2 3 2 3" xfId="3973"/>
    <cellStyle name="40% - Accent4 2 3 3" xfId="2005"/>
    <cellStyle name="40% - Accent4 2 3 3 2" xfId="4629"/>
    <cellStyle name="40% - Accent4 2 3 4" xfId="3319"/>
    <cellStyle name="40% - Accent4 2 4" xfId="1028"/>
    <cellStyle name="40% - Accent4 2 4 2" xfId="2344"/>
    <cellStyle name="40% - Accent4 2 4 2 2" xfId="4968"/>
    <cellStyle name="40% - Accent4 2 4 3" xfId="3658"/>
    <cellStyle name="40% - Accent4 2 5" xfId="1690"/>
    <cellStyle name="40% - Accent4 2 5 2" xfId="4316"/>
    <cellStyle name="40% - Accent4 2 6" xfId="3004"/>
    <cellStyle name="40% - Accent4 2 7" xfId="157"/>
    <cellStyle name="40% - Accent4 3" xfId="395"/>
    <cellStyle name="40% - Accent4 3 2" xfId="810"/>
    <cellStyle name="40% - Accent4 3 2 2" xfId="1469"/>
    <cellStyle name="40% - Accent4 3 2 2 2" xfId="2782"/>
    <cellStyle name="40% - Accent4 3 2 2 2 2" xfId="5406"/>
    <cellStyle name="40% - Accent4 3 2 2 3" xfId="4096"/>
    <cellStyle name="40% - Accent4 3 2 3" xfId="2128"/>
    <cellStyle name="40% - Accent4 3 2 3 2" xfId="4752"/>
    <cellStyle name="40% - Accent4 3 2 4" xfId="3442"/>
    <cellStyle name="40% - Accent4 3 3" xfId="1155"/>
    <cellStyle name="40% - Accent4 3 3 2" xfId="2469"/>
    <cellStyle name="40% - Accent4 3 3 2 2" xfId="5093"/>
    <cellStyle name="40% - Accent4 3 3 3" xfId="3783"/>
    <cellStyle name="40% - Accent4 3 4" xfId="1815"/>
    <cellStyle name="40% - Accent4 3 4 2" xfId="4439"/>
    <cellStyle name="40% - Accent4 3 5" xfId="3129"/>
    <cellStyle name="40% - Accent4 4" xfId="630"/>
    <cellStyle name="40% - Accent4 4 2" xfId="948"/>
    <cellStyle name="40% - Accent4 4 2 2" xfId="1606"/>
    <cellStyle name="40% - Accent4 4 2 2 2" xfId="2919"/>
    <cellStyle name="40% - Accent4 4 2 2 2 2" xfId="5543"/>
    <cellStyle name="40% - Accent4 4 2 2 3" xfId="4233"/>
    <cellStyle name="40% - Accent4 4 2 3" xfId="2265"/>
    <cellStyle name="40% - Accent4 4 2 3 2" xfId="4889"/>
    <cellStyle name="40% - Accent4 4 2 4" xfId="3579"/>
    <cellStyle name="40% - Accent4 4 3" xfId="1292"/>
    <cellStyle name="40% - Accent4 4 3 2" xfId="2606"/>
    <cellStyle name="40% - Accent4 4 3 2 2" xfId="5230"/>
    <cellStyle name="40% - Accent4 4 3 3" xfId="3920"/>
    <cellStyle name="40% - Accent4 4 4" xfId="1952"/>
    <cellStyle name="40% - Accent4 4 4 2" xfId="4576"/>
    <cellStyle name="40% - Accent4 4 5" xfId="3266"/>
    <cellStyle name="40% - Accent4 5" xfId="643"/>
    <cellStyle name="40% - Accent4 5 2" xfId="961"/>
    <cellStyle name="40% - Accent4 5 2 2" xfId="1619"/>
    <cellStyle name="40% - Accent4 5 2 2 2" xfId="2932"/>
    <cellStyle name="40% - Accent4 5 2 2 2 2" xfId="5556"/>
    <cellStyle name="40% - Accent4 5 2 2 3" xfId="4246"/>
    <cellStyle name="40% - Accent4 5 2 3" xfId="2278"/>
    <cellStyle name="40% - Accent4 5 2 3 2" xfId="4902"/>
    <cellStyle name="40% - Accent4 5 2 4" xfId="3592"/>
    <cellStyle name="40% - Accent4 5 3" xfId="1305"/>
    <cellStyle name="40% - Accent4 5 3 2" xfId="2619"/>
    <cellStyle name="40% - Accent4 5 3 2 2" xfId="5243"/>
    <cellStyle name="40% - Accent4 5 3 3" xfId="3933"/>
    <cellStyle name="40% - Accent4 5 4" xfId="1965"/>
    <cellStyle name="40% - Accent4 5 4 2" xfId="4589"/>
    <cellStyle name="40% - Accent4 5 5" xfId="3279"/>
    <cellStyle name="40% - Accent4 6" xfId="657"/>
    <cellStyle name="40% - Accent4 6 2" xfId="974"/>
    <cellStyle name="40% - Accent4 6 2 2" xfId="1632"/>
    <cellStyle name="40% - Accent4 6 2 2 2" xfId="2945"/>
    <cellStyle name="40% - Accent4 6 2 2 2 2" xfId="5569"/>
    <cellStyle name="40% - Accent4 6 2 2 3" xfId="4259"/>
    <cellStyle name="40% - Accent4 6 2 3" xfId="2291"/>
    <cellStyle name="40% - Accent4 6 2 3 2" xfId="4915"/>
    <cellStyle name="40% - Accent4 6 2 4" xfId="3605"/>
    <cellStyle name="40% - Accent4 6 3" xfId="1319"/>
    <cellStyle name="40% - Accent4 6 3 2" xfId="2632"/>
    <cellStyle name="40% - Accent4 6 3 2 2" xfId="5256"/>
    <cellStyle name="40% - Accent4 6 3 3" xfId="3946"/>
    <cellStyle name="40% - Accent4 6 4" xfId="1978"/>
    <cellStyle name="40% - Accent4 6 4 2" xfId="4602"/>
    <cellStyle name="40% - Accent4 6 5" xfId="3292"/>
    <cellStyle name="40% - Accent4 7" xfId="670"/>
    <cellStyle name="40% - Accent4 7 2" xfId="1332"/>
    <cellStyle name="40% - Accent4 7 2 2" xfId="2645"/>
    <cellStyle name="40% - Accent4 7 2 2 2" xfId="5269"/>
    <cellStyle name="40% - Accent4 7 2 3" xfId="3959"/>
    <cellStyle name="40% - Accent4 7 3" xfId="1991"/>
    <cellStyle name="40% - Accent4 7 3 2" xfId="4615"/>
    <cellStyle name="40% - Accent4 7 4" xfId="3305"/>
    <cellStyle name="40% - Accent4 8" xfId="990"/>
    <cellStyle name="40% - Accent4 8 2" xfId="1647"/>
    <cellStyle name="40% - Accent4 8 2 2" xfId="2960"/>
    <cellStyle name="40% - Accent4 8 2 2 2" xfId="5584"/>
    <cellStyle name="40% - Accent4 8 2 3" xfId="4274"/>
    <cellStyle name="40% - Accent4 8 3" xfId="2306"/>
    <cellStyle name="40% - Accent4 8 3 2" xfId="4930"/>
    <cellStyle name="40% - Accent4 8 4" xfId="3620"/>
    <cellStyle name="40% - Accent4 9" xfId="1004"/>
    <cellStyle name="40% - Accent4 9 2" xfId="2320"/>
    <cellStyle name="40% - Accent4 9 2 2" xfId="4944"/>
    <cellStyle name="40% - Accent4 9 3" xfId="3634"/>
    <cellStyle name="40% - Accent5" xfId="142" builtinId="47" customBuiltin="1"/>
    <cellStyle name="40% - Accent5 10" xfId="1029"/>
    <cellStyle name="40% - Accent5 10 2" xfId="2345"/>
    <cellStyle name="40% - Accent5 10 2 2" xfId="4969"/>
    <cellStyle name="40% - Accent5 10 3" xfId="3659"/>
    <cellStyle name="40% - Accent5 11" xfId="1662"/>
    <cellStyle name="40% - Accent5 11 2" xfId="2975"/>
    <cellStyle name="40% - Accent5 11 2 2" xfId="5599"/>
    <cellStyle name="40% - Accent5 11 3" xfId="4289"/>
    <cellStyle name="40% - Accent5 12" xfId="1677"/>
    <cellStyle name="40% - Accent5 12 2" xfId="4304"/>
    <cellStyle name="40% - Accent5 13" xfId="2991"/>
    <cellStyle name="40% - Accent5 2" xfId="17"/>
    <cellStyle name="40% - Accent5 2 2" xfId="411"/>
    <cellStyle name="40% - Accent5 2 2 2" xfId="826"/>
    <cellStyle name="40% - Accent5 2 2 2 2" xfId="1484"/>
    <cellStyle name="40% - Accent5 2 2 2 2 2" xfId="2797"/>
    <cellStyle name="40% - Accent5 2 2 2 2 2 2" xfId="5421"/>
    <cellStyle name="40% - Accent5 2 2 2 2 3" xfId="4111"/>
    <cellStyle name="40% - Accent5 2 2 2 3" xfId="2143"/>
    <cellStyle name="40% - Accent5 2 2 2 3 2" xfId="4767"/>
    <cellStyle name="40% - Accent5 2 2 2 4" xfId="3457"/>
    <cellStyle name="40% - Accent5 2 2 3" xfId="1170"/>
    <cellStyle name="40% - Accent5 2 2 3 2" xfId="2484"/>
    <cellStyle name="40% - Accent5 2 2 3 2 2" xfId="5108"/>
    <cellStyle name="40% - Accent5 2 2 3 3" xfId="3798"/>
    <cellStyle name="40% - Accent5 2 2 4" xfId="1830"/>
    <cellStyle name="40% - Accent5 2 2 4 2" xfId="4454"/>
    <cellStyle name="40% - Accent5 2 2 5" xfId="3144"/>
    <cellStyle name="40% - Accent5 2 3" xfId="686"/>
    <cellStyle name="40% - Accent5 2 3 2" xfId="1347"/>
    <cellStyle name="40% - Accent5 2 3 2 2" xfId="2660"/>
    <cellStyle name="40% - Accent5 2 3 2 2 2" xfId="5284"/>
    <cellStyle name="40% - Accent5 2 3 2 3" xfId="3974"/>
    <cellStyle name="40% - Accent5 2 3 3" xfId="2006"/>
    <cellStyle name="40% - Accent5 2 3 3 2" xfId="4630"/>
    <cellStyle name="40% - Accent5 2 3 4" xfId="3320"/>
    <cellStyle name="40% - Accent5 2 4" xfId="1030"/>
    <cellStyle name="40% - Accent5 2 4 2" xfId="2346"/>
    <cellStyle name="40% - Accent5 2 4 2 2" xfId="4970"/>
    <cellStyle name="40% - Accent5 2 4 3" xfId="3660"/>
    <cellStyle name="40% - Accent5 2 5" xfId="1691"/>
    <cellStyle name="40% - Accent5 2 5 2" xfId="4317"/>
    <cellStyle name="40% - Accent5 2 6" xfId="3005"/>
    <cellStyle name="40% - Accent5 2 7" xfId="158"/>
    <cellStyle name="40% - Accent5 3" xfId="397"/>
    <cellStyle name="40% - Accent5 3 2" xfId="812"/>
    <cellStyle name="40% - Accent5 3 2 2" xfId="1471"/>
    <cellStyle name="40% - Accent5 3 2 2 2" xfId="2784"/>
    <cellStyle name="40% - Accent5 3 2 2 2 2" xfId="5408"/>
    <cellStyle name="40% - Accent5 3 2 2 3" xfId="4098"/>
    <cellStyle name="40% - Accent5 3 2 3" xfId="2130"/>
    <cellStyle name="40% - Accent5 3 2 3 2" xfId="4754"/>
    <cellStyle name="40% - Accent5 3 2 4" xfId="3444"/>
    <cellStyle name="40% - Accent5 3 3" xfId="1157"/>
    <cellStyle name="40% - Accent5 3 3 2" xfId="2471"/>
    <cellStyle name="40% - Accent5 3 3 2 2" xfId="5095"/>
    <cellStyle name="40% - Accent5 3 3 3" xfId="3785"/>
    <cellStyle name="40% - Accent5 3 4" xfId="1817"/>
    <cellStyle name="40% - Accent5 3 4 2" xfId="4441"/>
    <cellStyle name="40% - Accent5 3 5" xfId="3131"/>
    <cellStyle name="40% - Accent5 4" xfId="632"/>
    <cellStyle name="40% - Accent5 4 2" xfId="950"/>
    <cellStyle name="40% - Accent5 4 2 2" xfId="1608"/>
    <cellStyle name="40% - Accent5 4 2 2 2" xfId="2921"/>
    <cellStyle name="40% - Accent5 4 2 2 2 2" xfId="5545"/>
    <cellStyle name="40% - Accent5 4 2 2 3" xfId="4235"/>
    <cellStyle name="40% - Accent5 4 2 3" xfId="2267"/>
    <cellStyle name="40% - Accent5 4 2 3 2" xfId="4891"/>
    <cellStyle name="40% - Accent5 4 2 4" xfId="3581"/>
    <cellStyle name="40% - Accent5 4 3" xfId="1294"/>
    <cellStyle name="40% - Accent5 4 3 2" xfId="2608"/>
    <cellStyle name="40% - Accent5 4 3 2 2" xfId="5232"/>
    <cellStyle name="40% - Accent5 4 3 3" xfId="3922"/>
    <cellStyle name="40% - Accent5 4 4" xfId="1954"/>
    <cellStyle name="40% - Accent5 4 4 2" xfId="4578"/>
    <cellStyle name="40% - Accent5 4 5" xfId="3268"/>
    <cellStyle name="40% - Accent5 5" xfId="645"/>
    <cellStyle name="40% - Accent5 5 2" xfId="963"/>
    <cellStyle name="40% - Accent5 5 2 2" xfId="1621"/>
    <cellStyle name="40% - Accent5 5 2 2 2" xfId="2934"/>
    <cellStyle name="40% - Accent5 5 2 2 2 2" xfId="5558"/>
    <cellStyle name="40% - Accent5 5 2 2 3" xfId="4248"/>
    <cellStyle name="40% - Accent5 5 2 3" xfId="2280"/>
    <cellStyle name="40% - Accent5 5 2 3 2" xfId="4904"/>
    <cellStyle name="40% - Accent5 5 2 4" xfId="3594"/>
    <cellStyle name="40% - Accent5 5 3" xfId="1307"/>
    <cellStyle name="40% - Accent5 5 3 2" xfId="2621"/>
    <cellStyle name="40% - Accent5 5 3 2 2" xfId="5245"/>
    <cellStyle name="40% - Accent5 5 3 3" xfId="3935"/>
    <cellStyle name="40% - Accent5 5 4" xfId="1967"/>
    <cellStyle name="40% - Accent5 5 4 2" xfId="4591"/>
    <cellStyle name="40% - Accent5 5 5" xfId="3281"/>
    <cellStyle name="40% - Accent5 6" xfId="659"/>
    <cellStyle name="40% - Accent5 6 2" xfId="976"/>
    <cellStyle name="40% - Accent5 6 2 2" xfId="1634"/>
    <cellStyle name="40% - Accent5 6 2 2 2" xfId="2947"/>
    <cellStyle name="40% - Accent5 6 2 2 2 2" xfId="5571"/>
    <cellStyle name="40% - Accent5 6 2 2 3" xfId="4261"/>
    <cellStyle name="40% - Accent5 6 2 3" xfId="2293"/>
    <cellStyle name="40% - Accent5 6 2 3 2" xfId="4917"/>
    <cellStyle name="40% - Accent5 6 2 4" xfId="3607"/>
    <cellStyle name="40% - Accent5 6 3" xfId="1321"/>
    <cellStyle name="40% - Accent5 6 3 2" xfId="2634"/>
    <cellStyle name="40% - Accent5 6 3 2 2" xfId="5258"/>
    <cellStyle name="40% - Accent5 6 3 3" xfId="3948"/>
    <cellStyle name="40% - Accent5 6 4" xfId="1980"/>
    <cellStyle name="40% - Accent5 6 4 2" xfId="4604"/>
    <cellStyle name="40% - Accent5 6 5" xfId="3294"/>
    <cellStyle name="40% - Accent5 7" xfId="672"/>
    <cellStyle name="40% - Accent5 7 2" xfId="1334"/>
    <cellStyle name="40% - Accent5 7 2 2" xfId="2647"/>
    <cellStyle name="40% - Accent5 7 2 2 2" xfId="5271"/>
    <cellStyle name="40% - Accent5 7 2 3" xfId="3961"/>
    <cellStyle name="40% - Accent5 7 3" xfId="1993"/>
    <cellStyle name="40% - Accent5 7 3 2" xfId="4617"/>
    <cellStyle name="40% - Accent5 7 4" xfId="3307"/>
    <cellStyle name="40% - Accent5 8" xfId="992"/>
    <cellStyle name="40% - Accent5 8 2" xfId="1649"/>
    <cellStyle name="40% - Accent5 8 2 2" xfId="2962"/>
    <cellStyle name="40% - Accent5 8 2 2 2" xfId="5586"/>
    <cellStyle name="40% - Accent5 8 2 3" xfId="4276"/>
    <cellStyle name="40% - Accent5 8 3" xfId="2308"/>
    <cellStyle name="40% - Accent5 8 3 2" xfId="4932"/>
    <cellStyle name="40% - Accent5 8 4" xfId="3622"/>
    <cellStyle name="40% - Accent5 9" xfId="1006"/>
    <cellStyle name="40% - Accent5 9 2" xfId="2322"/>
    <cellStyle name="40% - Accent5 9 2 2" xfId="4946"/>
    <cellStyle name="40% - Accent5 9 3" xfId="3636"/>
    <cellStyle name="40% - Accent6" xfId="146" builtinId="51" customBuiltin="1"/>
    <cellStyle name="40% - Accent6 10" xfId="1031"/>
    <cellStyle name="40% - Accent6 10 2" xfId="2347"/>
    <cellStyle name="40% - Accent6 10 2 2" xfId="4971"/>
    <cellStyle name="40% - Accent6 10 3" xfId="3661"/>
    <cellStyle name="40% - Accent6 11" xfId="1664"/>
    <cellStyle name="40% - Accent6 11 2" xfId="2977"/>
    <cellStyle name="40% - Accent6 11 2 2" xfId="5601"/>
    <cellStyle name="40% - Accent6 11 3" xfId="4291"/>
    <cellStyle name="40% - Accent6 12" xfId="1679"/>
    <cellStyle name="40% - Accent6 12 2" xfId="4306"/>
    <cellStyle name="40% - Accent6 13" xfId="2993"/>
    <cellStyle name="40% - Accent6 2" xfId="18"/>
    <cellStyle name="40% - Accent6 2 2" xfId="412"/>
    <cellStyle name="40% - Accent6 2 2 2" xfId="827"/>
    <cellStyle name="40% - Accent6 2 2 2 2" xfId="1485"/>
    <cellStyle name="40% - Accent6 2 2 2 2 2" xfId="2798"/>
    <cellStyle name="40% - Accent6 2 2 2 2 2 2" xfId="5422"/>
    <cellStyle name="40% - Accent6 2 2 2 2 3" xfId="4112"/>
    <cellStyle name="40% - Accent6 2 2 2 3" xfId="2144"/>
    <cellStyle name="40% - Accent6 2 2 2 3 2" xfId="4768"/>
    <cellStyle name="40% - Accent6 2 2 2 4" xfId="3458"/>
    <cellStyle name="40% - Accent6 2 2 3" xfId="1171"/>
    <cellStyle name="40% - Accent6 2 2 3 2" xfId="2485"/>
    <cellStyle name="40% - Accent6 2 2 3 2 2" xfId="5109"/>
    <cellStyle name="40% - Accent6 2 2 3 3" xfId="3799"/>
    <cellStyle name="40% - Accent6 2 2 4" xfId="1831"/>
    <cellStyle name="40% - Accent6 2 2 4 2" xfId="4455"/>
    <cellStyle name="40% - Accent6 2 2 5" xfId="3145"/>
    <cellStyle name="40% - Accent6 2 3" xfId="687"/>
    <cellStyle name="40% - Accent6 2 3 2" xfId="1348"/>
    <cellStyle name="40% - Accent6 2 3 2 2" xfId="2661"/>
    <cellStyle name="40% - Accent6 2 3 2 2 2" xfId="5285"/>
    <cellStyle name="40% - Accent6 2 3 2 3" xfId="3975"/>
    <cellStyle name="40% - Accent6 2 3 3" xfId="2007"/>
    <cellStyle name="40% - Accent6 2 3 3 2" xfId="4631"/>
    <cellStyle name="40% - Accent6 2 3 4" xfId="3321"/>
    <cellStyle name="40% - Accent6 2 4" xfId="1032"/>
    <cellStyle name="40% - Accent6 2 4 2" xfId="2348"/>
    <cellStyle name="40% - Accent6 2 4 2 2" xfId="4972"/>
    <cellStyle name="40% - Accent6 2 4 3" xfId="3662"/>
    <cellStyle name="40% - Accent6 2 5" xfId="1692"/>
    <cellStyle name="40% - Accent6 2 5 2" xfId="4318"/>
    <cellStyle name="40% - Accent6 2 6" xfId="3006"/>
    <cellStyle name="40% - Accent6 2 7" xfId="159"/>
    <cellStyle name="40% - Accent6 3" xfId="399"/>
    <cellStyle name="40% - Accent6 3 2" xfId="814"/>
    <cellStyle name="40% - Accent6 3 2 2" xfId="1473"/>
    <cellStyle name="40% - Accent6 3 2 2 2" xfId="2786"/>
    <cellStyle name="40% - Accent6 3 2 2 2 2" xfId="5410"/>
    <cellStyle name="40% - Accent6 3 2 2 3" xfId="4100"/>
    <cellStyle name="40% - Accent6 3 2 3" xfId="2132"/>
    <cellStyle name="40% - Accent6 3 2 3 2" xfId="4756"/>
    <cellStyle name="40% - Accent6 3 2 4" xfId="3446"/>
    <cellStyle name="40% - Accent6 3 3" xfId="1159"/>
    <cellStyle name="40% - Accent6 3 3 2" xfId="2473"/>
    <cellStyle name="40% - Accent6 3 3 2 2" xfId="5097"/>
    <cellStyle name="40% - Accent6 3 3 3" xfId="3787"/>
    <cellStyle name="40% - Accent6 3 4" xfId="1819"/>
    <cellStyle name="40% - Accent6 3 4 2" xfId="4443"/>
    <cellStyle name="40% - Accent6 3 5" xfId="3133"/>
    <cellStyle name="40% - Accent6 4" xfId="634"/>
    <cellStyle name="40% - Accent6 4 2" xfId="952"/>
    <cellStyle name="40% - Accent6 4 2 2" xfId="1610"/>
    <cellStyle name="40% - Accent6 4 2 2 2" xfId="2923"/>
    <cellStyle name="40% - Accent6 4 2 2 2 2" xfId="5547"/>
    <cellStyle name="40% - Accent6 4 2 2 3" xfId="4237"/>
    <cellStyle name="40% - Accent6 4 2 3" xfId="2269"/>
    <cellStyle name="40% - Accent6 4 2 3 2" xfId="4893"/>
    <cellStyle name="40% - Accent6 4 2 4" xfId="3583"/>
    <cellStyle name="40% - Accent6 4 3" xfId="1296"/>
    <cellStyle name="40% - Accent6 4 3 2" xfId="2610"/>
    <cellStyle name="40% - Accent6 4 3 2 2" xfId="5234"/>
    <cellStyle name="40% - Accent6 4 3 3" xfId="3924"/>
    <cellStyle name="40% - Accent6 4 4" xfId="1956"/>
    <cellStyle name="40% - Accent6 4 4 2" xfId="4580"/>
    <cellStyle name="40% - Accent6 4 5" xfId="3270"/>
    <cellStyle name="40% - Accent6 5" xfId="647"/>
    <cellStyle name="40% - Accent6 5 2" xfId="965"/>
    <cellStyle name="40% - Accent6 5 2 2" xfId="1623"/>
    <cellStyle name="40% - Accent6 5 2 2 2" xfId="2936"/>
    <cellStyle name="40% - Accent6 5 2 2 2 2" xfId="5560"/>
    <cellStyle name="40% - Accent6 5 2 2 3" xfId="4250"/>
    <cellStyle name="40% - Accent6 5 2 3" xfId="2282"/>
    <cellStyle name="40% - Accent6 5 2 3 2" xfId="4906"/>
    <cellStyle name="40% - Accent6 5 2 4" xfId="3596"/>
    <cellStyle name="40% - Accent6 5 3" xfId="1309"/>
    <cellStyle name="40% - Accent6 5 3 2" xfId="2623"/>
    <cellStyle name="40% - Accent6 5 3 2 2" xfId="5247"/>
    <cellStyle name="40% - Accent6 5 3 3" xfId="3937"/>
    <cellStyle name="40% - Accent6 5 4" xfId="1969"/>
    <cellStyle name="40% - Accent6 5 4 2" xfId="4593"/>
    <cellStyle name="40% - Accent6 5 5" xfId="3283"/>
    <cellStyle name="40% - Accent6 6" xfId="661"/>
    <cellStyle name="40% - Accent6 6 2" xfId="978"/>
    <cellStyle name="40% - Accent6 6 2 2" xfId="1636"/>
    <cellStyle name="40% - Accent6 6 2 2 2" xfId="2949"/>
    <cellStyle name="40% - Accent6 6 2 2 2 2" xfId="5573"/>
    <cellStyle name="40% - Accent6 6 2 2 3" xfId="4263"/>
    <cellStyle name="40% - Accent6 6 2 3" xfId="2295"/>
    <cellStyle name="40% - Accent6 6 2 3 2" xfId="4919"/>
    <cellStyle name="40% - Accent6 6 2 4" xfId="3609"/>
    <cellStyle name="40% - Accent6 6 3" xfId="1323"/>
    <cellStyle name="40% - Accent6 6 3 2" xfId="2636"/>
    <cellStyle name="40% - Accent6 6 3 2 2" xfId="5260"/>
    <cellStyle name="40% - Accent6 6 3 3" xfId="3950"/>
    <cellStyle name="40% - Accent6 6 4" xfId="1982"/>
    <cellStyle name="40% - Accent6 6 4 2" xfId="4606"/>
    <cellStyle name="40% - Accent6 6 5" xfId="3296"/>
    <cellStyle name="40% - Accent6 7" xfId="674"/>
    <cellStyle name="40% - Accent6 7 2" xfId="1336"/>
    <cellStyle name="40% - Accent6 7 2 2" xfId="2649"/>
    <cellStyle name="40% - Accent6 7 2 2 2" xfId="5273"/>
    <cellStyle name="40% - Accent6 7 2 3" xfId="3963"/>
    <cellStyle name="40% - Accent6 7 3" xfId="1995"/>
    <cellStyle name="40% - Accent6 7 3 2" xfId="4619"/>
    <cellStyle name="40% - Accent6 7 4" xfId="3309"/>
    <cellStyle name="40% - Accent6 8" xfId="994"/>
    <cellStyle name="40% - Accent6 8 2" xfId="1651"/>
    <cellStyle name="40% - Accent6 8 2 2" xfId="2964"/>
    <cellStyle name="40% - Accent6 8 2 2 2" xfId="5588"/>
    <cellStyle name="40% - Accent6 8 2 3" xfId="4278"/>
    <cellStyle name="40% - Accent6 8 3" xfId="2310"/>
    <cellStyle name="40% - Accent6 8 3 2" xfId="4934"/>
    <cellStyle name="40% - Accent6 8 4" xfId="3624"/>
    <cellStyle name="40% - Accent6 9" xfId="1008"/>
    <cellStyle name="40% - Accent6 9 2" xfId="2324"/>
    <cellStyle name="40% - Accent6 9 2 2" xfId="4948"/>
    <cellStyle name="40% - Accent6 9 3" xfId="3638"/>
    <cellStyle name="60% - Accent1" xfId="127" builtinId="32" customBuiltin="1"/>
    <cellStyle name="60% - Accent1 2" xfId="19"/>
    <cellStyle name="60% - Accent1 2 2" xfId="160"/>
    <cellStyle name="60% - Accent2" xfId="131" builtinId="36" customBuiltin="1"/>
    <cellStyle name="60% - Accent2 2" xfId="20"/>
    <cellStyle name="60% - Accent2 2 2" xfId="161"/>
    <cellStyle name="60% - Accent3" xfId="135" builtinId="40" customBuiltin="1"/>
    <cellStyle name="60% - Accent3 2" xfId="21"/>
    <cellStyle name="60% - Accent3 2 2" xfId="162"/>
    <cellStyle name="60% - Accent4" xfId="139" builtinId="44" customBuiltin="1"/>
    <cellStyle name="60% - Accent4 2" xfId="22"/>
    <cellStyle name="60% - Accent4 2 2" xfId="163"/>
    <cellStyle name="60% - Accent5" xfId="143" builtinId="48" customBuiltin="1"/>
    <cellStyle name="60% - Accent5 2" xfId="23"/>
    <cellStyle name="60% - Accent5 2 2" xfId="164"/>
    <cellStyle name="60% - Accent6" xfId="147" builtinId="52" customBuiltin="1"/>
    <cellStyle name="60% - Accent6 2" xfId="24"/>
    <cellStyle name="60% - Accent6 2 2" xfId="165"/>
    <cellStyle name="Accent1" xfId="124" builtinId="29" customBuiltin="1"/>
    <cellStyle name="Accent1 - 20%" xfId="26"/>
    <cellStyle name="Accent1 - 40%" xfId="27"/>
    <cellStyle name="Accent1 - 60%" xfId="28"/>
    <cellStyle name="Accent1 2" xfId="25"/>
    <cellStyle name="Accent1 2 2" xfId="166"/>
    <cellStyle name="Accent2" xfId="128" builtinId="33" customBuiltin="1"/>
    <cellStyle name="Accent2 - 20%" xfId="30"/>
    <cellStyle name="Accent2 - 40%" xfId="31"/>
    <cellStyle name="Accent2 - 60%" xfId="32"/>
    <cellStyle name="Accent2 2" xfId="29"/>
    <cellStyle name="Accent2 2 2" xfId="167"/>
    <cellStyle name="Accent3" xfId="132" builtinId="37" customBuiltin="1"/>
    <cellStyle name="Accent3 - 20%" xfId="34"/>
    <cellStyle name="Accent3 - 40%" xfId="35"/>
    <cellStyle name="Accent3 - 60%" xfId="36"/>
    <cellStyle name="Accent3 2" xfId="33"/>
    <cellStyle name="Accent3 2 2" xfId="168"/>
    <cellStyle name="Accent4" xfId="136" builtinId="41" customBuiltin="1"/>
    <cellStyle name="Accent4 - 20%" xfId="38"/>
    <cellStyle name="Accent4 - 40%" xfId="39"/>
    <cellStyle name="Accent4 - 60%" xfId="40"/>
    <cellStyle name="Accent4 2" xfId="37"/>
    <cellStyle name="Accent4 2 2" xfId="169"/>
    <cellStyle name="Accent5" xfId="140" builtinId="45" customBuiltin="1"/>
    <cellStyle name="Accent5 - 20%" xfId="42"/>
    <cellStyle name="Accent5 - 40%" xfId="43"/>
    <cellStyle name="Accent5 - 60%" xfId="44"/>
    <cellStyle name="Accent5 2" xfId="41"/>
    <cellStyle name="Accent5 2 2" xfId="170"/>
    <cellStyle name="Accent6" xfId="144" builtinId="49" customBuiltin="1"/>
    <cellStyle name="Accent6 - 20%" xfId="46"/>
    <cellStyle name="Accent6 - 40%" xfId="47"/>
    <cellStyle name="Accent6 - 60%" xfId="48"/>
    <cellStyle name="Accent6 2" xfId="45"/>
    <cellStyle name="Accent6 2 2" xfId="171"/>
    <cellStyle name="Bad" xfId="114" builtinId="27" customBuiltin="1"/>
    <cellStyle name="Bad 2" xfId="49"/>
    <cellStyle name="Bad 2 2" xfId="172"/>
    <cellStyle name="Calculation" xfId="118" builtinId="22" customBuiltin="1"/>
    <cellStyle name="Calculation 2" xfId="50"/>
    <cellStyle name="Calculation 2 2" xfId="173"/>
    <cellStyle name="Check Cell" xfId="120" builtinId="23" customBuiltin="1"/>
    <cellStyle name="Check Cell 2" xfId="51"/>
    <cellStyle name="Check Cell 2 2" xfId="174"/>
    <cellStyle name="Comma 2" xfId="413"/>
    <cellStyle name="Comma 3" xfId="688"/>
    <cellStyle name="Comma 4" xfId="1033"/>
    <cellStyle name="Comma 5" xfId="1693"/>
    <cellStyle name="Comma 6" xfId="1666"/>
    <cellStyle name="Comma 6 2" xfId="4293"/>
    <cellStyle name="Comma 64" xfId="176"/>
    <cellStyle name="Comma 64 2" xfId="414"/>
    <cellStyle name="Comma 64 2 2" xfId="828"/>
    <cellStyle name="Comma 64 2 2 2" xfId="1486"/>
    <cellStyle name="Comma 64 2 2 2 2" xfId="2799"/>
    <cellStyle name="Comma 64 2 2 2 2 2" xfId="5423"/>
    <cellStyle name="Comma 64 2 2 2 3" xfId="4113"/>
    <cellStyle name="Comma 64 2 2 3" xfId="2145"/>
    <cellStyle name="Comma 64 2 2 3 2" xfId="4769"/>
    <cellStyle name="Comma 64 2 2 4" xfId="3459"/>
    <cellStyle name="Comma 64 2 3" xfId="1172"/>
    <cellStyle name="Comma 64 2 3 2" xfId="2486"/>
    <cellStyle name="Comma 64 2 3 2 2" xfId="5110"/>
    <cellStyle name="Comma 64 2 3 3" xfId="3800"/>
    <cellStyle name="Comma 64 2 4" xfId="1832"/>
    <cellStyle name="Comma 64 2 4 2" xfId="4456"/>
    <cellStyle name="Comma 64 2 5" xfId="3146"/>
    <cellStyle name="Comma 64 3" xfId="689"/>
    <cellStyle name="Comma 64 3 2" xfId="1349"/>
    <cellStyle name="Comma 64 3 2 2" xfId="2662"/>
    <cellStyle name="Comma 64 3 2 2 2" xfId="5286"/>
    <cellStyle name="Comma 64 3 2 3" xfId="3976"/>
    <cellStyle name="Comma 64 3 3" xfId="2008"/>
    <cellStyle name="Comma 64 3 3 2" xfId="4632"/>
    <cellStyle name="Comma 64 3 4" xfId="3322"/>
    <cellStyle name="Comma 64 4" xfId="1034"/>
    <cellStyle name="Comma 64 4 2" xfId="2349"/>
    <cellStyle name="Comma 64 4 2 2" xfId="4973"/>
    <cellStyle name="Comma 64 4 3" xfId="3663"/>
    <cellStyle name="Comma 64 5" xfId="1694"/>
    <cellStyle name="Comma 64 5 2" xfId="4319"/>
    <cellStyle name="Comma 64 6" xfId="3008"/>
    <cellStyle name="Comma 7" xfId="3007"/>
    <cellStyle name="Comma 8" xfId="2981"/>
    <cellStyle name="Comma 9" xfId="175"/>
    <cellStyle name="Completed Project" xfId="177"/>
    <cellStyle name="Currency 2" xfId="415"/>
    <cellStyle name="Emphasis 1" xfId="52"/>
    <cellStyle name="Emphasis 2" xfId="53"/>
    <cellStyle name="Emphasis 3" xfId="54"/>
    <cellStyle name="Explanatory Text" xfId="122" builtinId="53" customBuiltin="1"/>
    <cellStyle name="Explanatory Text 2" xfId="55"/>
    <cellStyle name="Explanatory Text 2 2" xfId="178"/>
    <cellStyle name="Good" xfId="113" builtinId="26" customBuiltin="1"/>
    <cellStyle name="Good 2" xfId="56"/>
    <cellStyle name="Good 2 2" xfId="179"/>
    <cellStyle name="Heading 1" xfId="110" builtinId="16" customBuiltin="1"/>
    <cellStyle name="Heading 1 2" xfId="57"/>
    <cellStyle name="Heading 1 2 2" xfId="180"/>
    <cellStyle name="Heading 2" xfId="111" builtinId="17" customBuiltin="1"/>
    <cellStyle name="Heading 2 2" xfId="58"/>
    <cellStyle name="Heading 2 2 2" xfId="181"/>
    <cellStyle name="Heading 3" xfId="2" builtinId="18" customBuiltin="1"/>
    <cellStyle name="Heading 3 2" xfId="59"/>
    <cellStyle name="Heading 3 2 2" xfId="182"/>
    <cellStyle name="Heading 4" xfId="112" builtinId="19" customBuiltin="1"/>
    <cellStyle name="Heading 4 2" xfId="60"/>
    <cellStyle name="Heading 4 2 2" xfId="183"/>
    <cellStyle name="Hyperlink" xfId="3" builtinId="8"/>
    <cellStyle name="Hyperlink 2" xfId="4"/>
    <cellStyle name="Hyperlink 3" xfId="6"/>
    <cellStyle name="Hyperlink 3 2" xfId="400"/>
    <cellStyle name="Hyperlink 4" xfId="1310"/>
    <cellStyle name="Hyperlink 5" xfId="648"/>
    <cellStyle name="Input" xfId="116" builtinId="20" customBuiltin="1"/>
    <cellStyle name="Input 2" xfId="61"/>
    <cellStyle name="Input 2 2" xfId="184"/>
    <cellStyle name="Linked Cell" xfId="119" builtinId="24" customBuiltin="1"/>
    <cellStyle name="Linked Cell 2" xfId="62"/>
    <cellStyle name="Linked Cell 2 2" xfId="185"/>
    <cellStyle name="Neutral" xfId="115" builtinId="28" customBuiltin="1"/>
    <cellStyle name="Neutral 2" xfId="63"/>
    <cellStyle name="Neutral 2 2" xfId="186"/>
    <cellStyle name="Normal" xfId="0" builtinId="0"/>
    <cellStyle name="Normal 10" xfId="187"/>
    <cellStyle name="Normal 10 10" xfId="188"/>
    <cellStyle name="Normal 10 10 2" xfId="417"/>
    <cellStyle name="Normal 10 10 2 2" xfId="830"/>
    <cellStyle name="Normal 10 10 2 2 2" xfId="1488"/>
    <cellStyle name="Normal 10 10 2 2 2 2" xfId="2801"/>
    <cellStyle name="Normal 10 10 2 2 2 2 2" xfId="5425"/>
    <cellStyle name="Normal 10 10 2 2 2 3" xfId="4115"/>
    <cellStyle name="Normal 10 10 2 2 3" xfId="2147"/>
    <cellStyle name="Normal 10 10 2 2 3 2" xfId="4771"/>
    <cellStyle name="Normal 10 10 2 2 4" xfId="3461"/>
    <cellStyle name="Normal 10 10 2 3" xfId="1174"/>
    <cellStyle name="Normal 10 10 2 3 2" xfId="2488"/>
    <cellStyle name="Normal 10 10 2 3 2 2" xfId="5112"/>
    <cellStyle name="Normal 10 10 2 3 3" xfId="3802"/>
    <cellStyle name="Normal 10 10 2 4" xfId="1834"/>
    <cellStyle name="Normal 10 10 2 4 2" xfId="4458"/>
    <cellStyle name="Normal 10 10 2 5" xfId="3148"/>
    <cellStyle name="Normal 10 10 3" xfId="691"/>
    <cellStyle name="Normal 10 10 3 2" xfId="1351"/>
    <cellStyle name="Normal 10 10 3 2 2" xfId="2664"/>
    <cellStyle name="Normal 10 10 3 2 2 2" xfId="5288"/>
    <cellStyle name="Normal 10 10 3 2 3" xfId="3978"/>
    <cellStyle name="Normal 10 10 3 3" xfId="2010"/>
    <cellStyle name="Normal 10 10 3 3 2" xfId="4634"/>
    <cellStyle name="Normal 10 10 3 4" xfId="3324"/>
    <cellStyle name="Normal 10 10 4" xfId="1036"/>
    <cellStyle name="Normal 10 10 4 2" xfId="2351"/>
    <cellStyle name="Normal 10 10 4 2 2" xfId="4975"/>
    <cellStyle name="Normal 10 10 4 3" xfId="3665"/>
    <cellStyle name="Normal 10 10 5" xfId="1696"/>
    <cellStyle name="Normal 10 10 5 2" xfId="4321"/>
    <cellStyle name="Normal 10 10 6" xfId="3010"/>
    <cellStyle name="Normal 10 11" xfId="189"/>
    <cellStyle name="Normal 10 11 2" xfId="418"/>
    <cellStyle name="Normal 10 11 2 2" xfId="831"/>
    <cellStyle name="Normal 10 11 2 2 2" xfId="1489"/>
    <cellStyle name="Normal 10 11 2 2 2 2" xfId="2802"/>
    <cellStyle name="Normal 10 11 2 2 2 2 2" xfId="5426"/>
    <cellStyle name="Normal 10 11 2 2 2 3" xfId="4116"/>
    <cellStyle name="Normal 10 11 2 2 3" xfId="2148"/>
    <cellStyle name="Normal 10 11 2 2 3 2" xfId="4772"/>
    <cellStyle name="Normal 10 11 2 2 4" xfId="3462"/>
    <cellStyle name="Normal 10 11 2 3" xfId="1175"/>
    <cellStyle name="Normal 10 11 2 3 2" xfId="2489"/>
    <cellStyle name="Normal 10 11 2 3 2 2" xfId="5113"/>
    <cellStyle name="Normal 10 11 2 3 3" xfId="3803"/>
    <cellStyle name="Normal 10 11 2 4" xfId="1835"/>
    <cellStyle name="Normal 10 11 2 4 2" xfId="4459"/>
    <cellStyle name="Normal 10 11 2 5" xfId="3149"/>
    <cellStyle name="Normal 10 11 3" xfId="692"/>
    <cellStyle name="Normal 10 11 3 2" xfId="1352"/>
    <cellStyle name="Normal 10 11 3 2 2" xfId="2665"/>
    <cellStyle name="Normal 10 11 3 2 2 2" xfId="5289"/>
    <cellStyle name="Normal 10 11 3 2 3" xfId="3979"/>
    <cellStyle name="Normal 10 11 3 3" xfId="2011"/>
    <cellStyle name="Normal 10 11 3 3 2" xfId="4635"/>
    <cellStyle name="Normal 10 11 3 4" xfId="3325"/>
    <cellStyle name="Normal 10 11 4" xfId="1037"/>
    <cellStyle name="Normal 10 11 4 2" xfId="2352"/>
    <cellStyle name="Normal 10 11 4 2 2" xfId="4976"/>
    <cellStyle name="Normal 10 11 4 3" xfId="3666"/>
    <cellStyle name="Normal 10 11 5" xfId="1697"/>
    <cellStyle name="Normal 10 11 5 2" xfId="4322"/>
    <cellStyle name="Normal 10 11 6" xfId="3011"/>
    <cellStyle name="Normal 10 12" xfId="190"/>
    <cellStyle name="Normal 10 12 2" xfId="419"/>
    <cellStyle name="Normal 10 12 2 2" xfId="832"/>
    <cellStyle name="Normal 10 12 2 2 2" xfId="1490"/>
    <cellStyle name="Normal 10 12 2 2 2 2" xfId="2803"/>
    <cellStyle name="Normal 10 12 2 2 2 2 2" xfId="5427"/>
    <cellStyle name="Normal 10 12 2 2 2 3" xfId="4117"/>
    <cellStyle name="Normal 10 12 2 2 3" xfId="2149"/>
    <cellStyle name="Normal 10 12 2 2 3 2" xfId="4773"/>
    <cellStyle name="Normal 10 12 2 2 4" xfId="3463"/>
    <cellStyle name="Normal 10 12 2 3" xfId="1176"/>
    <cellStyle name="Normal 10 12 2 3 2" xfId="2490"/>
    <cellStyle name="Normal 10 12 2 3 2 2" xfId="5114"/>
    <cellStyle name="Normal 10 12 2 3 3" xfId="3804"/>
    <cellStyle name="Normal 10 12 2 4" xfId="1836"/>
    <cellStyle name="Normal 10 12 2 4 2" xfId="4460"/>
    <cellStyle name="Normal 10 12 2 5" xfId="3150"/>
    <cellStyle name="Normal 10 12 3" xfId="693"/>
    <cellStyle name="Normal 10 12 3 2" xfId="1353"/>
    <cellStyle name="Normal 10 12 3 2 2" xfId="2666"/>
    <cellStyle name="Normal 10 12 3 2 2 2" xfId="5290"/>
    <cellStyle name="Normal 10 12 3 2 3" xfId="3980"/>
    <cellStyle name="Normal 10 12 3 3" xfId="2012"/>
    <cellStyle name="Normal 10 12 3 3 2" xfId="4636"/>
    <cellStyle name="Normal 10 12 3 4" xfId="3326"/>
    <cellStyle name="Normal 10 12 4" xfId="1038"/>
    <cellStyle name="Normal 10 12 4 2" xfId="2353"/>
    <cellStyle name="Normal 10 12 4 2 2" xfId="4977"/>
    <cellStyle name="Normal 10 12 4 3" xfId="3667"/>
    <cellStyle name="Normal 10 12 5" xfId="1698"/>
    <cellStyle name="Normal 10 12 5 2" xfId="4323"/>
    <cellStyle name="Normal 10 12 6" xfId="3012"/>
    <cellStyle name="Normal 10 13" xfId="191"/>
    <cellStyle name="Normal 10 13 2" xfId="420"/>
    <cellStyle name="Normal 10 13 2 2" xfId="833"/>
    <cellStyle name="Normal 10 13 2 2 2" xfId="1491"/>
    <cellStyle name="Normal 10 13 2 2 2 2" xfId="2804"/>
    <cellStyle name="Normal 10 13 2 2 2 2 2" xfId="5428"/>
    <cellStyle name="Normal 10 13 2 2 2 3" xfId="4118"/>
    <cellStyle name="Normal 10 13 2 2 3" xfId="2150"/>
    <cellStyle name="Normal 10 13 2 2 3 2" xfId="4774"/>
    <cellStyle name="Normal 10 13 2 2 4" xfId="3464"/>
    <cellStyle name="Normal 10 13 2 3" xfId="1177"/>
    <cellStyle name="Normal 10 13 2 3 2" xfId="2491"/>
    <cellStyle name="Normal 10 13 2 3 2 2" xfId="5115"/>
    <cellStyle name="Normal 10 13 2 3 3" xfId="3805"/>
    <cellStyle name="Normal 10 13 2 4" xfId="1837"/>
    <cellStyle name="Normal 10 13 2 4 2" xfId="4461"/>
    <cellStyle name="Normal 10 13 2 5" xfId="3151"/>
    <cellStyle name="Normal 10 13 3" xfId="694"/>
    <cellStyle name="Normal 10 13 3 2" xfId="1354"/>
    <cellStyle name="Normal 10 13 3 2 2" xfId="2667"/>
    <cellStyle name="Normal 10 13 3 2 2 2" xfId="5291"/>
    <cellStyle name="Normal 10 13 3 2 3" xfId="3981"/>
    <cellStyle name="Normal 10 13 3 3" xfId="2013"/>
    <cellStyle name="Normal 10 13 3 3 2" xfId="4637"/>
    <cellStyle name="Normal 10 13 3 4" xfId="3327"/>
    <cellStyle name="Normal 10 13 4" xfId="1039"/>
    <cellStyle name="Normal 10 13 4 2" xfId="2354"/>
    <cellStyle name="Normal 10 13 4 2 2" xfId="4978"/>
    <cellStyle name="Normal 10 13 4 3" xfId="3668"/>
    <cellStyle name="Normal 10 13 5" xfId="1699"/>
    <cellStyle name="Normal 10 13 5 2" xfId="4324"/>
    <cellStyle name="Normal 10 13 6" xfId="3013"/>
    <cellStyle name="Normal 10 14" xfId="192"/>
    <cellStyle name="Normal 10 14 2" xfId="421"/>
    <cellStyle name="Normal 10 14 2 2" xfId="834"/>
    <cellStyle name="Normal 10 14 2 2 2" xfId="1492"/>
    <cellStyle name="Normal 10 14 2 2 2 2" xfId="2805"/>
    <cellStyle name="Normal 10 14 2 2 2 2 2" xfId="5429"/>
    <cellStyle name="Normal 10 14 2 2 2 3" xfId="4119"/>
    <cellStyle name="Normal 10 14 2 2 3" xfId="2151"/>
    <cellStyle name="Normal 10 14 2 2 3 2" xfId="4775"/>
    <cellStyle name="Normal 10 14 2 2 4" xfId="3465"/>
    <cellStyle name="Normal 10 14 2 3" xfId="1178"/>
    <cellStyle name="Normal 10 14 2 3 2" xfId="2492"/>
    <cellStyle name="Normal 10 14 2 3 2 2" xfId="5116"/>
    <cellStyle name="Normal 10 14 2 3 3" xfId="3806"/>
    <cellStyle name="Normal 10 14 2 4" xfId="1838"/>
    <cellStyle name="Normal 10 14 2 4 2" xfId="4462"/>
    <cellStyle name="Normal 10 14 2 5" xfId="3152"/>
    <cellStyle name="Normal 10 14 3" xfId="695"/>
    <cellStyle name="Normal 10 14 3 2" xfId="1355"/>
    <cellStyle name="Normal 10 14 3 2 2" xfId="2668"/>
    <cellStyle name="Normal 10 14 3 2 2 2" xfId="5292"/>
    <cellStyle name="Normal 10 14 3 2 3" xfId="3982"/>
    <cellStyle name="Normal 10 14 3 3" xfId="2014"/>
    <cellStyle name="Normal 10 14 3 3 2" xfId="4638"/>
    <cellStyle name="Normal 10 14 3 4" xfId="3328"/>
    <cellStyle name="Normal 10 14 4" xfId="1040"/>
    <cellStyle name="Normal 10 14 4 2" xfId="2355"/>
    <cellStyle name="Normal 10 14 4 2 2" xfId="4979"/>
    <cellStyle name="Normal 10 14 4 3" xfId="3669"/>
    <cellStyle name="Normal 10 14 5" xfId="1700"/>
    <cellStyle name="Normal 10 14 5 2" xfId="4325"/>
    <cellStyle name="Normal 10 14 6" xfId="3014"/>
    <cellStyle name="Normal 10 15" xfId="193"/>
    <cellStyle name="Normal 10 15 2" xfId="422"/>
    <cellStyle name="Normal 10 15 2 2" xfId="835"/>
    <cellStyle name="Normal 10 15 2 2 2" xfId="1493"/>
    <cellStyle name="Normal 10 15 2 2 2 2" xfId="2806"/>
    <cellStyle name="Normal 10 15 2 2 2 2 2" xfId="5430"/>
    <cellStyle name="Normal 10 15 2 2 2 3" xfId="4120"/>
    <cellStyle name="Normal 10 15 2 2 3" xfId="2152"/>
    <cellStyle name="Normal 10 15 2 2 3 2" xfId="4776"/>
    <cellStyle name="Normal 10 15 2 2 4" xfId="3466"/>
    <cellStyle name="Normal 10 15 2 3" xfId="1179"/>
    <cellStyle name="Normal 10 15 2 3 2" xfId="2493"/>
    <cellStyle name="Normal 10 15 2 3 2 2" xfId="5117"/>
    <cellStyle name="Normal 10 15 2 3 3" xfId="3807"/>
    <cellStyle name="Normal 10 15 2 4" xfId="1839"/>
    <cellStyle name="Normal 10 15 2 4 2" xfId="4463"/>
    <cellStyle name="Normal 10 15 2 5" xfId="3153"/>
    <cellStyle name="Normal 10 15 3" xfId="696"/>
    <cellStyle name="Normal 10 15 3 2" xfId="1356"/>
    <cellStyle name="Normal 10 15 3 2 2" xfId="2669"/>
    <cellStyle name="Normal 10 15 3 2 2 2" xfId="5293"/>
    <cellStyle name="Normal 10 15 3 2 3" xfId="3983"/>
    <cellStyle name="Normal 10 15 3 3" xfId="2015"/>
    <cellStyle name="Normal 10 15 3 3 2" xfId="4639"/>
    <cellStyle name="Normal 10 15 3 4" xfId="3329"/>
    <cellStyle name="Normal 10 15 4" xfId="1041"/>
    <cellStyle name="Normal 10 15 4 2" xfId="2356"/>
    <cellStyle name="Normal 10 15 4 2 2" xfId="4980"/>
    <cellStyle name="Normal 10 15 4 3" xfId="3670"/>
    <cellStyle name="Normal 10 15 5" xfId="1701"/>
    <cellStyle name="Normal 10 15 5 2" xfId="4326"/>
    <cellStyle name="Normal 10 15 6" xfId="3015"/>
    <cellStyle name="Normal 10 16" xfId="194"/>
    <cellStyle name="Normal 10 16 2" xfId="423"/>
    <cellStyle name="Normal 10 16 2 2" xfId="836"/>
    <cellStyle name="Normal 10 16 2 2 2" xfId="1494"/>
    <cellStyle name="Normal 10 16 2 2 2 2" xfId="2807"/>
    <cellStyle name="Normal 10 16 2 2 2 2 2" xfId="5431"/>
    <cellStyle name="Normal 10 16 2 2 2 3" xfId="4121"/>
    <cellStyle name="Normal 10 16 2 2 3" xfId="2153"/>
    <cellStyle name="Normal 10 16 2 2 3 2" xfId="4777"/>
    <cellStyle name="Normal 10 16 2 2 4" xfId="3467"/>
    <cellStyle name="Normal 10 16 2 3" xfId="1180"/>
    <cellStyle name="Normal 10 16 2 3 2" xfId="2494"/>
    <cellStyle name="Normal 10 16 2 3 2 2" xfId="5118"/>
    <cellStyle name="Normal 10 16 2 3 3" xfId="3808"/>
    <cellStyle name="Normal 10 16 2 4" xfId="1840"/>
    <cellStyle name="Normal 10 16 2 4 2" xfId="4464"/>
    <cellStyle name="Normal 10 16 2 5" xfId="3154"/>
    <cellStyle name="Normal 10 16 3" xfId="697"/>
    <cellStyle name="Normal 10 16 3 2" xfId="1357"/>
    <cellStyle name="Normal 10 16 3 2 2" xfId="2670"/>
    <cellStyle name="Normal 10 16 3 2 2 2" xfId="5294"/>
    <cellStyle name="Normal 10 16 3 2 3" xfId="3984"/>
    <cellStyle name="Normal 10 16 3 3" xfId="2016"/>
    <cellStyle name="Normal 10 16 3 3 2" xfId="4640"/>
    <cellStyle name="Normal 10 16 3 4" xfId="3330"/>
    <cellStyle name="Normal 10 16 4" xfId="1042"/>
    <cellStyle name="Normal 10 16 4 2" xfId="2357"/>
    <cellStyle name="Normal 10 16 4 2 2" xfId="4981"/>
    <cellStyle name="Normal 10 16 4 3" xfId="3671"/>
    <cellStyle name="Normal 10 16 5" xfId="1702"/>
    <cellStyle name="Normal 10 16 5 2" xfId="4327"/>
    <cellStyle name="Normal 10 16 6" xfId="3016"/>
    <cellStyle name="Normal 10 17" xfId="416"/>
    <cellStyle name="Normal 10 17 2" xfId="829"/>
    <cellStyle name="Normal 10 17 2 2" xfId="1487"/>
    <cellStyle name="Normal 10 17 2 2 2" xfId="2800"/>
    <cellStyle name="Normal 10 17 2 2 2 2" xfId="5424"/>
    <cellStyle name="Normal 10 17 2 2 3" xfId="4114"/>
    <cellStyle name="Normal 10 17 2 3" xfId="2146"/>
    <cellStyle name="Normal 10 17 2 3 2" xfId="4770"/>
    <cellStyle name="Normal 10 17 2 4" xfId="3460"/>
    <cellStyle name="Normal 10 17 3" xfId="1173"/>
    <cellStyle name="Normal 10 17 3 2" xfId="2487"/>
    <cellStyle name="Normal 10 17 3 2 2" xfId="5111"/>
    <cellStyle name="Normal 10 17 3 3" xfId="3801"/>
    <cellStyle name="Normal 10 17 4" xfId="1833"/>
    <cellStyle name="Normal 10 17 4 2" xfId="4457"/>
    <cellStyle name="Normal 10 17 5" xfId="3147"/>
    <cellStyle name="Normal 10 18" xfId="690"/>
    <cellStyle name="Normal 10 18 2" xfId="1350"/>
    <cellStyle name="Normal 10 18 2 2" xfId="2663"/>
    <cellStyle name="Normal 10 18 2 2 2" xfId="5287"/>
    <cellStyle name="Normal 10 18 2 3" xfId="3977"/>
    <cellStyle name="Normal 10 18 3" xfId="2009"/>
    <cellStyle name="Normal 10 18 3 2" xfId="4633"/>
    <cellStyle name="Normal 10 18 4" xfId="3323"/>
    <cellStyle name="Normal 10 19" xfId="1035"/>
    <cellStyle name="Normal 10 19 2" xfId="2350"/>
    <cellStyle name="Normal 10 19 2 2" xfId="4974"/>
    <cellStyle name="Normal 10 19 3" xfId="3664"/>
    <cellStyle name="Normal 10 2" xfId="195"/>
    <cellStyle name="Normal 10 2 2" xfId="424"/>
    <cellStyle name="Normal 10 2 2 2" xfId="837"/>
    <cellStyle name="Normal 10 2 2 2 2" xfId="1495"/>
    <cellStyle name="Normal 10 2 2 2 2 2" xfId="2808"/>
    <cellStyle name="Normal 10 2 2 2 2 2 2" xfId="5432"/>
    <cellStyle name="Normal 10 2 2 2 2 3" xfId="4122"/>
    <cellStyle name="Normal 10 2 2 2 3" xfId="2154"/>
    <cellStyle name="Normal 10 2 2 2 3 2" xfId="4778"/>
    <cellStyle name="Normal 10 2 2 2 4" xfId="3468"/>
    <cellStyle name="Normal 10 2 2 3" xfId="1181"/>
    <cellStyle name="Normal 10 2 2 3 2" xfId="2495"/>
    <cellStyle name="Normal 10 2 2 3 2 2" xfId="5119"/>
    <cellStyle name="Normal 10 2 2 3 3" xfId="3809"/>
    <cellStyle name="Normal 10 2 2 4" xfId="1841"/>
    <cellStyle name="Normal 10 2 2 4 2" xfId="4465"/>
    <cellStyle name="Normal 10 2 2 5" xfId="3155"/>
    <cellStyle name="Normal 10 2 3" xfId="698"/>
    <cellStyle name="Normal 10 2 3 2" xfId="1358"/>
    <cellStyle name="Normal 10 2 3 2 2" xfId="2671"/>
    <cellStyle name="Normal 10 2 3 2 2 2" xfId="5295"/>
    <cellStyle name="Normal 10 2 3 2 3" xfId="3985"/>
    <cellStyle name="Normal 10 2 3 3" xfId="2017"/>
    <cellStyle name="Normal 10 2 3 3 2" xfId="4641"/>
    <cellStyle name="Normal 10 2 3 4" xfId="3331"/>
    <cellStyle name="Normal 10 2 4" xfId="1043"/>
    <cellStyle name="Normal 10 2 4 2" xfId="2358"/>
    <cellStyle name="Normal 10 2 4 2 2" xfId="4982"/>
    <cellStyle name="Normal 10 2 4 3" xfId="3672"/>
    <cellStyle name="Normal 10 2 5" xfId="1703"/>
    <cellStyle name="Normal 10 2 5 2" xfId="4328"/>
    <cellStyle name="Normal 10 2 6" xfId="3017"/>
    <cellStyle name="Normal 10 20" xfId="1695"/>
    <cellStyle name="Normal 10 20 2" xfId="4320"/>
    <cellStyle name="Normal 10 21" xfId="3009"/>
    <cellStyle name="Normal 10 3" xfId="196"/>
    <cellStyle name="Normal 10 3 2" xfId="425"/>
    <cellStyle name="Normal 10 3 2 2" xfId="838"/>
    <cellStyle name="Normal 10 3 2 2 2" xfId="1496"/>
    <cellStyle name="Normal 10 3 2 2 2 2" xfId="2809"/>
    <cellStyle name="Normal 10 3 2 2 2 2 2" xfId="5433"/>
    <cellStyle name="Normal 10 3 2 2 2 3" xfId="4123"/>
    <cellStyle name="Normal 10 3 2 2 3" xfId="2155"/>
    <cellStyle name="Normal 10 3 2 2 3 2" xfId="4779"/>
    <cellStyle name="Normal 10 3 2 2 4" xfId="3469"/>
    <cellStyle name="Normal 10 3 2 3" xfId="1182"/>
    <cellStyle name="Normal 10 3 2 3 2" xfId="2496"/>
    <cellStyle name="Normal 10 3 2 3 2 2" xfId="5120"/>
    <cellStyle name="Normal 10 3 2 3 3" xfId="3810"/>
    <cellStyle name="Normal 10 3 2 4" xfId="1842"/>
    <cellStyle name="Normal 10 3 2 4 2" xfId="4466"/>
    <cellStyle name="Normal 10 3 2 5" xfId="3156"/>
    <cellStyle name="Normal 10 3 3" xfId="699"/>
    <cellStyle name="Normal 10 3 3 2" xfId="1359"/>
    <cellStyle name="Normal 10 3 3 2 2" xfId="2672"/>
    <cellStyle name="Normal 10 3 3 2 2 2" xfId="5296"/>
    <cellStyle name="Normal 10 3 3 2 3" xfId="3986"/>
    <cellStyle name="Normal 10 3 3 3" xfId="2018"/>
    <cellStyle name="Normal 10 3 3 3 2" xfId="4642"/>
    <cellStyle name="Normal 10 3 3 4" xfId="3332"/>
    <cellStyle name="Normal 10 3 4" xfId="1044"/>
    <cellStyle name="Normal 10 3 4 2" xfId="2359"/>
    <cellStyle name="Normal 10 3 4 2 2" xfId="4983"/>
    <cellStyle name="Normal 10 3 4 3" xfId="3673"/>
    <cellStyle name="Normal 10 3 5" xfId="1704"/>
    <cellStyle name="Normal 10 3 5 2" xfId="4329"/>
    <cellStyle name="Normal 10 3 6" xfId="3018"/>
    <cellStyle name="Normal 10 4" xfId="197"/>
    <cellStyle name="Normal 10 4 2" xfId="426"/>
    <cellStyle name="Normal 10 4 2 2" xfId="839"/>
    <cellStyle name="Normal 10 4 2 2 2" xfId="1497"/>
    <cellStyle name="Normal 10 4 2 2 2 2" xfId="2810"/>
    <cellStyle name="Normal 10 4 2 2 2 2 2" xfId="5434"/>
    <cellStyle name="Normal 10 4 2 2 2 3" xfId="4124"/>
    <cellStyle name="Normal 10 4 2 2 3" xfId="2156"/>
    <cellStyle name="Normal 10 4 2 2 3 2" xfId="4780"/>
    <cellStyle name="Normal 10 4 2 2 4" xfId="3470"/>
    <cellStyle name="Normal 10 4 2 3" xfId="1183"/>
    <cellStyle name="Normal 10 4 2 3 2" xfId="2497"/>
    <cellStyle name="Normal 10 4 2 3 2 2" xfId="5121"/>
    <cellStyle name="Normal 10 4 2 3 3" xfId="3811"/>
    <cellStyle name="Normal 10 4 2 4" xfId="1843"/>
    <cellStyle name="Normal 10 4 2 4 2" xfId="4467"/>
    <cellStyle name="Normal 10 4 2 5" xfId="3157"/>
    <cellStyle name="Normal 10 4 3" xfId="700"/>
    <cellStyle name="Normal 10 4 3 2" xfId="1360"/>
    <cellStyle name="Normal 10 4 3 2 2" xfId="2673"/>
    <cellStyle name="Normal 10 4 3 2 2 2" xfId="5297"/>
    <cellStyle name="Normal 10 4 3 2 3" xfId="3987"/>
    <cellStyle name="Normal 10 4 3 3" xfId="2019"/>
    <cellStyle name="Normal 10 4 3 3 2" xfId="4643"/>
    <cellStyle name="Normal 10 4 3 4" xfId="3333"/>
    <cellStyle name="Normal 10 4 4" xfId="1045"/>
    <cellStyle name="Normal 10 4 4 2" xfId="2360"/>
    <cellStyle name="Normal 10 4 4 2 2" xfId="4984"/>
    <cellStyle name="Normal 10 4 4 3" xfId="3674"/>
    <cellStyle name="Normal 10 4 5" xfId="1705"/>
    <cellStyle name="Normal 10 4 5 2" xfId="4330"/>
    <cellStyle name="Normal 10 4 6" xfId="3019"/>
    <cellStyle name="Normal 10 5" xfId="198"/>
    <cellStyle name="Normal 10 5 2" xfId="427"/>
    <cellStyle name="Normal 10 5 2 2" xfId="840"/>
    <cellStyle name="Normal 10 5 2 2 2" xfId="1498"/>
    <cellStyle name="Normal 10 5 2 2 2 2" xfId="2811"/>
    <cellStyle name="Normal 10 5 2 2 2 2 2" xfId="5435"/>
    <cellStyle name="Normal 10 5 2 2 2 3" xfId="4125"/>
    <cellStyle name="Normal 10 5 2 2 3" xfId="2157"/>
    <cellStyle name="Normal 10 5 2 2 3 2" xfId="4781"/>
    <cellStyle name="Normal 10 5 2 2 4" xfId="3471"/>
    <cellStyle name="Normal 10 5 2 3" xfId="1184"/>
    <cellStyle name="Normal 10 5 2 3 2" xfId="2498"/>
    <cellStyle name="Normal 10 5 2 3 2 2" xfId="5122"/>
    <cellStyle name="Normal 10 5 2 3 3" xfId="3812"/>
    <cellStyle name="Normal 10 5 2 4" xfId="1844"/>
    <cellStyle name="Normal 10 5 2 4 2" xfId="4468"/>
    <cellStyle name="Normal 10 5 2 5" xfId="3158"/>
    <cellStyle name="Normal 10 5 3" xfId="701"/>
    <cellStyle name="Normal 10 5 3 2" xfId="1361"/>
    <cellStyle name="Normal 10 5 3 2 2" xfId="2674"/>
    <cellStyle name="Normal 10 5 3 2 2 2" xfId="5298"/>
    <cellStyle name="Normal 10 5 3 2 3" xfId="3988"/>
    <cellStyle name="Normal 10 5 3 3" xfId="2020"/>
    <cellStyle name="Normal 10 5 3 3 2" xfId="4644"/>
    <cellStyle name="Normal 10 5 3 4" xfId="3334"/>
    <cellStyle name="Normal 10 5 4" xfId="1046"/>
    <cellStyle name="Normal 10 5 4 2" xfId="2361"/>
    <cellStyle name="Normal 10 5 4 2 2" xfId="4985"/>
    <cellStyle name="Normal 10 5 4 3" xfId="3675"/>
    <cellStyle name="Normal 10 5 5" xfId="1706"/>
    <cellStyle name="Normal 10 5 5 2" xfId="4331"/>
    <cellStyle name="Normal 10 5 6" xfId="3020"/>
    <cellStyle name="Normal 10 6" xfId="199"/>
    <cellStyle name="Normal 10 6 2" xfId="428"/>
    <cellStyle name="Normal 10 6 2 2" xfId="841"/>
    <cellStyle name="Normal 10 6 2 2 2" xfId="1499"/>
    <cellStyle name="Normal 10 6 2 2 2 2" xfId="2812"/>
    <cellStyle name="Normal 10 6 2 2 2 2 2" xfId="5436"/>
    <cellStyle name="Normal 10 6 2 2 2 3" xfId="4126"/>
    <cellStyle name="Normal 10 6 2 2 3" xfId="2158"/>
    <cellStyle name="Normal 10 6 2 2 3 2" xfId="4782"/>
    <cellStyle name="Normal 10 6 2 2 4" xfId="3472"/>
    <cellStyle name="Normal 10 6 2 3" xfId="1185"/>
    <cellStyle name="Normal 10 6 2 3 2" xfId="2499"/>
    <cellStyle name="Normal 10 6 2 3 2 2" xfId="5123"/>
    <cellStyle name="Normal 10 6 2 3 3" xfId="3813"/>
    <cellStyle name="Normal 10 6 2 4" xfId="1845"/>
    <cellStyle name="Normal 10 6 2 4 2" xfId="4469"/>
    <cellStyle name="Normal 10 6 2 5" xfId="3159"/>
    <cellStyle name="Normal 10 6 3" xfId="702"/>
    <cellStyle name="Normal 10 6 3 2" xfId="1362"/>
    <cellStyle name="Normal 10 6 3 2 2" xfId="2675"/>
    <cellStyle name="Normal 10 6 3 2 2 2" xfId="5299"/>
    <cellStyle name="Normal 10 6 3 2 3" xfId="3989"/>
    <cellStyle name="Normal 10 6 3 3" xfId="2021"/>
    <cellStyle name="Normal 10 6 3 3 2" xfId="4645"/>
    <cellStyle name="Normal 10 6 3 4" xfId="3335"/>
    <cellStyle name="Normal 10 6 4" xfId="1047"/>
    <cellStyle name="Normal 10 6 4 2" xfId="2362"/>
    <cellStyle name="Normal 10 6 4 2 2" xfId="4986"/>
    <cellStyle name="Normal 10 6 4 3" xfId="3676"/>
    <cellStyle name="Normal 10 6 5" xfId="1707"/>
    <cellStyle name="Normal 10 6 5 2" xfId="4332"/>
    <cellStyle name="Normal 10 6 6" xfId="3021"/>
    <cellStyle name="Normal 10 7" xfId="200"/>
    <cellStyle name="Normal 10 7 2" xfId="429"/>
    <cellStyle name="Normal 10 7 2 2" xfId="842"/>
    <cellStyle name="Normal 10 7 2 2 2" xfId="1500"/>
    <cellStyle name="Normal 10 7 2 2 2 2" xfId="2813"/>
    <cellStyle name="Normal 10 7 2 2 2 2 2" xfId="5437"/>
    <cellStyle name="Normal 10 7 2 2 2 3" xfId="4127"/>
    <cellStyle name="Normal 10 7 2 2 3" xfId="2159"/>
    <cellStyle name="Normal 10 7 2 2 3 2" xfId="4783"/>
    <cellStyle name="Normal 10 7 2 2 4" xfId="3473"/>
    <cellStyle name="Normal 10 7 2 3" xfId="1186"/>
    <cellStyle name="Normal 10 7 2 3 2" xfId="2500"/>
    <cellStyle name="Normal 10 7 2 3 2 2" xfId="5124"/>
    <cellStyle name="Normal 10 7 2 3 3" xfId="3814"/>
    <cellStyle name="Normal 10 7 2 4" xfId="1846"/>
    <cellStyle name="Normal 10 7 2 4 2" xfId="4470"/>
    <cellStyle name="Normal 10 7 2 5" xfId="3160"/>
    <cellStyle name="Normal 10 7 3" xfId="703"/>
    <cellStyle name="Normal 10 7 3 2" xfId="1363"/>
    <cellStyle name="Normal 10 7 3 2 2" xfId="2676"/>
    <cellStyle name="Normal 10 7 3 2 2 2" xfId="5300"/>
    <cellStyle name="Normal 10 7 3 2 3" xfId="3990"/>
    <cellStyle name="Normal 10 7 3 3" xfId="2022"/>
    <cellStyle name="Normal 10 7 3 3 2" xfId="4646"/>
    <cellStyle name="Normal 10 7 3 4" xfId="3336"/>
    <cellStyle name="Normal 10 7 4" xfId="1048"/>
    <cellStyle name="Normal 10 7 4 2" xfId="2363"/>
    <cellStyle name="Normal 10 7 4 2 2" xfId="4987"/>
    <cellStyle name="Normal 10 7 4 3" xfId="3677"/>
    <cellStyle name="Normal 10 7 5" xfId="1708"/>
    <cellStyle name="Normal 10 7 5 2" xfId="4333"/>
    <cellStyle name="Normal 10 7 6" xfId="3022"/>
    <cellStyle name="Normal 10 8" xfId="201"/>
    <cellStyle name="Normal 10 8 2" xfId="430"/>
    <cellStyle name="Normal 10 8 2 2" xfId="843"/>
    <cellStyle name="Normal 10 8 2 2 2" xfId="1501"/>
    <cellStyle name="Normal 10 8 2 2 2 2" xfId="2814"/>
    <cellStyle name="Normal 10 8 2 2 2 2 2" xfId="5438"/>
    <cellStyle name="Normal 10 8 2 2 2 3" xfId="4128"/>
    <cellStyle name="Normal 10 8 2 2 3" xfId="2160"/>
    <cellStyle name="Normal 10 8 2 2 3 2" xfId="4784"/>
    <cellStyle name="Normal 10 8 2 2 4" xfId="3474"/>
    <cellStyle name="Normal 10 8 2 3" xfId="1187"/>
    <cellStyle name="Normal 10 8 2 3 2" xfId="2501"/>
    <cellStyle name="Normal 10 8 2 3 2 2" xfId="5125"/>
    <cellStyle name="Normal 10 8 2 3 3" xfId="3815"/>
    <cellStyle name="Normal 10 8 2 4" xfId="1847"/>
    <cellStyle name="Normal 10 8 2 4 2" xfId="4471"/>
    <cellStyle name="Normal 10 8 2 5" xfId="3161"/>
    <cellStyle name="Normal 10 8 3" xfId="704"/>
    <cellStyle name="Normal 10 8 3 2" xfId="1364"/>
    <cellStyle name="Normal 10 8 3 2 2" xfId="2677"/>
    <cellStyle name="Normal 10 8 3 2 2 2" xfId="5301"/>
    <cellStyle name="Normal 10 8 3 2 3" xfId="3991"/>
    <cellStyle name="Normal 10 8 3 3" xfId="2023"/>
    <cellStyle name="Normal 10 8 3 3 2" xfId="4647"/>
    <cellStyle name="Normal 10 8 3 4" xfId="3337"/>
    <cellStyle name="Normal 10 8 4" xfId="1049"/>
    <cellStyle name="Normal 10 8 4 2" xfId="2364"/>
    <cellStyle name="Normal 10 8 4 2 2" xfId="4988"/>
    <cellStyle name="Normal 10 8 4 3" xfId="3678"/>
    <cellStyle name="Normal 10 8 5" xfId="1709"/>
    <cellStyle name="Normal 10 8 5 2" xfId="4334"/>
    <cellStyle name="Normal 10 8 6" xfId="3023"/>
    <cellStyle name="Normal 10 9" xfId="202"/>
    <cellStyle name="Normal 10 9 2" xfId="431"/>
    <cellStyle name="Normal 10 9 2 2" xfId="844"/>
    <cellStyle name="Normal 10 9 2 2 2" xfId="1502"/>
    <cellStyle name="Normal 10 9 2 2 2 2" xfId="2815"/>
    <cellStyle name="Normal 10 9 2 2 2 2 2" xfId="5439"/>
    <cellStyle name="Normal 10 9 2 2 2 3" xfId="4129"/>
    <cellStyle name="Normal 10 9 2 2 3" xfId="2161"/>
    <cellStyle name="Normal 10 9 2 2 3 2" xfId="4785"/>
    <cellStyle name="Normal 10 9 2 2 4" xfId="3475"/>
    <cellStyle name="Normal 10 9 2 3" xfId="1188"/>
    <cellStyle name="Normal 10 9 2 3 2" xfId="2502"/>
    <cellStyle name="Normal 10 9 2 3 2 2" xfId="5126"/>
    <cellStyle name="Normal 10 9 2 3 3" xfId="3816"/>
    <cellStyle name="Normal 10 9 2 4" xfId="1848"/>
    <cellStyle name="Normal 10 9 2 4 2" xfId="4472"/>
    <cellStyle name="Normal 10 9 2 5" xfId="3162"/>
    <cellStyle name="Normal 10 9 3" xfId="705"/>
    <cellStyle name="Normal 10 9 3 2" xfId="1365"/>
    <cellStyle name="Normal 10 9 3 2 2" xfId="2678"/>
    <cellStyle name="Normal 10 9 3 2 2 2" xfId="5302"/>
    <cellStyle name="Normal 10 9 3 2 3" xfId="3992"/>
    <cellStyle name="Normal 10 9 3 3" xfId="2024"/>
    <cellStyle name="Normal 10 9 3 3 2" xfId="4648"/>
    <cellStyle name="Normal 10 9 3 4" xfId="3338"/>
    <cellStyle name="Normal 10 9 4" xfId="1050"/>
    <cellStyle name="Normal 10 9 4 2" xfId="2365"/>
    <cellStyle name="Normal 10 9 4 2 2" xfId="4989"/>
    <cellStyle name="Normal 10 9 4 3" xfId="3679"/>
    <cellStyle name="Normal 10 9 5" xfId="1710"/>
    <cellStyle name="Normal 10 9 5 2" xfId="4335"/>
    <cellStyle name="Normal 10 9 6" xfId="3024"/>
    <cellStyle name="Normal 11" xfId="1680"/>
    <cellStyle name="Normal 11 2" xfId="2978"/>
    <cellStyle name="Normal 12" xfId="1665"/>
    <cellStyle name="Normal 12 2" xfId="4292"/>
    <cellStyle name="Normal 13" xfId="2994"/>
    <cellStyle name="Normal 14" xfId="2979"/>
    <cellStyle name="Normal 2" xfId="1"/>
    <cellStyle name="Normal 2 10" xfId="203"/>
    <cellStyle name="Normal 2 10 2" xfId="204"/>
    <cellStyle name="Normal 2 10 2 2" xfId="434"/>
    <cellStyle name="Normal 2 10 3" xfId="433"/>
    <cellStyle name="Normal 2 11" xfId="205"/>
    <cellStyle name="Normal 2 11 2" xfId="206"/>
    <cellStyle name="Normal 2 11 2 2" xfId="436"/>
    <cellStyle name="Normal 2 11 3" xfId="435"/>
    <cellStyle name="Normal 2 12" xfId="207"/>
    <cellStyle name="Normal 2 12 2" xfId="208"/>
    <cellStyle name="Normal 2 12 2 2" xfId="438"/>
    <cellStyle name="Normal 2 12 3" xfId="437"/>
    <cellStyle name="Normal 2 13" xfId="209"/>
    <cellStyle name="Normal 2 13 2" xfId="210"/>
    <cellStyle name="Normal 2 13 2 2" xfId="440"/>
    <cellStyle name="Normal 2 13 3" xfId="439"/>
    <cellStyle name="Normal 2 14" xfId="211"/>
    <cellStyle name="Normal 2 14 2" xfId="212"/>
    <cellStyle name="Normal 2 14 2 2" xfId="442"/>
    <cellStyle name="Normal 2 14 3" xfId="441"/>
    <cellStyle name="Normal 2 15" xfId="213"/>
    <cellStyle name="Normal 2 15 2" xfId="214"/>
    <cellStyle name="Normal 2 15 2 2" xfId="444"/>
    <cellStyle name="Normal 2 15 3" xfId="443"/>
    <cellStyle name="Normal 2 16" xfId="215"/>
    <cellStyle name="Normal 2 16 2" xfId="216"/>
    <cellStyle name="Normal 2 16 2 2" xfId="446"/>
    <cellStyle name="Normal 2 16 3" xfId="445"/>
    <cellStyle name="Normal 2 17" xfId="217"/>
    <cellStyle name="Normal 2 17 2" xfId="218"/>
    <cellStyle name="Normal 2 17 2 2" xfId="448"/>
    <cellStyle name="Normal 2 17 3" xfId="447"/>
    <cellStyle name="Normal 2 18" xfId="219"/>
    <cellStyle name="Normal 2 18 2" xfId="220"/>
    <cellStyle name="Normal 2 18 2 2" xfId="450"/>
    <cellStyle name="Normal 2 18 3" xfId="449"/>
    <cellStyle name="Normal 2 19" xfId="221"/>
    <cellStyle name="Normal 2 19 2" xfId="222"/>
    <cellStyle name="Normal 2 19 2 2" xfId="452"/>
    <cellStyle name="Normal 2 19 3" xfId="451"/>
    <cellStyle name="Normal 2 2" xfId="223"/>
    <cellStyle name="Normal 2 2 2" xfId="224"/>
    <cellStyle name="Normal 2 2 2 2" xfId="454"/>
    <cellStyle name="Normal 2 2 3" xfId="453"/>
    <cellStyle name="Normal 2 20" xfId="225"/>
    <cellStyle name="Normal 2 20 2" xfId="226"/>
    <cellStyle name="Normal 2 20 2 2" xfId="456"/>
    <cellStyle name="Normal 2 20 3" xfId="455"/>
    <cellStyle name="Normal 2 21" xfId="227"/>
    <cellStyle name="Normal 2 21 2" xfId="228"/>
    <cellStyle name="Normal 2 21 2 2" xfId="458"/>
    <cellStyle name="Normal 2 21 3" xfId="457"/>
    <cellStyle name="Normal 2 22" xfId="229"/>
    <cellStyle name="Normal 2 22 2" xfId="230"/>
    <cellStyle name="Normal 2 22 2 2" xfId="460"/>
    <cellStyle name="Normal 2 22 3" xfId="459"/>
    <cellStyle name="Normal 2 23" xfId="231"/>
    <cellStyle name="Normal 2 23 2" xfId="232"/>
    <cellStyle name="Normal 2 23 2 2" xfId="462"/>
    <cellStyle name="Normal 2 23 3" xfId="461"/>
    <cellStyle name="Normal 2 24" xfId="233"/>
    <cellStyle name="Normal 2 24 2" xfId="234"/>
    <cellStyle name="Normal 2 24 2 2" xfId="464"/>
    <cellStyle name="Normal 2 24 3" xfId="463"/>
    <cellStyle name="Normal 2 25" xfId="235"/>
    <cellStyle name="Normal 2 25 2" xfId="236"/>
    <cellStyle name="Normal 2 25 2 2" xfId="466"/>
    <cellStyle name="Normal 2 25 3" xfId="465"/>
    <cellStyle name="Normal 2 26" xfId="237"/>
    <cellStyle name="Normal 2 26 2" xfId="238"/>
    <cellStyle name="Normal 2 26 2 2" xfId="468"/>
    <cellStyle name="Normal 2 26 3" xfId="467"/>
    <cellStyle name="Normal 2 27" xfId="239"/>
    <cellStyle name="Normal 2 27 2" xfId="240"/>
    <cellStyle name="Normal 2 27 2 2" xfId="470"/>
    <cellStyle name="Normal 2 27 3" xfId="469"/>
    <cellStyle name="Normal 2 28" xfId="241"/>
    <cellStyle name="Normal 2 28 2" xfId="242"/>
    <cellStyle name="Normal 2 28 2 2" xfId="472"/>
    <cellStyle name="Normal 2 28 3" xfId="471"/>
    <cellStyle name="Normal 2 29" xfId="243"/>
    <cellStyle name="Normal 2 29 2" xfId="244"/>
    <cellStyle name="Normal 2 29 2 2" xfId="474"/>
    <cellStyle name="Normal 2 29 3" xfId="473"/>
    <cellStyle name="Normal 2 3" xfId="245"/>
    <cellStyle name="Normal 2 3 2" xfId="246"/>
    <cellStyle name="Normal 2 3 2 2" xfId="476"/>
    <cellStyle name="Normal 2 3 3" xfId="475"/>
    <cellStyle name="Normal 2 30" xfId="247"/>
    <cellStyle name="Normal 2 30 2" xfId="248"/>
    <cellStyle name="Normal 2 30 2 2" xfId="478"/>
    <cellStyle name="Normal 2 30 3" xfId="477"/>
    <cellStyle name="Normal 2 31" xfId="249"/>
    <cellStyle name="Normal 2 31 2" xfId="250"/>
    <cellStyle name="Normal 2 31 2 2" xfId="480"/>
    <cellStyle name="Normal 2 31 3" xfId="479"/>
    <cellStyle name="Normal 2 32" xfId="251"/>
    <cellStyle name="Normal 2 32 2" xfId="252"/>
    <cellStyle name="Normal 2 32 2 2" xfId="482"/>
    <cellStyle name="Normal 2 32 3" xfId="481"/>
    <cellStyle name="Normal 2 33" xfId="253"/>
    <cellStyle name="Normal 2 33 2" xfId="254"/>
    <cellStyle name="Normal 2 33 2 2" xfId="484"/>
    <cellStyle name="Normal 2 33 3" xfId="483"/>
    <cellStyle name="Normal 2 34" xfId="255"/>
    <cellStyle name="Normal 2 34 2" xfId="256"/>
    <cellStyle name="Normal 2 34 2 2" xfId="486"/>
    <cellStyle name="Normal 2 34 3" xfId="485"/>
    <cellStyle name="Normal 2 35" xfId="257"/>
    <cellStyle name="Normal 2 35 2" xfId="258"/>
    <cellStyle name="Normal 2 35 2 2" xfId="488"/>
    <cellStyle name="Normal 2 35 3" xfId="487"/>
    <cellStyle name="Normal 2 36" xfId="259"/>
    <cellStyle name="Normal 2 36 2" xfId="260"/>
    <cellStyle name="Normal 2 36 2 2" xfId="490"/>
    <cellStyle name="Normal 2 36 3" xfId="489"/>
    <cellStyle name="Normal 2 37" xfId="261"/>
    <cellStyle name="Normal 2 37 2" xfId="262"/>
    <cellStyle name="Normal 2 37 2 2" xfId="492"/>
    <cellStyle name="Normal 2 37 3" xfId="491"/>
    <cellStyle name="Normal 2 38" xfId="263"/>
    <cellStyle name="Normal 2 38 2" xfId="264"/>
    <cellStyle name="Normal 2 38 2 2" xfId="494"/>
    <cellStyle name="Normal 2 38 3" xfId="493"/>
    <cellStyle name="Normal 2 39" xfId="265"/>
    <cellStyle name="Normal 2 39 2" xfId="266"/>
    <cellStyle name="Normal 2 39 2 2" xfId="496"/>
    <cellStyle name="Normal 2 39 3" xfId="495"/>
    <cellStyle name="Normal 2 4" xfId="267"/>
    <cellStyle name="Normal 2 4 2" xfId="268"/>
    <cellStyle name="Normal 2 4 2 2" xfId="498"/>
    <cellStyle name="Normal 2 4 3" xfId="497"/>
    <cellStyle name="Normal 2 40" xfId="269"/>
    <cellStyle name="Normal 2 40 2" xfId="270"/>
    <cellStyle name="Normal 2 40 2 2" xfId="500"/>
    <cellStyle name="Normal 2 40 3" xfId="499"/>
    <cellStyle name="Normal 2 41" xfId="271"/>
    <cellStyle name="Normal 2 41 2" xfId="272"/>
    <cellStyle name="Normal 2 41 2 2" xfId="502"/>
    <cellStyle name="Normal 2 41 3" xfId="501"/>
    <cellStyle name="Normal 2 42" xfId="273"/>
    <cellStyle name="Normal 2 42 2" xfId="274"/>
    <cellStyle name="Normal 2 42 2 2" xfId="504"/>
    <cellStyle name="Normal 2 42 3" xfId="503"/>
    <cellStyle name="Normal 2 43" xfId="275"/>
    <cellStyle name="Normal 2 43 2" xfId="276"/>
    <cellStyle name="Normal 2 43 2 2" xfId="506"/>
    <cellStyle name="Normal 2 43 3" xfId="505"/>
    <cellStyle name="Normal 2 44" xfId="277"/>
    <cellStyle name="Normal 2 44 2" xfId="507"/>
    <cellStyle name="Normal 2 45" xfId="278"/>
    <cellStyle name="Normal 2 45 2" xfId="508"/>
    <cellStyle name="Normal 2 45 2 2" xfId="846"/>
    <cellStyle name="Normal 2 45 2 2 2" xfId="1504"/>
    <cellStyle name="Normal 2 45 2 2 2 2" xfId="2817"/>
    <cellStyle name="Normal 2 45 2 2 2 2 2" xfId="5441"/>
    <cellStyle name="Normal 2 45 2 2 2 3" xfId="4131"/>
    <cellStyle name="Normal 2 45 2 2 3" xfId="2163"/>
    <cellStyle name="Normal 2 45 2 2 3 2" xfId="4787"/>
    <cellStyle name="Normal 2 45 2 2 4" xfId="3477"/>
    <cellStyle name="Normal 2 45 2 3" xfId="1190"/>
    <cellStyle name="Normal 2 45 2 3 2" xfId="2504"/>
    <cellStyle name="Normal 2 45 2 3 2 2" xfId="5128"/>
    <cellStyle name="Normal 2 45 2 3 3" xfId="3818"/>
    <cellStyle name="Normal 2 45 2 4" xfId="1850"/>
    <cellStyle name="Normal 2 45 2 4 2" xfId="4474"/>
    <cellStyle name="Normal 2 45 2 5" xfId="3164"/>
    <cellStyle name="Normal 2 45 3" xfId="707"/>
    <cellStyle name="Normal 2 45 3 2" xfId="1367"/>
    <cellStyle name="Normal 2 45 3 2 2" xfId="2680"/>
    <cellStyle name="Normal 2 45 3 2 2 2" xfId="5304"/>
    <cellStyle name="Normal 2 45 3 2 3" xfId="3994"/>
    <cellStyle name="Normal 2 45 3 3" xfId="2026"/>
    <cellStyle name="Normal 2 45 3 3 2" xfId="4650"/>
    <cellStyle name="Normal 2 45 3 4" xfId="3340"/>
    <cellStyle name="Normal 2 45 4" xfId="1052"/>
    <cellStyle name="Normal 2 45 4 2" xfId="2367"/>
    <cellStyle name="Normal 2 45 4 2 2" xfId="4991"/>
    <cellStyle name="Normal 2 45 4 3" xfId="3681"/>
    <cellStyle name="Normal 2 45 5" xfId="1712"/>
    <cellStyle name="Normal 2 45 5 2" xfId="4337"/>
    <cellStyle name="Normal 2 45 6" xfId="3026"/>
    <cellStyle name="Normal 2 46" xfId="432"/>
    <cellStyle name="Normal 2 46 2" xfId="845"/>
    <cellStyle name="Normal 2 46 2 2" xfId="1503"/>
    <cellStyle name="Normal 2 46 2 2 2" xfId="2816"/>
    <cellStyle name="Normal 2 46 2 2 2 2" xfId="5440"/>
    <cellStyle name="Normal 2 46 2 2 3" xfId="4130"/>
    <cellStyle name="Normal 2 46 2 3" xfId="2162"/>
    <cellStyle name="Normal 2 46 2 3 2" xfId="4786"/>
    <cellStyle name="Normal 2 46 2 4" xfId="3476"/>
    <cellStyle name="Normal 2 46 3" xfId="1189"/>
    <cellStyle name="Normal 2 46 3 2" xfId="2503"/>
    <cellStyle name="Normal 2 46 3 2 2" xfId="5127"/>
    <cellStyle name="Normal 2 46 3 3" xfId="3817"/>
    <cellStyle name="Normal 2 46 4" xfId="1849"/>
    <cellStyle name="Normal 2 46 4 2" xfId="4473"/>
    <cellStyle name="Normal 2 46 5" xfId="3163"/>
    <cellStyle name="Normal 2 47" xfId="706"/>
    <cellStyle name="Normal 2 47 2" xfId="1366"/>
    <cellStyle name="Normal 2 47 2 2" xfId="2679"/>
    <cellStyle name="Normal 2 47 2 2 2" xfId="5303"/>
    <cellStyle name="Normal 2 47 2 3" xfId="3993"/>
    <cellStyle name="Normal 2 47 3" xfId="2025"/>
    <cellStyle name="Normal 2 47 3 2" xfId="4649"/>
    <cellStyle name="Normal 2 47 4" xfId="3339"/>
    <cellStyle name="Normal 2 48" xfId="1051"/>
    <cellStyle name="Normal 2 48 2" xfId="2366"/>
    <cellStyle name="Normal 2 48 2 2" xfId="4990"/>
    <cellStyle name="Normal 2 48 3" xfId="3680"/>
    <cellStyle name="Normal 2 49" xfId="1711"/>
    <cellStyle name="Normal 2 49 2" xfId="4336"/>
    <cellStyle name="Normal 2 5" xfId="279"/>
    <cellStyle name="Normal 2 5 2" xfId="280"/>
    <cellStyle name="Normal 2 5 2 2" xfId="510"/>
    <cellStyle name="Normal 2 5 3" xfId="509"/>
    <cellStyle name="Normal 2 50" xfId="3025"/>
    <cellStyle name="Normal 2 6" xfId="281"/>
    <cellStyle name="Normal 2 6 2" xfId="282"/>
    <cellStyle name="Normal 2 6 2 2" xfId="512"/>
    <cellStyle name="Normal 2 6 3" xfId="511"/>
    <cellStyle name="Normal 2 7" xfId="283"/>
    <cellStyle name="Normal 2 7 2" xfId="284"/>
    <cellStyle name="Normal 2 7 2 2" xfId="514"/>
    <cellStyle name="Normal 2 7 3" xfId="513"/>
    <cellStyle name="Normal 2 8" xfId="285"/>
    <cellStyle name="Normal 2 8 2" xfId="286"/>
    <cellStyle name="Normal 2 8 2 2" xfId="516"/>
    <cellStyle name="Normal 2 8 3" xfId="515"/>
    <cellStyle name="Normal 2 9" xfId="287"/>
    <cellStyle name="Normal 2 9 2" xfId="288"/>
    <cellStyle name="Normal 2 9 2 2" xfId="518"/>
    <cellStyle name="Normal 2 9 3" xfId="517"/>
    <cellStyle name="Normal 3" xfId="5"/>
    <cellStyle name="Normal 3 2" xfId="815"/>
    <cellStyle name="Normal 4" xfId="387"/>
    <cellStyle name="Normal 4 2" xfId="802"/>
    <cellStyle name="Normal 4 2 2" xfId="1461"/>
    <cellStyle name="Normal 4 2 2 2" xfId="2774"/>
    <cellStyle name="Normal 4 2 2 2 2" xfId="5398"/>
    <cellStyle name="Normal 4 2 2 3" xfId="4088"/>
    <cellStyle name="Normal 4 2 3" xfId="2120"/>
    <cellStyle name="Normal 4 2 3 2" xfId="4744"/>
    <cellStyle name="Normal 4 2 4" xfId="3434"/>
    <cellStyle name="Normal 4 3" xfId="1147"/>
    <cellStyle name="Normal 4 3 2" xfId="2461"/>
    <cellStyle name="Normal 4 3 2 2" xfId="5085"/>
    <cellStyle name="Normal 4 3 3" xfId="3775"/>
    <cellStyle name="Normal 4 4" xfId="1807"/>
    <cellStyle name="Normal 4 4 2" xfId="4431"/>
    <cellStyle name="Normal 4 5" xfId="3121"/>
    <cellStyle name="Normal 5" xfId="662"/>
    <cellStyle name="Normal 5 2" xfId="1324"/>
    <cellStyle name="Normal 5 2 2" xfId="2637"/>
    <cellStyle name="Normal 5 2 2 2" xfId="5261"/>
    <cellStyle name="Normal 5 2 3" xfId="3951"/>
    <cellStyle name="Normal 5 3" xfId="1983"/>
    <cellStyle name="Normal 5 3 2" xfId="4607"/>
    <cellStyle name="Normal 5 4" xfId="3297"/>
    <cellStyle name="Normal 6" xfId="675"/>
    <cellStyle name="Normal 6 2" xfId="979"/>
    <cellStyle name="Normal 7" xfId="980"/>
    <cellStyle name="Normal 7 2" xfId="1637"/>
    <cellStyle name="Normal 7 2 2" xfId="2950"/>
    <cellStyle name="Normal 7 2 2 2" xfId="5574"/>
    <cellStyle name="Normal 7 2 3" xfId="4264"/>
    <cellStyle name="Normal 7 3" xfId="2296"/>
    <cellStyle name="Normal 7 3 2" xfId="4920"/>
    <cellStyle name="Normal 7 4" xfId="3610"/>
    <cellStyle name="Normal 76 2" xfId="289"/>
    <cellStyle name="Normal 76 2 2" xfId="519"/>
    <cellStyle name="Normal 76 2 2 2" xfId="847"/>
    <cellStyle name="Normal 76 2 2 2 2" xfId="1505"/>
    <cellStyle name="Normal 76 2 2 2 2 2" xfId="2818"/>
    <cellStyle name="Normal 76 2 2 2 2 2 2" xfId="5442"/>
    <cellStyle name="Normal 76 2 2 2 2 3" xfId="4132"/>
    <cellStyle name="Normal 76 2 2 2 3" xfId="2164"/>
    <cellStyle name="Normal 76 2 2 2 3 2" xfId="4788"/>
    <cellStyle name="Normal 76 2 2 2 4" xfId="3478"/>
    <cellStyle name="Normal 76 2 2 3" xfId="1191"/>
    <cellStyle name="Normal 76 2 2 3 2" xfId="2505"/>
    <cellStyle name="Normal 76 2 2 3 2 2" xfId="5129"/>
    <cellStyle name="Normal 76 2 2 3 3" xfId="3819"/>
    <cellStyle name="Normal 76 2 2 4" xfId="1851"/>
    <cellStyle name="Normal 76 2 2 4 2" xfId="4475"/>
    <cellStyle name="Normal 76 2 2 5" xfId="3165"/>
    <cellStyle name="Normal 76 2 3" xfId="708"/>
    <cellStyle name="Normal 76 2 3 2" xfId="1368"/>
    <cellStyle name="Normal 76 2 3 2 2" xfId="2681"/>
    <cellStyle name="Normal 76 2 3 2 2 2" xfId="5305"/>
    <cellStyle name="Normal 76 2 3 2 3" xfId="3995"/>
    <cellStyle name="Normal 76 2 3 3" xfId="2027"/>
    <cellStyle name="Normal 76 2 3 3 2" xfId="4651"/>
    <cellStyle name="Normal 76 2 3 4" xfId="3341"/>
    <cellStyle name="Normal 76 2 4" xfId="1053"/>
    <cellStyle name="Normal 76 2 4 2" xfId="2368"/>
    <cellStyle name="Normal 76 2 4 2 2" xfId="4992"/>
    <cellStyle name="Normal 76 2 4 3" xfId="3682"/>
    <cellStyle name="Normal 76 2 5" xfId="1713"/>
    <cellStyle name="Normal 76 2 5 2" xfId="4338"/>
    <cellStyle name="Normal 76 2 6" xfId="3027"/>
    <cellStyle name="Normal 76 3" xfId="290"/>
    <cellStyle name="Normal 76 3 2" xfId="520"/>
    <cellStyle name="Normal 76 3 2 2" xfId="848"/>
    <cellStyle name="Normal 76 3 2 2 2" xfId="1506"/>
    <cellStyle name="Normal 76 3 2 2 2 2" xfId="2819"/>
    <cellStyle name="Normal 76 3 2 2 2 2 2" xfId="5443"/>
    <cellStyle name="Normal 76 3 2 2 2 3" xfId="4133"/>
    <cellStyle name="Normal 76 3 2 2 3" xfId="2165"/>
    <cellStyle name="Normal 76 3 2 2 3 2" xfId="4789"/>
    <cellStyle name="Normal 76 3 2 2 4" xfId="3479"/>
    <cellStyle name="Normal 76 3 2 3" xfId="1192"/>
    <cellStyle name="Normal 76 3 2 3 2" xfId="2506"/>
    <cellStyle name="Normal 76 3 2 3 2 2" xfId="5130"/>
    <cellStyle name="Normal 76 3 2 3 3" xfId="3820"/>
    <cellStyle name="Normal 76 3 2 4" xfId="1852"/>
    <cellStyle name="Normal 76 3 2 4 2" xfId="4476"/>
    <cellStyle name="Normal 76 3 2 5" xfId="3166"/>
    <cellStyle name="Normal 76 3 3" xfId="709"/>
    <cellStyle name="Normal 76 3 3 2" xfId="1369"/>
    <cellStyle name="Normal 76 3 3 2 2" xfId="2682"/>
    <cellStyle name="Normal 76 3 3 2 2 2" xfId="5306"/>
    <cellStyle name="Normal 76 3 3 2 3" xfId="3996"/>
    <cellStyle name="Normal 76 3 3 3" xfId="2028"/>
    <cellStyle name="Normal 76 3 3 3 2" xfId="4652"/>
    <cellStyle name="Normal 76 3 3 4" xfId="3342"/>
    <cellStyle name="Normal 76 3 4" xfId="1054"/>
    <cellStyle name="Normal 76 3 4 2" xfId="2369"/>
    <cellStyle name="Normal 76 3 4 2 2" xfId="4993"/>
    <cellStyle name="Normal 76 3 4 3" xfId="3683"/>
    <cellStyle name="Normal 76 3 5" xfId="1714"/>
    <cellStyle name="Normal 76 3 5 2" xfId="4339"/>
    <cellStyle name="Normal 76 3 6" xfId="3028"/>
    <cellStyle name="Normal 76 4" xfId="291"/>
    <cellStyle name="Normal 76 4 2" xfId="521"/>
    <cellStyle name="Normal 76 4 2 2" xfId="849"/>
    <cellStyle name="Normal 76 4 2 2 2" xfId="1507"/>
    <cellStyle name="Normal 76 4 2 2 2 2" xfId="2820"/>
    <cellStyle name="Normal 76 4 2 2 2 2 2" xfId="5444"/>
    <cellStyle name="Normal 76 4 2 2 2 3" xfId="4134"/>
    <cellStyle name="Normal 76 4 2 2 3" xfId="2166"/>
    <cellStyle name="Normal 76 4 2 2 3 2" xfId="4790"/>
    <cellStyle name="Normal 76 4 2 2 4" xfId="3480"/>
    <cellStyle name="Normal 76 4 2 3" xfId="1193"/>
    <cellStyle name="Normal 76 4 2 3 2" xfId="2507"/>
    <cellStyle name="Normal 76 4 2 3 2 2" xfId="5131"/>
    <cellStyle name="Normal 76 4 2 3 3" xfId="3821"/>
    <cellStyle name="Normal 76 4 2 4" xfId="1853"/>
    <cellStyle name="Normal 76 4 2 4 2" xfId="4477"/>
    <cellStyle name="Normal 76 4 2 5" xfId="3167"/>
    <cellStyle name="Normal 76 4 3" xfId="710"/>
    <cellStyle name="Normal 76 4 3 2" xfId="1370"/>
    <cellStyle name="Normal 76 4 3 2 2" xfId="2683"/>
    <cellStyle name="Normal 76 4 3 2 2 2" xfId="5307"/>
    <cellStyle name="Normal 76 4 3 2 3" xfId="3997"/>
    <cellStyle name="Normal 76 4 3 3" xfId="2029"/>
    <cellStyle name="Normal 76 4 3 3 2" xfId="4653"/>
    <cellStyle name="Normal 76 4 3 4" xfId="3343"/>
    <cellStyle name="Normal 76 4 4" xfId="1055"/>
    <cellStyle name="Normal 76 4 4 2" xfId="2370"/>
    <cellStyle name="Normal 76 4 4 2 2" xfId="4994"/>
    <cellStyle name="Normal 76 4 4 3" xfId="3684"/>
    <cellStyle name="Normal 76 4 5" xfId="1715"/>
    <cellStyle name="Normal 76 4 5 2" xfId="4340"/>
    <cellStyle name="Normal 76 4 6" xfId="3029"/>
    <cellStyle name="Normal 77 2" xfId="292"/>
    <cellStyle name="Normal 77 2 2" xfId="522"/>
    <cellStyle name="Normal 77 2 2 2" xfId="850"/>
    <cellStyle name="Normal 77 2 2 2 2" xfId="1508"/>
    <cellStyle name="Normal 77 2 2 2 2 2" xfId="2821"/>
    <cellStyle name="Normal 77 2 2 2 2 2 2" xfId="5445"/>
    <cellStyle name="Normal 77 2 2 2 2 3" xfId="4135"/>
    <cellStyle name="Normal 77 2 2 2 3" xfId="2167"/>
    <cellStyle name="Normal 77 2 2 2 3 2" xfId="4791"/>
    <cellStyle name="Normal 77 2 2 2 4" xfId="3481"/>
    <cellStyle name="Normal 77 2 2 3" xfId="1194"/>
    <cellStyle name="Normal 77 2 2 3 2" xfId="2508"/>
    <cellStyle name="Normal 77 2 2 3 2 2" xfId="5132"/>
    <cellStyle name="Normal 77 2 2 3 3" xfId="3822"/>
    <cellStyle name="Normal 77 2 2 4" xfId="1854"/>
    <cellStyle name="Normal 77 2 2 4 2" xfId="4478"/>
    <cellStyle name="Normal 77 2 2 5" xfId="3168"/>
    <cellStyle name="Normal 77 2 3" xfId="711"/>
    <cellStyle name="Normal 77 2 3 2" xfId="1371"/>
    <cellStyle name="Normal 77 2 3 2 2" xfId="2684"/>
    <cellStyle name="Normal 77 2 3 2 2 2" xfId="5308"/>
    <cellStyle name="Normal 77 2 3 2 3" xfId="3998"/>
    <cellStyle name="Normal 77 2 3 3" xfId="2030"/>
    <cellStyle name="Normal 77 2 3 3 2" xfId="4654"/>
    <cellStyle name="Normal 77 2 3 4" xfId="3344"/>
    <cellStyle name="Normal 77 2 4" xfId="1056"/>
    <cellStyle name="Normal 77 2 4 2" xfId="2371"/>
    <cellStyle name="Normal 77 2 4 2 2" xfId="4995"/>
    <cellStyle name="Normal 77 2 4 3" xfId="3685"/>
    <cellStyle name="Normal 77 2 5" xfId="1716"/>
    <cellStyle name="Normal 77 2 5 2" xfId="4341"/>
    <cellStyle name="Normal 77 2 6" xfId="3030"/>
    <cellStyle name="Normal 77 3" xfId="293"/>
    <cellStyle name="Normal 77 3 2" xfId="523"/>
    <cellStyle name="Normal 77 3 2 2" xfId="851"/>
    <cellStyle name="Normal 77 3 2 2 2" xfId="1509"/>
    <cellStyle name="Normal 77 3 2 2 2 2" xfId="2822"/>
    <cellStyle name="Normal 77 3 2 2 2 2 2" xfId="5446"/>
    <cellStyle name="Normal 77 3 2 2 2 3" xfId="4136"/>
    <cellStyle name="Normal 77 3 2 2 3" xfId="2168"/>
    <cellStyle name="Normal 77 3 2 2 3 2" xfId="4792"/>
    <cellStyle name="Normal 77 3 2 2 4" xfId="3482"/>
    <cellStyle name="Normal 77 3 2 3" xfId="1195"/>
    <cellStyle name="Normal 77 3 2 3 2" xfId="2509"/>
    <cellStyle name="Normal 77 3 2 3 2 2" xfId="5133"/>
    <cellStyle name="Normal 77 3 2 3 3" xfId="3823"/>
    <cellStyle name="Normal 77 3 2 4" xfId="1855"/>
    <cellStyle name="Normal 77 3 2 4 2" xfId="4479"/>
    <cellStyle name="Normal 77 3 2 5" xfId="3169"/>
    <cellStyle name="Normal 77 3 3" xfId="712"/>
    <cellStyle name="Normal 77 3 3 2" xfId="1372"/>
    <cellStyle name="Normal 77 3 3 2 2" xfId="2685"/>
    <cellStyle name="Normal 77 3 3 2 2 2" xfId="5309"/>
    <cellStyle name="Normal 77 3 3 2 3" xfId="3999"/>
    <cellStyle name="Normal 77 3 3 3" xfId="2031"/>
    <cellStyle name="Normal 77 3 3 3 2" xfId="4655"/>
    <cellStyle name="Normal 77 3 3 4" xfId="3345"/>
    <cellStyle name="Normal 77 3 4" xfId="1057"/>
    <cellStyle name="Normal 77 3 4 2" xfId="2372"/>
    <cellStyle name="Normal 77 3 4 2 2" xfId="4996"/>
    <cellStyle name="Normal 77 3 4 3" xfId="3686"/>
    <cellStyle name="Normal 77 3 5" xfId="1717"/>
    <cellStyle name="Normal 77 3 5 2" xfId="4342"/>
    <cellStyle name="Normal 77 3 6" xfId="3031"/>
    <cellStyle name="Normal 77 4" xfId="294"/>
    <cellStyle name="Normal 77 4 2" xfId="524"/>
    <cellStyle name="Normal 77 4 2 2" xfId="852"/>
    <cellStyle name="Normal 77 4 2 2 2" xfId="1510"/>
    <cellStyle name="Normal 77 4 2 2 2 2" xfId="2823"/>
    <cellStyle name="Normal 77 4 2 2 2 2 2" xfId="5447"/>
    <cellStyle name="Normal 77 4 2 2 2 3" xfId="4137"/>
    <cellStyle name="Normal 77 4 2 2 3" xfId="2169"/>
    <cellStyle name="Normal 77 4 2 2 3 2" xfId="4793"/>
    <cellStyle name="Normal 77 4 2 2 4" xfId="3483"/>
    <cellStyle name="Normal 77 4 2 3" xfId="1196"/>
    <cellStyle name="Normal 77 4 2 3 2" xfId="2510"/>
    <cellStyle name="Normal 77 4 2 3 2 2" xfId="5134"/>
    <cellStyle name="Normal 77 4 2 3 3" xfId="3824"/>
    <cellStyle name="Normal 77 4 2 4" xfId="1856"/>
    <cellStyle name="Normal 77 4 2 4 2" xfId="4480"/>
    <cellStyle name="Normal 77 4 2 5" xfId="3170"/>
    <cellStyle name="Normal 77 4 3" xfId="713"/>
    <cellStyle name="Normal 77 4 3 2" xfId="1373"/>
    <cellStyle name="Normal 77 4 3 2 2" xfId="2686"/>
    <cellStyle name="Normal 77 4 3 2 2 2" xfId="5310"/>
    <cellStyle name="Normal 77 4 3 2 3" xfId="4000"/>
    <cellStyle name="Normal 77 4 3 3" xfId="2032"/>
    <cellStyle name="Normal 77 4 3 3 2" xfId="4656"/>
    <cellStyle name="Normal 77 4 3 4" xfId="3346"/>
    <cellStyle name="Normal 77 4 4" xfId="1058"/>
    <cellStyle name="Normal 77 4 4 2" xfId="2373"/>
    <cellStyle name="Normal 77 4 4 2 2" xfId="4997"/>
    <cellStyle name="Normal 77 4 4 3" xfId="3687"/>
    <cellStyle name="Normal 77 4 5" xfId="1718"/>
    <cellStyle name="Normal 77 4 5 2" xfId="4343"/>
    <cellStyle name="Normal 77 4 6" xfId="3032"/>
    <cellStyle name="Normal 77 5" xfId="295"/>
    <cellStyle name="Normal 77 5 2" xfId="525"/>
    <cellStyle name="Normal 77 5 2 2" xfId="853"/>
    <cellStyle name="Normal 77 5 2 2 2" xfId="1511"/>
    <cellStyle name="Normal 77 5 2 2 2 2" xfId="2824"/>
    <cellStyle name="Normal 77 5 2 2 2 2 2" xfId="5448"/>
    <cellStyle name="Normal 77 5 2 2 2 3" xfId="4138"/>
    <cellStyle name="Normal 77 5 2 2 3" xfId="2170"/>
    <cellStyle name="Normal 77 5 2 2 3 2" xfId="4794"/>
    <cellStyle name="Normal 77 5 2 2 4" xfId="3484"/>
    <cellStyle name="Normal 77 5 2 3" xfId="1197"/>
    <cellStyle name="Normal 77 5 2 3 2" xfId="2511"/>
    <cellStyle name="Normal 77 5 2 3 2 2" xfId="5135"/>
    <cellStyle name="Normal 77 5 2 3 3" xfId="3825"/>
    <cellStyle name="Normal 77 5 2 4" xfId="1857"/>
    <cellStyle name="Normal 77 5 2 4 2" xfId="4481"/>
    <cellStyle name="Normal 77 5 2 5" xfId="3171"/>
    <cellStyle name="Normal 77 5 3" xfId="714"/>
    <cellStyle name="Normal 77 5 3 2" xfId="1374"/>
    <cellStyle name="Normal 77 5 3 2 2" xfId="2687"/>
    <cellStyle name="Normal 77 5 3 2 2 2" xfId="5311"/>
    <cellStyle name="Normal 77 5 3 2 3" xfId="4001"/>
    <cellStyle name="Normal 77 5 3 3" xfId="2033"/>
    <cellStyle name="Normal 77 5 3 3 2" xfId="4657"/>
    <cellStyle name="Normal 77 5 3 4" xfId="3347"/>
    <cellStyle name="Normal 77 5 4" xfId="1059"/>
    <cellStyle name="Normal 77 5 4 2" xfId="2374"/>
    <cellStyle name="Normal 77 5 4 2 2" xfId="4998"/>
    <cellStyle name="Normal 77 5 4 3" xfId="3688"/>
    <cellStyle name="Normal 77 5 5" xfId="1719"/>
    <cellStyle name="Normal 77 5 5 2" xfId="4344"/>
    <cellStyle name="Normal 77 5 6" xfId="3033"/>
    <cellStyle name="Normal 77 6" xfId="296"/>
    <cellStyle name="Normal 77 6 2" xfId="526"/>
    <cellStyle name="Normal 77 6 2 2" xfId="854"/>
    <cellStyle name="Normal 77 6 2 2 2" xfId="1512"/>
    <cellStyle name="Normal 77 6 2 2 2 2" xfId="2825"/>
    <cellStyle name="Normal 77 6 2 2 2 2 2" xfId="5449"/>
    <cellStyle name="Normal 77 6 2 2 2 3" xfId="4139"/>
    <cellStyle name="Normal 77 6 2 2 3" xfId="2171"/>
    <cellStyle name="Normal 77 6 2 2 3 2" xfId="4795"/>
    <cellStyle name="Normal 77 6 2 2 4" xfId="3485"/>
    <cellStyle name="Normal 77 6 2 3" xfId="1198"/>
    <cellStyle name="Normal 77 6 2 3 2" xfId="2512"/>
    <cellStyle name="Normal 77 6 2 3 2 2" xfId="5136"/>
    <cellStyle name="Normal 77 6 2 3 3" xfId="3826"/>
    <cellStyle name="Normal 77 6 2 4" xfId="1858"/>
    <cellStyle name="Normal 77 6 2 4 2" xfId="4482"/>
    <cellStyle name="Normal 77 6 2 5" xfId="3172"/>
    <cellStyle name="Normal 77 6 3" xfId="715"/>
    <cellStyle name="Normal 77 6 3 2" xfId="1375"/>
    <cellStyle name="Normal 77 6 3 2 2" xfId="2688"/>
    <cellStyle name="Normal 77 6 3 2 2 2" xfId="5312"/>
    <cellStyle name="Normal 77 6 3 2 3" xfId="4002"/>
    <cellStyle name="Normal 77 6 3 3" xfId="2034"/>
    <cellStyle name="Normal 77 6 3 3 2" xfId="4658"/>
    <cellStyle name="Normal 77 6 3 4" xfId="3348"/>
    <cellStyle name="Normal 77 6 4" xfId="1060"/>
    <cellStyle name="Normal 77 6 4 2" xfId="2375"/>
    <cellStyle name="Normal 77 6 4 2 2" xfId="4999"/>
    <cellStyle name="Normal 77 6 4 3" xfId="3689"/>
    <cellStyle name="Normal 77 6 5" xfId="1720"/>
    <cellStyle name="Normal 77 6 5 2" xfId="4345"/>
    <cellStyle name="Normal 77 6 6" xfId="3034"/>
    <cellStyle name="Normal 77 7" xfId="297"/>
    <cellStyle name="Normal 77 7 2" xfId="527"/>
    <cellStyle name="Normal 77 7 2 2" xfId="855"/>
    <cellStyle name="Normal 77 7 2 2 2" xfId="1513"/>
    <cellStyle name="Normal 77 7 2 2 2 2" xfId="2826"/>
    <cellStyle name="Normal 77 7 2 2 2 2 2" xfId="5450"/>
    <cellStyle name="Normal 77 7 2 2 2 3" xfId="4140"/>
    <cellStyle name="Normal 77 7 2 2 3" xfId="2172"/>
    <cellStyle name="Normal 77 7 2 2 3 2" xfId="4796"/>
    <cellStyle name="Normal 77 7 2 2 4" xfId="3486"/>
    <cellStyle name="Normal 77 7 2 3" xfId="1199"/>
    <cellStyle name="Normal 77 7 2 3 2" xfId="2513"/>
    <cellStyle name="Normal 77 7 2 3 2 2" xfId="5137"/>
    <cellStyle name="Normal 77 7 2 3 3" xfId="3827"/>
    <cellStyle name="Normal 77 7 2 4" xfId="1859"/>
    <cellStyle name="Normal 77 7 2 4 2" xfId="4483"/>
    <cellStyle name="Normal 77 7 2 5" xfId="3173"/>
    <cellStyle name="Normal 77 7 3" xfId="716"/>
    <cellStyle name="Normal 77 7 3 2" xfId="1376"/>
    <cellStyle name="Normal 77 7 3 2 2" xfId="2689"/>
    <cellStyle name="Normal 77 7 3 2 2 2" xfId="5313"/>
    <cellStyle name="Normal 77 7 3 2 3" xfId="4003"/>
    <cellStyle name="Normal 77 7 3 3" xfId="2035"/>
    <cellStyle name="Normal 77 7 3 3 2" xfId="4659"/>
    <cellStyle name="Normal 77 7 3 4" xfId="3349"/>
    <cellStyle name="Normal 77 7 4" xfId="1061"/>
    <cellStyle name="Normal 77 7 4 2" xfId="2376"/>
    <cellStyle name="Normal 77 7 4 2 2" xfId="5000"/>
    <cellStyle name="Normal 77 7 4 3" xfId="3690"/>
    <cellStyle name="Normal 77 7 5" xfId="1721"/>
    <cellStyle name="Normal 77 7 5 2" xfId="4346"/>
    <cellStyle name="Normal 77 7 6" xfId="3035"/>
    <cellStyle name="Normal 77 8" xfId="298"/>
    <cellStyle name="Normal 77 8 2" xfId="528"/>
    <cellStyle name="Normal 77 8 2 2" xfId="856"/>
    <cellStyle name="Normal 77 8 2 2 2" xfId="1514"/>
    <cellStyle name="Normal 77 8 2 2 2 2" xfId="2827"/>
    <cellStyle name="Normal 77 8 2 2 2 2 2" xfId="5451"/>
    <cellStyle name="Normal 77 8 2 2 2 3" xfId="4141"/>
    <cellStyle name="Normal 77 8 2 2 3" xfId="2173"/>
    <cellStyle name="Normal 77 8 2 2 3 2" xfId="4797"/>
    <cellStyle name="Normal 77 8 2 2 4" xfId="3487"/>
    <cellStyle name="Normal 77 8 2 3" xfId="1200"/>
    <cellStyle name="Normal 77 8 2 3 2" xfId="2514"/>
    <cellStyle name="Normal 77 8 2 3 2 2" xfId="5138"/>
    <cellStyle name="Normal 77 8 2 3 3" xfId="3828"/>
    <cellStyle name="Normal 77 8 2 4" xfId="1860"/>
    <cellStyle name="Normal 77 8 2 4 2" xfId="4484"/>
    <cellStyle name="Normal 77 8 2 5" xfId="3174"/>
    <cellStyle name="Normal 77 8 3" xfId="717"/>
    <cellStyle name="Normal 77 8 3 2" xfId="1377"/>
    <cellStyle name="Normal 77 8 3 2 2" xfId="2690"/>
    <cellStyle name="Normal 77 8 3 2 2 2" xfId="5314"/>
    <cellStyle name="Normal 77 8 3 2 3" xfId="4004"/>
    <cellStyle name="Normal 77 8 3 3" xfId="2036"/>
    <cellStyle name="Normal 77 8 3 3 2" xfId="4660"/>
    <cellStyle name="Normal 77 8 3 4" xfId="3350"/>
    <cellStyle name="Normal 77 8 4" xfId="1062"/>
    <cellStyle name="Normal 77 8 4 2" xfId="2377"/>
    <cellStyle name="Normal 77 8 4 2 2" xfId="5001"/>
    <cellStyle name="Normal 77 8 4 3" xfId="3691"/>
    <cellStyle name="Normal 77 8 5" xfId="1722"/>
    <cellStyle name="Normal 77 8 5 2" xfId="4347"/>
    <cellStyle name="Normal 77 8 6" xfId="3036"/>
    <cellStyle name="Normal 78 2" xfId="299"/>
    <cellStyle name="Normal 78 2 2" xfId="529"/>
    <cellStyle name="Normal 78 2 2 2" xfId="857"/>
    <cellStyle name="Normal 78 2 2 2 2" xfId="1515"/>
    <cellStyle name="Normal 78 2 2 2 2 2" xfId="2828"/>
    <cellStyle name="Normal 78 2 2 2 2 2 2" xfId="5452"/>
    <cellStyle name="Normal 78 2 2 2 2 3" xfId="4142"/>
    <cellStyle name="Normal 78 2 2 2 3" xfId="2174"/>
    <cellStyle name="Normal 78 2 2 2 3 2" xfId="4798"/>
    <cellStyle name="Normal 78 2 2 2 4" xfId="3488"/>
    <cellStyle name="Normal 78 2 2 3" xfId="1201"/>
    <cellStyle name="Normal 78 2 2 3 2" xfId="2515"/>
    <cellStyle name="Normal 78 2 2 3 2 2" xfId="5139"/>
    <cellStyle name="Normal 78 2 2 3 3" xfId="3829"/>
    <cellStyle name="Normal 78 2 2 4" xfId="1861"/>
    <cellStyle name="Normal 78 2 2 4 2" xfId="4485"/>
    <cellStyle name="Normal 78 2 2 5" xfId="3175"/>
    <cellStyle name="Normal 78 2 3" xfId="718"/>
    <cellStyle name="Normal 78 2 3 2" xfId="1378"/>
    <cellStyle name="Normal 78 2 3 2 2" xfId="2691"/>
    <cellStyle name="Normal 78 2 3 2 2 2" xfId="5315"/>
    <cellStyle name="Normal 78 2 3 2 3" xfId="4005"/>
    <cellStyle name="Normal 78 2 3 3" xfId="2037"/>
    <cellStyle name="Normal 78 2 3 3 2" xfId="4661"/>
    <cellStyle name="Normal 78 2 3 4" xfId="3351"/>
    <cellStyle name="Normal 78 2 4" xfId="1063"/>
    <cellStyle name="Normal 78 2 4 2" xfId="2378"/>
    <cellStyle name="Normal 78 2 4 2 2" xfId="5002"/>
    <cellStyle name="Normal 78 2 4 3" xfId="3692"/>
    <cellStyle name="Normal 78 2 5" xfId="1723"/>
    <cellStyle name="Normal 78 2 5 2" xfId="4348"/>
    <cellStyle name="Normal 78 2 6" xfId="3037"/>
    <cellStyle name="Normal 78 3" xfId="300"/>
    <cellStyle name="Normal 78 3 2" xfId="530"/>
    <cellStyle name="Normal 78 3 2 2" xfId="858"/>
    <cellStyle name="Normal 78 3 2 2 2" xfId="1516"/>
    <cellStyle name="Normal 78 3 2 2 2 2" xfId="2829"/>
    <cellStyle name="Normal 78 3 2 2 2 2 2" xfId="5453"/>
    <cellStyle name="Normal 78 3 2 2 2 3" xfId="4143"/>
    <cellStyle name="Normal 78 3 2 2 3" xfId="2175"/>
    <cellStyle name="Normal 78 3 2 2 3 2" xfId="4799"/>
    <cellStyle name="Normal 78 3 2 2 4" xfId="3489"/>
    <cellStyle name="Normal 78 3 2 3" xfId="1202"/>
    <cellStyle name="Normal 78 3 2 3 2" xfId="2516"/>
    <cellStyle name="Normal 78 3 2 3 2 2" xfId="5140"/>
    <cellStyle name="Normal 78 3 2 3 3" xfId="3830"/>
    <cellStyle name="Normal 78 3 2 4" xfId="1862"/>
    <cellStyle name="Normal 78 3 2 4 2" xfId="4486"/>
    <cellStyle name="Normal 78 3 2 5" xfId="3176"/>
    <cellStyle name="Normal 78 3 3" xfId="719"/>
    <cellStyle name="Normal 78 3 3 2" xfId="1379"/>
    <cellStyle name="Normal 78 3 3 2 2" xfId="2692"/>
    <cellStyle name="Normal 78 3 3 2 2 2" xfId="5316"/>
    <cellStyle name="Normal 78 3 3 2 3" xfId="4006"/>
    <cellStyle name="Normal 78 3 3 3" xfId="2038"/>
    <cellStyle name="Normal 78 3 3 3 2" xfId="4662"/>
    <cellStyle name="Normal 78 3 3 4" xfId="3352"/>
    <cellStyle name="Normal 78 3 4" xfId="1064"/>
    <cellStyle name="Normal 78 3 4 2" xfId="2379"/>
    <cellStyle name="Normal 78 3 4 2 2" xfId="5003"/>
    <cellStyle name="Normal 78 3 4 3" xfId="3693"/>
    <cellStyle name="Normal 78 3 5" xfId="1724"/>
    <cellStyle name="Normal 78 3 5 2" xfId="4349"/>
    <cellStyle name="Normal 78 3 6" xfId="3038"/>
    <cellStyle name="Normal 78 4" xfId="301"/>
    <cellStyle name="Normal 78 4 2" xfId="531"/>
    <cellStyle name="Normal 78 4 2 2" xfId="859"/>
    <cellStyle name="Normal 78 4 2 2 2" xfId="1517"/>
    <cellStyle name="Normal 78 4 2 2 2 2" xfId="2830"/>
    <cellStyle name="Normal 78 4 2 2 2 2 2" xfId="5454"/>
    <cellStyle name="Normal 78 4 2 2 2 3" xfId="4144"/>
    <cellStyle name="Normal 78 4 2 2 3" xfId="2176"/>
    <cellStyle name="Normal 78 4 2 2 3 2" xfId="4800"/>
    <cellStyle name="Normal 78 4 2 2 4" xfId="3490"/>
    <cellStyle name="Normal 78 4 2 3" xfId="1203"/>
    <cellStyle name="Normal 78 4 2 3 2" xfId="2517"/>
    <cellStyle name="Normal 78 4 2 3 2 2" xfId="5141"/>
    <cellStyle name="Normal 78 4 2 3 3" xfId="3831"/>
    <cellStyle name="Normal 78 4 2 4" xfId="1863"/>
    <cellStyle name="Normal 78 4 2 4 2" xfId="4487"/>
    <cellStyle name="Normal 78 4 2 5" xfId="3177"/>
    <cellStyle name="Normal 78 4 3" xfId="720"/>
    <cellStyle name="Normal 78 4 3 2" xfId="1380"/>
    <cellStyle name="Normal 78 4 3 2 2" xfId="2693"/>
    <cellStyle name="Normal 78 4 3 2 2 2" xfId="5317"/>
    <cellStyle name="Normal 78 4 3 2 3" xfId="4007"/>
    <cellStyle name="Normal 78 4 3 3" xfId="2039"/>
    <cellStyle name="Normal 78 4 3 3 2" xfId="4663"/>
    <cellStyle name="Normal 78 4 3 4" xfId="3353"/>
    <cellStyle name="Normal 78 4 4" xfId="1065"/>
    <cellStyle name="Normal 78 4 4 2" xfId="2380"/>
    <cellStyle name="Normal 78 4 4 2 2" xfId="5004"/>
    <cellStyle name="Normal 78 4 4 3" xfId="3694"/>
    <cellStyle name="Normal 78 4 5" xfId="1725"/>
    <cellStyle name="Normal 78 4 5 2" xfId="4350"/>
    <cellStyle name="Normal 78 4 6" xfId="3039"/>
    <cellStyle name="Normal 78 5" xfId="302"/>
    <cellStyle name="Normal 78 5 2" xfId="532"/>
    <cellStyle name="Normal 78 5 2 2" xfId="860"/>
    <cellStyle name="Normal 78 5 2 2 2" xfId="1518"/>
    <cellStyle name="Normal 78 5 2 2 2 2" xfId="2831"/>
    <cellStyle name="Normal 78 5 2 2 2 2 2" xfId="5455"/>
    <cellStyle name="Normal 78 5 2 2 2 3" xfId="4145"/>
    <cellStyle name="Normal 78 5 2 2 3" xfId="2177"/>
    <cellStyle name="Normal 78 5 2 2 3 2" xfId="4801"/>
    <cellStyle name="Normal 78 5 2 2 4" xfId="3491"/>
    <cellStyle name="Normal 78 5 2 3" xfId="1204"/>
    <cellStyle name="Normal 78 5 2 3 2" xfId="2518"/>
    <cellStyle name="Normal 78 5 2 3 2 2" xfId="5142"/>
    <cellStyle name="Normal 78 5 2 3 3" xfId="3832"/>
    <cellStyle name="Normal 78 5 2 4" xfId="1864"/>
    <cellStyle name="Normal 78 5 2 4 2" xfId="4488"/>
    <cellStyle name="Normal 78 5 2 5" xfId="3178"/>
    <cellStyle name="Normal 78 5 3" xfId="721"/>
    <cellStyle name="Normal 78 5 3 2" xfId="1381"/>
    <cellStyle name="Normal 78 5 3 2 2" xfId="2694"/>
    <cellStyle name="Normal 78 5 3 2 2 2" xfId="5318"/>
    <cellStyle name="Normal 78 5 3 2 3" xfId="4008"/>
    <cellStyle name="Normal 78 5 3 3" xfId="2040"/>
    <cellStyle name="Normal 78 5 3 3 2" xfId="4664"/>
    <cellStyle name="Normal 78 5 3 4" xfId="3354"/>
    <cellStyle name="Normal 78 5 4" xfId="1066"/>
    <cellStyle name="Normal 78 5 4 2" xfId="2381"/>
    <cellStyle name="Normal 78 5 4 2 2" xfId="5005"/>
    <cellStyle name="Normal 78 5 4 3" xfId="3695"/>
    <cellStyle name="Normal 78 5 5" xfId="1726"/>
    <cellStyle name="Normal 78 5 5 2" xfId="4351"/>
    <cellStyle name="Normal 78 5 6" xfId="3040"/>
    <cellStyle name="Normal 78 6" xfId="303"/>
    <cellStyle name="Normal 78 6 2" xfId="533"/>
    <cellStyle name="Normal 78 6 2 2" xfId="861"/>
    <cellStyle name="Normal 78 6 2 2 2" xfId="1519"/>
    <cellStyle name="Normal 78 6 2 2 2 2" xfId="2832"/>
    <cellStyle name="Normal 78 6 2 2 2 2 2" xfId="5456"/>
    <cellStyle name="Normal 78 6 2 2 2 3" xfId="4146"/>
    <cellStyle name="Normal 78 6 2 2 3" xfId="2178"/>
    <cellStyle name="Normal 78 6 2 2 3 2" xfId="4802"/>
    <cellStyle name="Normal 78 6 2 2 4" xfId="3492"/>
    <cellStyle name="Normal 78 6 2 3" xfId="1205"/>
    <cellStyle name="Normal 78 6 2 3 2" xfId="2519"/>
    <cellStyle name="Normal 78 6 2 3 2 2" xfId="5143"/>
    <cellStyle name="Normal 78 6 2 3 3" xfId="3833"/>
    <cellStyle name="Normal 78 6 2 4" xfId="1865"/>
    <cellStyle name="Normal 78 6 2 4 2" xfId="4489"/>
    <cellStyle name="Normal 78 6 2 5" xfId="3179"/>
    <cellStyle name="Normal 78 6 3" xfId="722"/>
    <cellStyle name="Normal 78 6 3 2" xfId="1382"/>
    <cellStyle name="Normal 78 6 3 2 2" xfId="2695"/>
    <cellStyle name="Normal 78 6 3 2 2 2" xfId="5319"/>
    <cellStyle name="Normal 78 6 3 2 3" xfId="4009"/>
    <cellStyle name="Normal 78 6 3 3" xfId="2041"/>
    <cellStyle name="Normal 78 6 3 3 2" xfId="4665"/>
    <cellStyle name="Normal 78 6 3 4" xfId="3355"/>
    <cellStyle name="Normal 78 6 4" xfId="1067"/>
    <cellStyle name="Normal 78 6 4 2" xfId="2382"/>
    <cellStyle name="Normal 78 6 4 2 2" xfId="5006"/>
    <cellStyle name="Normal 78 6 4 3" xfId="3696"/>
    <cellStyle name="Normal 78 6 5" xfId="1727"/>
    <cellStyle name="Normal 78 6 5 2" xfId="4352"/>
    <cellStyle name="Normal 78 6 6" xfId="3041"/>
    <cellStyle name="Normal 78 7" xfId="304"/>
    <cellStyle name="Normal 78 7 2" xfId="534"/>
    <cellStyle name="Normal 78 7 2 2" xfId="862"/>
    <cellStyle name="Normal 78 7 2 2 2" xfId="1520"/>
    <cellStyle name="Normal 78 7 2 2 2 2" xfId="2833"/>
    <cellStyle name="Normal 78 7 2 2 2 2 2" xfId="5457"/>
    <cellStyle name="Normal 78 7 2 2 2 3" xfId="4147"/>
    <cellStyle name="Normal 78 7 2 2 3" xfId="2179"/>
    <cellStyle name="Normal 78 7 2 2 3 2" xfId="4803"/>
    <cellStyle name="Normal 78 7 2 2 4" xfId="3493"/>
    <cellStyle name="Normal 78 7 2 3" xfId="1206"/>
    <cellStyle name="Normal 78 7 2 3 2" xfId="2520"/>
    <cellStyle name="Normal 78 7 2 3 2 2" xfId="5144"/>
    <cellStyle name="Normal 78 7 2 3 3" xfId="3834"/>
    <cellStyle name="Normal 78 7 2 4" xfId="1866"/>
    <cellStyle name="Normal 78 7 2 4 2" xfId="4490"/>
    <cellStyle name="Normal 78 7 2 5" xfId="3180"/>
    <cellStyle name="Normal 78 7 3" xfId="723"/>
    <cellStyle name="Normal 78 7 3 2" xfId="1383"/>
    <cellStyle name="Normal 78 7 3 2 2" xfId="2696"/>
    <cellStyle name="Normal 78 7 3 2 2 2" xfId="5320"/>
    <cellStyle name="Normal 78 7 3 2 3" xfId="4010"/>
    <cellStyle name="Normal 78 7 3 3" xfId="2042"/>
    <cellStyle name="Normal 78 7 3 3 2" xfId="4666"/>
    <cellStyle name="Normal 78 7 3 4" xfId="3356"/>
    <cellStyle name="Normal 78 7 4" xfId="1068"/>
    <cellStyle name="Normal 78 7 4 2" xfId="2383"/>
    <cellStyle name="Normal 78 7 4 2 2" xfId="5007"/>
    <cellStyle name="Normal 78 7 4 3" xfId="3697"/>
    <cellStyle name="Normal 78 7 5" xfId="1728"/>
    <cellStyle name="Normal 78 7 5 2" xfId="4353"/>
    <cellStyle name="Normal 78 7 6" xfId="3042"/>
    <cellStyle name="Normal 78 8" xfId="305"/>
    <cellStyle name="Normal 78 8 2" xfId="535"/>
    <cellStyle name="Normal 78 8 2 2" xfId="863"/>
    <cellStyle name="Normal 78 8 2 2 2" xfId="1521"/>
    <cellStyle name="Normal 78 8 2 2 2 2" xfId="2834"/>
    <cellStyle name="Normal 78 8 2 2 2 2 2" xfId="5458"/>
    <cellStyle name="Normal 78 8 2 2 2 3" xfId="4148"/>
    <cellStyle name="Normal 78 8 2 2 3" xfId="2180"/>
    <cellStyle name="Normal 78 8 2 2 3 2" xfId="4804"/>
    <cellStyle name="Normal 78 8 2 2 4" xfId="3494"/>
    <cellStyle name="Normal 78 8 2 3" xfId="1207"/>
    <cellStyle name="Normal 78 8 2 3 2" xfId="2521"/>
    <cellStyle name="Normal 78 8 2 3 2 2" xfId="5145"/>
    <cellStyle name="Normal 78 8 2 3 3" xfId="3835"/>
    <cellStyle name="Normal 78 8 2 4" xfId="1867"/>
    <cellStyle name="Normal 78 8 2 4 2" xfId="4491"/>
    <cellStyle name="Normal 78 8 2 5" xfId="3181"/>
    <cellStyle name="Normal 78 8 3" xfId="724"/>
    <cellStyle name="Normal 78 8 3 2" xfId="1384"/>
    <cellStyle name="Normal 78 8 3 2 2" xfId="2697"/>
    <cellStyle name="Normal 78 8 3 2 2 2" xfId="5321"/>
    <cellStyle name="Normal 78 8 3 2 3" xfId="4011"/>
    <cellStyle name="Normal 78 8 3 3" xfId="2043"/>
    <cellStyle name="Normal 78 8 3 3 2" xfId="4667"/>
    <cellStyle name="Normal 78 8 3 4" xfId="3357"/>
    <cellStyle name="Normal 78 8 4" xfId="1069"/>
    <cellStyle name="Normal 78 8 4 2" xfId="2384"/>
    <cellStyle name="Normal 78 8 4 2 2" xfId="5008"/>
    <cellStyle name="Normal 78 8 4 3" xfId="3698"/>
    <cellStyle name="Normal 78 8 5" xfId="1729"/>
    <cellStyle name="Normal 78 8 5 2" xfId="4354"/>
    <cellStyle name="Normal 78 8 6" xfId="3043"/>
    <cellStyle name="Normal 79 2" xfId="306"/>
    <cellStyle name="Normal 79 2 2" xfId="536"/>
    <cellStyle name="Normal 79 2 2 2" xfId="864"/>
    <cellStyle name="Normal 79 2 2 2 2" xfId="1522"/>
    <cellStyle name="Normal 79 2 2 2 2 2" xfId="2835"/>
    <cellStyle name="Normal 79 2 2 2 2 2 2" xfId="5459"/>
    <cellStyle name="Normal 79 2 2 2 2 3" xfId="4149"/>
    <cellStyle name="Normal 79 2 2 2 3" xfId="2181"/>
    <cellStyle name="Normal 79 2 2 2 3 2" xfId="4805"/>
    <cellStyle name="Normal 79 2 2 2 4" xfId="3495"/>
    <cellStyle name="Normal 79 2 2 3" xfId="1208"/>
    <cellStyle name="Normal 79 2 2 3 2" xfId="2522"/>
    <cellStyle name="Normal 79 2 2 3 2 2" xfId="5146"/>
    <cellStyle name="Normal 79 2 2 3 3" xfId="3836"/>
    <cellStyle name="Normal 79 2 2 4" xfId="1868"/>
    <cellStyle name="Normal 79 2 2 4 2" xfId="4492"/>
    <cellStyle name="Normal 79 2 2 5" xfId="3182"/>
    <cellStyle name="Normal 79 2 3" xfId="725"/>
    <cellStyle name="Normal 79 2 3 2" xfId="1385"/>
    <cellStyle name="Normal 79 2 3 2 2" xfId="2698"/>
    <cellStyle name="Normal 79 2 3 2 2 2" xfId="5322"/>
    <cellStyle name="Normal 79 2 3 2 3" xfId="4012"/>
    <cellStyle name="Normal 79 2 3 3" xfId="2044"/>
    <cellStyle name="Normal 79 2 3 3 2" xfId="4668"/>
    <cellStyle name="Normal 79 2 3 4" xfId="3358"/>
    <cellStyle name="Normal 79 2 4" xfId="1070"/>
    <cellStyle name="Normal 79 2 4 2" xfId="2385"/>
    <cellStyle name="Normal 79 2 4 2 2" xfId="5009"/>
    <cellStyle name="Normal 79 2 4 3" xfId="3699"/>
    <cellStyle name="Normal 79 2 5" xfId="1730"/>
    <cellStyle name="Normal 79 2 5 2" xfId="4355"/>
    <cellStyle name="Normal 79 2 6" xfId="3044"/>
    <cellStyle name="Normal 79 3" xfId="307"/>
    <cellStyle name="Normal 79 3 2" xfId="537"/>
    <cellStyle name="Normal 79 3 2 2" xfId="865"/>
    <cellStyle name="Normal 79 3 2 2 2" xfId="1523"/>
    <cellStyle name="Normal 79 3 2 2 2 2" xfId="2836"/>
    <cellStyle name="Normal 79 3 2 2 2 2 2" xfId="5460"/>
    <cellStyle name="Normal 79 3 2 2 2 3" xfId="4150"/>
    <cellStyle name="Normal 79 3 2 2 3" xfId="2182"/>
    <cellStyle name="Normal 79 3 2 2 3 2" xfId="4806"/>
    <cellStyle name="Normal 79 3 2 2 4" xfId="3496"/>
    <cellStyle name="Normal 79 3 2 3" xfId="1209"/>
    <cellStyle name="Normal 79 3 2 3 2" xfId="2523"/>
    <cellStyle name="Normal 79 3 2 3 2 2" xfId="5147"/>
    <cellStyle name="Normal 79 3 2 3 3" xfId="3837"/>
    <cellStyle name="Normal 79 3 2 4" xfId="1869"/>
    <cellStyle name="Normal 79 3 2 4 2" xfId="4493"/>
    <cellStyle name="Normal 79 3 2 5" xfId="3183"/>
    <cellStyle name="Normal 79 3 3" xfId="726"/>
    <cellStyle name="Normal 79 3 3 2" xfId="1386"/>
    <cellStyle name="Normal 79 3 3 2 2" xfId="2699"/>
    <cellStyle name="Normal 79 3 3 2 2 2" xfId="5323"/>
    <cellStyle name="Normal 79 3 3 2 3" xfId="4013"/>
    <cellStyle name="Normal 79 3 3 3" xfId="2045"/>
    <cellStyle name="Normal 79 3 3 3 2" xfId="4669"/>
    <cellStyle name="Normal 79 3 3 4" xfId="3359"/>
    <cellStyle name="Normal 79 3 4" xfId="1071"/>
    <cellStyle name="Normal 79 3 4 2" xfId="2386"/>
    <cellStyle name="Normal 79 3 4 2 2" xfId="5010"/>
    <cellStyle name="Normal 79 3 4 3" xfId="3700"/>
    <cellStyle name="Normal 79 3 5" xfId="1731"/>
    <cellStyle name="Normal 79 3 5 2" xfId="4356"/>
    <cellStyle name="Normal 79 3 6" xfId="3045"/>
    <cellStyle name="Normal 79 4" xfId="308"/>
    <cellStyle name="Normal 79 4 2" xfId="538"/>
    <cellStyle name="Normal 79 4 2 2" xfId="866"/>
    <cellStyle name="Normal 79 4 2 2 2" xfId="1524"/>
    <cellStyle name="Normal 79 4 2 2 2 2" xfId="2837"/>
    <cellStyle name="Normal 79 4 2 2 2 2 2" xfId="5461"/>
    <cellStyle name="Normal 79 4 2 2 2 3" xfId="4151"/>
    <cellStyle name="Normal 79 4 2 2 3" xfId="2183"/>
    <cellStyle name="Normal 79 4 2 2 3 2" xfId="4807"/>
    <cellStyle name="Normal 79 4 2 2 4" xfId="3497"/>
    <cellStyle name="Normal 79 4 2 3" xfId="1210"/>
    <cellStyle name="Normal 79 4 2 3 2" xfId="2524"/>
    <cellStyle name="Normal 79 4 2 3 2 2" xfId="5148"/>
    <cellStyle name="Normal 79 4 2 3 3" xfId="3838"/>
    <cellStyle name="Normal 79 4 2 4" xfId="1870"/>
    <cellStyle name="Normal 79 4 2 4 2" xfId="4494"/>
    <cellStyle name="Normal 79 4 2 5" xfId="3184"/>
    <cellStyle name="Normal 79 4 3" xfId="727"/>
    <cellStyle name="Normal 79 4 3 2" xfId="1387"/>
    <cellStyle name="Normal 79 4 3 2 2" xfId="2700"/>
    <cellStyle name="Normal 79 4 3 2 2 2" xfId="5324"/>
    <cellStyle name="Normal 79 4 3 2 3" xfId="4014"/>
    <cellStyle name="Normal 79 4 3 3" xfId="2046"/>
    <cellStyle name="Normal 79 4 3 3 2" xfId="4670"/>
    <cellStyle name="Normal 79 4 3 4" xfId="3360"/>
    <cellStyle name="Normal 79 4 4" xfId="1072"/>
    <cellStyle name="Normal 79 4 4 2" xfId="2387"/>
    <cellStyle name="Normal 79 4 4 2 2" xfId="5011"/>
    <cellStyle name="Normal 79 4 4 3" xfId="3701"/>
    <cellStyle name="Normal 79 4 5" xfId="1732"/>
    <cellStyle name="Normal 79 4 5 2" xfId="4357"/>
    <cellStyle name="Normal 79 4 6" xfId="3046"/>
    <cellStyle name="Normal 79 5" xfId="309"/>
    <cellStyle name="Normal 79 5 2" xfId="539"/>
    <cellStyle name="Normal 79 5 2 2" xfId="867"/>
    <cellStyle name="Normal 79 5 2 2 2" xfId="1525"/>
    <cellStyle name="Normal 79 5 2 2 2 2" xfId="2838"/>
    <cellStyle name="Normal 79 5 2 2 2 2 2" xfId="5462"/>
    <cellStyle name="Normal 79 5 2 2 2 3" xfId="4152"/>
    <cellStyle name="Normal 79 5 2 2 3" xfId="2184"/>
    <cellStyle name="Normal 79 5 2 2 3 2" xfId="4808"/>
    <cellStyle name="Normal 79 5 2 2 4" xfId="3498"/>
    <cellStyle name="Normal 79 5 2 3" xfId="1211"/>
    <cellStyle name="Normal 79 5 2 3 2" xfId="2525"/>
    <cellStyle name="Normal 79 5 2 3 2 2" xfId="5149"/>
    <cellStyle name="Normal 79 5 2 3 3" xfId="3839"/>
    <cellStyle name="Normal 79 5 2 4" xfId="1871"/>
    <cellStyle name="Normal 79 5 2 4 2" xfId="4495"/>
    <cellStyle name="Normal 79 5 2 5" xfId="3185"/>
    <cellStyle name="Normal 79 5 3" xfId="728"/>
    <cellStyle name="Normal 79 5 3 2" xfId="1388"/>
    <cellStyle name="Normal 79 5 3 2 2" xfId="2701"/>
    <cellStyle name="Normal 79 5 3 2 2 2" xfId="5325"/>
    <cellStyle name="Normal 79 5 3 2 3" xfId="4015"/>
    <cellStyle name="Normal 79 5 3 3" xfId="2047"/>
    <cellStyle name="Normal 79 5 3 3 2" xfId="4671"/>
    <cellStyle name="Normal 79 5 3 4" xfId="3361"/>
    <cellStyle name="Normal 79 5 4" xfId="1073"/>
    <cellStyle name="Normal 79 5 4 2" xfId="2388"/>
    <cellStyle name="Normal 79 5 4 2 2" xfId="5012"/>
    <cellStyle name="Normal 79 5 4 3" xfId="3702"/>
    <cellStyle name="Normal 79 5 5" xfId="1733"/>
    <cellStyle name="Normal 79 5 5 2" xfId="4358"/>
    <cellStyle name="Normal 79 5 6" xfId="3047"/>
    <cellStyle name="Normal 79 6" xfId="310"/>
    <cellStyle name="Normal 79 6 2" xfId="540"/>
    <cellStyle name="Normal 79 6 2 2" xfId="868"/>
    <cellStyle name="Normal 79 6 2 2 2" xfId="1526"/>
    <cellStyle name="Normal 79 6 2 2 2 2" xfId="2839"/>
    <cellStyle name="Normal 79 6 2 2 2 2 2" xfId="5463"/>
    <cellStyle name="Normal 79 6 2 2 2 3" xfId="4153"/>
    <cellStyle name="Normal 79 6 2 2 3" xfId="2185"/>
    <cellStyle name="Normal 79 6 2 2 3 2" xfId="4809"/>
    <cellStyle name="Normal 79 6 2 2 4" xfId="3499"/>
    <cellStyle name="Normal 79 6 2 3" xfId="1212"/>
    <cellStyle name="Normal 79 6 2 3 2" xfId="2526"/>
    <cellStyle name="Normal 79 6 2 3 2 2" xfId="5150"/>
    <cellStyle name="Normal 79 6 2 3 3" xfId="3840"/>
    <cellStyle name="Normal 79 6 2 4" xfId="1872"/>
    <cellStyle name="Normal 79 6 2 4 2" xfId="4496"/>
    <cellStyle name="Normal 79 6 2 5" xfId="3186"/>
    <cellStyle name="Normal 79 6 3" xfId="729"/>
    <cellStyle name="Normal 79 6 3 2" xfId="1389"/>
    <cellStyle name="Normal 79 6 3 2 2" xfId="2702"/>
    <cellStyle name="Normal 79 6 3 2 2 2" xfId="5326"/>
    <cellStyle name="Normal 79 6 3 2 3" xfId="4016"/>
    <cellStyle name="Normal 79 6 3 3" xfId="2048"/>
    <cellStyle name="Normal 79 6 3 3 2" xfId="4672"/>
    <cellStyle name="Normal 79 6 3 4" xfId="3362"/>
    <cellStyle name="Normal 79 6 4" xfId="1074"/>
    <cellStyle name="Normal 79 6 4 2" xfId="2389"/>
    <cellStyle name="Normal 79 6 4 2 2" xfId="5013"/>
    <cellStyle name="Normal 79 6 4 3" xfId="3703"/>
    <cellStyle name="Normal 79 6 5" xfId="1734"/>
    <cellStyle name="Normal 79 6 5 2" xfId="4359"/>
    <cellStyle name="Normal 79 6 6" xfId="3048"/>
    <cellStyle name="Normal 79 7" xfId="311"/>
    <cellStyle name="Normal 79 7 2" xfId="541"/>
    <cellStyle name="Normal 79 7 2 2" xfId="869"/>
    <cellStyle name="Normal 79 7 2 2 2" xfId="1527"/>
    <cellStyle name="Normal 79 7 2 2 2 2" xfId="2840"/>
    <cellStyle name="Normal 79 7 2 2 2 2 2" xfId="5464"/>
    <cellStyle name="Normal 79 7 2 2 2 3" xfId="4154"/>
    <cellStyle name="Normal 79 7 2 2 3" xfId="2186"/>
    <cellStyle name="Normal 79 7 2 2 3 2" xfId="4810"/>
    <cellStyle name="Normal 79 7 2 2 4" xfId="3500"/>
    <cellStyle name="Normal 79 7 2 3" xfId="1213"/>
    <cellStyle name="Normal 79 7 2 3 2" xfId="2527"/>
    <cellStyle name="Normal 79 7 2 3 2 2" xfId="5151"/>
    <cellStyle name="Normal 79 7 2 3 3" xfId="3841"/>
    <cellStyle name="Normal 79 7 2 4" xfId="1873"/>
    <cellStyle name="Normal 79 7 2 4 2" xfId="4497"/>
    <cellStyle name="Normal 79 7 2 5" xfId="3187"/>
    <cellStyle name="Normal 79 7 3" xfId="730"/>
    <cellStyle name="Normal 79 7 3 2" xfId="1390"/>
    <cellStyle name="Normal 79 7 3 2 2" xfId="2703"/>
    <cellStyle name="Normal 79 7 3 2 2 2" xfId="5327"/>
    <cellStyle name="Normal 79 7 3 2 3" xfId="4017"/>
    <cellStyle name="Normal 79 7 3 3" xfId="2049"/>
    <cellStyle name="Normal 79 7 3 3 2" xfId="4673"/>
    <cellStyle name="Normal 79 7 3 4" xfId="3363"/>
    <cellStyle name="Normal 79 7 4" xfId="1075"/>
    <cellStyle name="Normal 79 7 4 2" xfId="2390"/>
    <cellStyle name="Normal 79 7 4 2 2" xfId="5014"/>
    <cellStyle name="Normal 79 7 4 3" xfId="3704"/>
    <cellStyle name="Normal 79 7 5" xfId="1735"/>
    <cellStyle name="Normal 79 7 5 2" xfId="4360"/>
    <cellStyle name="Normal 79 7 6" xfId="3049"/>
    <cellStyle name="Normal 79 8" xfId="312"/>
    <cellStyle name="Normal 79 8 2" xfId="542"/>
    <cellStyle name="Normal 79 8 2 2" xfId="870"/>
    <cellStyle name="Normal 79 8 2 2 2" xfId="1528"/>
    <cellStyle name="Normal 79 8 2 2 2 2" xfId="2841"/>
    <cellStyle name="Normal 79 8 2 2 2 2 2" xfId="5465"/>
    <cellStyle name="Normal 79 8 2 2 2 3" xfId="4155"/>
    <cellStyle name="Normal 79 8 2 2 3" xfId="2187"/>
    <cellStyle name="Normal 79 8 2 2 3 2" xfId="4811"/>
    <cellStyle name="Normal 79 8 2 2 4" xfId="3501"/>
    <cellStyle name="Normal 79 8 2 3" xfId="1214"/>
    <cellStyle name="Normal 79 8 2 3 2" xfId="2528"/>
    <cellStyle name="Normal 79 8 2 3 2 2" xfId="5152"/>
    <cellStyle name="Normal 79 8 2 3 3" xfId="3842"/>
    <cellStyle name="Normal 79 8 2 4" xfId="1874"/>
    <cellStyle name="Normal 79 8 2 4 2" xfId="4498"/>
    <cellStyle name="Normal 79 8 2 5" xfId="3188"/>
    <cellStyle name="Normal 79 8 3" xfId="731"/>
    <cellStyle name="Normal 79 8 3 2" xfId="1391"/>
    <cellStyle name="Normal 79 8 3 2 2" xfId="2704"/>
    <cellStyle name="Normal 79 8 3 2 2 2" xfId="5328"/>
    <cellStyle name="Normal 79 8 3 2 3" xfId="4018"/>
    <cellStyle name="Normal 79 8 3 3" xfId="2050"/>
    <cellStyle name="Normal 79 8 3 3 2" xfId="4674"/>
    <cellStyle name="Normal 79 8 3 4" xfId="3364"/>
    <cellStyle name="Normal 79 8 4" xfId="1076"/>
    <cellStyle name="Normal 79 8 4 2" xfId="2391"/>
    <cellStyle name="Normal 79 8 4 2 2" xfId="5015"/>
    <cellStyle name="Normal 79 8 4 3" xfId="3705"/>
    <cellStyle name="Normal 79 8 5" xfId="1736"/>
    <cellStyle name="Normal 79 8 5 2" xfId="4361"/>
    <cellStyle name="Normal 79 8 6" xfId="3050"/>
    <cellStyle name="Normal 8" xfId="981"/>
    <cellStyle name="Normal 8 2" xfId="1638"/>
    <cellStyle name="Normal 8 2 2" xfId="2951"/>
    <cellStyle name="Normal 8 2 2 2" xfId="5575"/>
    <cellStyle name="Normal 8 2 3" xfId="4265"/>
    <cellStyle name="Normal 8 3" xfId="2297"/>
    <cellStyle name="Normal 8 3 2" xfId="4921"/>
    <cellStyle name="Normal 8 4" xfId="3611"/>
    <cellStyle name="Normal 9" xfId="995"/>
    <cellStyle name="Normal 9 2" xfId="2311"/>
    <cellStyle name="Normal 9 2 2" xfId="4935"/>
    <cellStyle name="Normal 9 3" xfId="3625"/>
    <cellStyle name="Note 10" xfId="635"/>
    <cellStyle name="Note 10 2" xfId="953"/>
    <cellStyle name="Note 10 2 2" xfId="1611"/>
    <cellStyle name="Note 10 2 2 2" xfId="2924"/>
    <cellStyle name="Note 10 2 2 2 2" xfId="5548"/>
    <cellStyle name="Note 10 2 2 3" xfId="4238"/>
    <cellStyle name="Note 10 2 3" xfId="2270"/>
    <cellStyle name="Note 10 2 3 2" xfId="4894"/>
    <cellStyle name="Note 10 2 4" xfId="3584"/>
    <cellStyle name="Note 10 3" xfId="1297"/>
    <cellStyle name="Note 10 3 2" xfId="2611"/>
    <cellStyle name="Note 10 3 2 2" xfId="5235"/>
    <cellStyle name="Note 10 3 3" xfId="3925"/>
    <cellStyle name="Note 10 4" xfId="1957"/>
    <cellStyle name="Note 10 4 2" xfId="4581"/>
    <cellStyle name="Note 10 5" xfId="3271"/>
    <cellStyle name="Note 11" xfId="649"/>
    <cellStyle name="Note 11 2" xfId="966"/>
    <cellStyle name="Note 11 2 2" xfId="1624"/>
    <cellStyle name="Note 11 2 2 2" xfId="2937"/>
    <cellStyle name="Note 11 2 2 2 2" xfId="5561"/>
    <cellStyle name="Note 11 2 2 3" xfId="4251"/>
    <cellStyle name="Note 11 2 3" xfId="2283"/>
    <cellStyle name="Note 11 2 3 2" xfId="4907"/>
    <cellStyle name="Note 11 2 4" xfId="3597"/>
    <cellStyle name="Note 11 3" xfId="1311"/>
    <cellStyle name="Note 11 3 2" xfId="2624"/>
    <cellStyle name="Note 11 3 2 2" xfId="5248"/>
    <cellStyle name="Note 11 3 3" xfId="3938"/>
    <cellStyle name="Note 11 4" xfId="1970"/>
    <cellStyle name="Note 11 4 2" xfId="4594"/>
    <cellStyle name="Note 11 5" xfId="3284"/>
    <cellStyle name="Note 12" xfId="982"/>
    <cellStyle name="Note 12 2" xfId="1639"/>
    <cellStyle name="Note 12 2 2" xfId="2952"/>
    <cellStyle name="Note 12 2 2 2" xfId="5576"/>
    <cellStyle name="Note 12 2 3" xfId="4266"/>
    <cellStyle name="Note 12 3" xfId="2298"/>
    <cellStyle name="Note 12 3 2" xfId="4922"/>
    <cellStyle name="Note 12 4" xfId="3612"/>
    <cellStyle name="Note 13" xfId="996"/>
    <cellStyle name="Note 13 2" xfId="2312"/>
    <cellStyle name="Note 13 2 2" xfId="4936"/>
    <cellStyle name="Note 13 3" xfId="3626"/>
    <cellStyle name="Note 14" xfId="1652"/>
    <cellStyle name="Note 14 2" xfId="2965"/>
    <cellStyle name="Note 14 2 2" xfId="5589"/>
    <cellStyle name="Note 14 3" xfId="4279"/>
    <cellStyle name="Note 15" xfId="1667"/>
    <cellStyle name="Note 15 2" xfId="4294"/>
    <cellStyle name="Note 16" xfId="2980"/>
    <cellStyle name="Note 2" xfId="64"/>
    <cellStyle name="Note 2 10" xfId="314"/>
    <cellStyle name="Note 2 10 2" xfId="544"/>
    <cellStyle name="Note 2 10 2 2" xfId="872"/>
    <cellStyle name="Note 2 10 2 2 2" xfId="1530"/>
    <cellStyle name="Note 2 10 2 2 2 2" xfId="2843"/>
    <cellStyle name="Note 2 10 2 2 2 2 2" xfId="5467"/>
    <cellStyle name="Note 2 10 2 2 2 3" xfId="4157"/>
    <cellStyle name="Note 2 10 2 2 3" xfId="2189"/>
    <cellStyle name="Note 2 10 2 2 3 2" xfId="4813"/>
    <cellStyle name="Note 2 10 2 2 4" xfId="3503"/>
    <cellStyle name="Note 2 10 2 3" xfId="1216"/>
    <cellStyle name="Note 2 10 2 3 2" xfId="2530"/>
    <cellStyle name="Note 2 10 2 3 2 2" xfId="5154"/>
    <cellStyle name="Note 2 10 2 3 3" xfId="3844"/>
    <cellStyle name="Note 2 10 2 4" xfId="1876"/>
    <cellStyle name="Note 2 10 2 4 2" xfId="4500"/>
    <cellStyle name="Note 2 10 2 5" xfId="3190"/>
    <cellStyle name="Note 2 10 3" xfId="733"/>
    <cellStyle name="Note 2 10 3 2" xfId="1393"/>
    <cellStyle name="Note 2 10 3 2 2" xfId="2706"/>
    <cellStyle name="Note 2 10 3 2 2 2" xfId="5330"/>
    <cellStyle name="Note 2 10 3 2 3" xfId="4020"/>
    <cellStyle name="Note 2 10 3 3" xfId="2052"/>
    <cellStyle name="Note 2 10 3 3 2" xfId="4676"/>
    <cellStyle name="Note 2 10 3 4" xfId="3366"/>
    <cellStyle name="Note 2 10 4" xfId="1078"/>
    <cellStyle name="Note 2 10 4 2" xfId="2393"/>
    <cellStyle name="Note 2 10 4 2 2" xfId="5017"/>
    <cellStyle name="Note 2 10 4 3" xfId="3707"/>
    <cellStyle name="Note 2 10 5" xfId="1738"/>
    <cellStyle name="Note 2 10 5 2" xfId="4363"/>
    <cellStyle name="Note 2 10 6" xfId="3052"/>
    <cellStyle name="Note 2 11" xfId="315"/>
    <cellStyle name="Note 2 11 2" xfId="545"/>
    <cellStyle name="Note 2 11 2 2" xfId="873"/>
    <cellStyle name="Note 2 11 2 2 2" xfId="1531"/>
    <cellStyle name="Note 2 11 2 2 2 2" xfId="2844"/>
    <cellStyle name="Note 2 11 2 2 2 2 2" xfId="5468"/>
    <cellStyle name="Note 2 11 2 2 2 3" xfId="4158"/>
    <cellStyle name="Note 2 11 2 2 3" xfId="2190"/>
    <cellStyle name="Note 2 11 2 2 3 2" xfId="4814"/>
    <cellStyle name="Note 2 11 2 2 4" xfId="3504"/>
    <cellStyle name="Note 2 11 2 3" xfId="1217"/>
    <cellStyle name="Note 2 11 2 3 2" xfId="2531"/>
    <cellStyle name="Note 2 11 2 3 2 2" xfId="5155"/>
    <cellStyle name="Note 2 11 2 3 3" xfId="3845"/>
    <cellStyle name="Note 2 11 2 4" xfId="1877"/>
    <cellStyle name="Note 2 11 2 4 2" xfId="4501"/>
    <cellStyle name="Note 2 11 2 5" xfId="3191"/>
    <cellStyle name="Note 2 11 3" xfId="734"/>
    <cellStyle name="Note 2 11 3 2" xfId="1394"/>
    <cellStyle name="Note 2 11 3 2 2" xfId="2707"/>
    <cellStyle name="Note 2 11 3 2 2 2" xfId="5331"/>
    <cellStyle name="Note 2 11 3 2 3" xfId="4021"/>
    <cellStyle name="Note 2 11 3 3" xfId="2053"/>
    <cellStyle name="Note 2 11 3 3 2" xfId="4677"/>
    <cellStyle name="Note 2 11 3 4" xfId="3367"/>
    <cellStyle name="Note 2 11 4" xfId="1079"/>
    <cellStyle name="Note 2 11 4 2" xfId="2394"/>
    <cellStyle name="Note 2 11 4 2 2" xfId="5018"/>
    <cellStyle name="Note 2 11 4 3" xfId="3708"/>
    <cellStyle name="Note 2 11 5" xfId="1739"/>
    <cellStyle name="Note 2 11 5 2" xfId="4364"/>
    <cellStyle name="Note 2 11 6" xfId="3053"/>
    <cellStyle name="Note 2 12" xfId="316"/>
    <cellStyle name="Note 2 12 2" xfId="546"/>
    <cellStyle name="Note 2 12 2 2" xfId="874"/>
    <cellStyle name="Note 2 12 2 2 2" xfId="1532"/>
    <cellStyle name="Note 2 12 2 2 2 2" xfId="2845"/>
    <cellStyle name="Note 2 12 2 2 2 2 2" xfId="5469"/>
    <cellStyle name="Note 2 12 2 2 2 3" xfId="4159"/>
    <cellStyle name="Note 2 12 2 2 3" xfId="2191"/>
    <cellStyle name="Note 2 12 2 2 3 2" xfId="4815"/>
    <cellStyle name="Note 2 12 2 2 4" xfId="3505"/>
    <cellStyle name="Note 2 12 2 3" xfId="1218"/>
    <cellStyle name="Note 2 12 2 3 2" xfId="2532"/>
    <cellStyle name="Note 2 12 2 3 2 2" xfId="5156"/>
    <cellStyle name="Note 2 12 2 3 3" xfId="3846"/>
    <cellStyle name="Note 2 12 2 4" xfId="1878"/>
    <cellStyle name="Note 2 12 2 4 2" xfId="4502"/>
    <cellStyle name="Note 2 12 2 5" xfId="3192"/>
    <cellStyle name="Note 2 12 3" xfId="735"/>
    <cellStyle name="Note 2 12 3 2" xfId="1395"/>
    <cellStyle name="Note 2 12 3 2 2" xfId="2708"/>
    <cellStyle name="Note 2 12 3 2 2 2" xfId="5332"/>
    <cellStyle name="Note 2 12 3 2 3" xfId="4022"/>
    <cellStyle name="Note 2 12 3 3" xfId="2054"/>
    <cellStyle name="Note 2 12 3 3 2" xfId="4678"/>
    <cellStyle name="Note 2 12 3 4" xfId="3368"/>
    <cellStyle name="Note 2 12 4" xfId="1080"/>
    <cellStyle name="Note 2 12 4 2" xfId="2395"/>
    <cellStyle name="Note 2 12 4 2 2" xfId="5019"/>
    <cellStyle name="Note 2 12 4 3" xfId="3709"/>
    <cellStyle name="Note 2 12 5" xfId="1740"/>
    <cellStyle name="Note 2 12 5 2" xfId="4365"/>
    <cellStyle name="Note 2 12 6" xfId="3054"/>
    <cellStyle name="Note 2 13" xfId="317"/>
    <cellStyle name="Note 2 13 2" xfId="547"/>
    <cellStyle name="Note 2 13 2 2" xfId="875"/>
    <cellStyle name="Note 2 13 2 2 2" xfId="1533"/>
    <cellStyle name="Note 2 13 2 2 2 2" xfId="2846"/>
    <cellStyle name="Note 2 13 2 2 2 2 2" xfId="5470"/>
    <cellStyle name="Note 2 13 2 2 2 3" xfId="4160"/>
    <cellStyle name="Note 2 13 2 2 3" xfId="2192"/>
    <cellStyle name="Note 2 13 2 2 3 2" xfId="4816"/>
    <cellStyle name="Note 2 13 2 2 4" xfId="3506"/>
    <cellStyle name="Note 2 13 2 3" xfId="1219"/>
    <cellStyle name="Note 2 13 2 3 2" xfId="2533"/>
    <cellStyle name="Note 2 13 2 3 2 2" xfId="5157"/>
    <cellStyle name="Note 2 13 2 3 3" xfId="3847"/>
    <cellStyle name="Note 2 13 2 4" xfId="1879"/>
    <cellStyle name="Note 2 13 2 4 2" xfId="4503"/>
    <cellStyle name="Note 2 13 2 5" xfId="3193"/>
    <cellStyle name="Note 2 13 3" xfId="736"/>
    <cellStyle name="Note 2 13 3 2" xfId="1396"/>
    <cellStyle name="Note 2 13 3 2 2" xfId="2709"/>
    <cellStyle name="Note 2 13 3 2 2 2" xfId="5333"/>
    <cellStyle name="Note 2 13 3 2 3" xfId="4023"/>
    <cellStyle name="Note 2 13 3 3" xfId="2055"/>
    <cellStyle name="Note 2 13 3 3 2" xfId="4679"/>
    <cellStyle name="Note 2 13 3 4" xfId="3369"/>
    <cellStyle name="Note 2 13 4" xfId="1081"/>
    <cellStyle name="Note 2 13 4 2" xfId="2396"/>
    <cellStyle name="Note 2 13 4 2 2" xfId="5020"/>
    <cellStyle name="Note 2 13 4 3" xfId="3710"/>
    <cellStyle name="Note 2 13 5" xfId="1741"/>
    <cellStyle name="Note 2 13 5 2" xfId="4366"/>
    <cellStyle name="Note 2 13 6" xfId="3055"/>
    <cellStyle name="Note 2 14" xfId="318"/>
    <cellStyle name="Note 2 14 2" xfId="548"/>
    <cellStyle name="Note 2 14 2 2" xfId="876"/>
    <cellStyle name="Note 2 14 2 2 2" xfId="1534"/>
    <cellStyle name="Note 2 14 2 2 2 2" xfId="2847"/>
    <cellStyle name="Note 2 14 2 2 2 2 2" xfId="5471"/>
    <cellStyle name="Note 2 14 2 2 2 3" xfId="4161"/>
    <cellStyle name="Note 2 14 2 2 3" xfId="2193"/>
    <cellStyle name="Note 2 14 2 2 3 2" xfId="4817"/>
    <cellStyle name="Note 2 14 2 2 4" xfId="3507"/>
    <cellStyle name="Note 2 14 2 3" xfId="1220"/>
    <cellStyle name="Note 2 14 2 3 2" xfId="2534"/>
    <cellStyle name="Note 2 14 2 3 2 2" xfId="5158"/>
    <cellStyle name="Note 2 14 2 3 3" xfId="3848"/>
    <cellStyle name="Note 2 14 2 4" xfId="1880"/>
    <cellStyle name="Note 2 14 2 4 2" xfId="4504"/>
    <cellStyle name="Note 2 14 2 5" xfId="3194"/>
    <cellStyle name="Note 2 14 3" xfId="737"/>
    <cellStyle name="Note 2 14 3 2" xfId="1397"/>
    <cellStyle name="Note 2 14 3 2 2" xfId="2710"/>
    <cellStyle name="Note 2 14 3 2 2 2" xfId="5334"/>
    <cellStyle name="Note 2 14 3 2 3" xfId="4024"/>
    <cellStyle name="Note 2 14 3 3" xfId="2056"/>
    <cellStyle name="Note 2 14 3 3 2" xfId="4680"/>
    <cellStyle name="Note 2 14 3 4" xfId="3370"/>
    <cellStyle name="Note 2 14 4" xfId="1082"/>
    <cellStyle name="Note 2 14 4 2" xfId="2397"/>
    <cellStyle name="Note 2 14 4 2 2" xfId="5021"/>
    <cellStyle name="Note 2 14 4 3" xfId="3711"/>
    <cellStyle name="Note 2 14 5" xfId="1742"/>
    <cellStyle name="Note 2 14 5 2" xfId="4367"/>
    <cellStyle name="Note 2 14 6" xfId="3056"/>
    <cellStyle name="Note 2 15" xfId="319"/>
    <cellStyle name="Note 2 15 2" xfId="549"/>
    <cellStyle name="Note 2 15 2 2" xfId="877"/>
    <cellStyle name="Note 2 15 2 2 2" xfId="1535"/>
    <cellStyle name="Note 2 15 2 2 2 2" xfId="2848"/>
    <cellStyle name="Note 2 15 2 2 2 2 2" xfId="5472"/>
    <cellStyle name="Note 2 15 2 2 2 3" xfId="4162"/>
    <cellStyle name="Note 2 15 2 2 3" xfId="2194"/>
    <cellStyle name="Note 2 15 2 2 3 2" xfId="4818"/>
    <cellStyle name="Note 2 15 2 2 4" xfId="3508"/>
    <cellStyle name="Note 2 15 2 3" xfId="1221"/>
    <cellStyle name="Note 2 15 2 3 2" xfId="2535"/>
    <cellStyle name="Note 2 15 2 3 2 2" xfId="5159"/>
    <cellStyle name="Note 2 15 2 3 3" xfId="3849"/>
    <cellStyle name="Note 2 15 2 4" xfId="1881"/>
    <cellStyle name="Note 2 15 2 4 2" xfId="4505"/>
    <cellStyle name="Note 2 15 2 5" xfId="3195"/>
    <cellStyle name="Note 2 15 3" xfId="738"/>
    <cellStyle name="Note 2 15 3 2" xfId="1398"/>
    <cellStyle name="Note 2 15 3 2 2" xfId="2711"/>
    <cellStyle name="Note 2 15 3 2 2 2" xfId="5335"/>
    <cellStyle name="Note 2 15 3 2 3" xfId="4025"/>
    <cellStyle name="Note 2 15 3 3" xfId="2057"/>
    <cellStyle name="Note 2 15 3 3 2" xfId="4681"/>
    <cellStyle name="Note 2 15 3 4" xfId="3371"/>
    <cellStyle name="Note 2 15 4" xfId="1083"/>
    <cellStyle name="Note 2 15 4 2" xfId="2398"/>
    <cellStyle name="Note 2 15 4 2 2" xfId="5022"/>
    <cellStyle name="Note 2 15 4 3" xfId="3712"/>
    <cellStyle name="Note 2 15 5" xfId="1743"/>
    <cellStyle name="Note 2 15 5 2" xfId="4368"/>
    <cellStyle name="Note 2 15 6" xfId="3057"/>
    <cellStyle name="Note 2 16" xfId="320"/>
    <cellStyle name="Note 2 16 2" xfId="550"/>
    <cellStyle name="Note 2 16 2 2" xfId="878"/>
    <cellStyle name="Note 2 16 2 2 2" xfId="1536"/>
    <cellStyle name="Note 2 16 2 2 2 2" xfId="2849"/>
    <cellStyle name="Note 2 16 2 2 2 2 2" xfId="5473"/>
    <cellStyle name="Note 2 16 2 2 2 3" xfId="4163"/>
    <cellStyle name="Note 2 16 2 2 3" xfId="2195"/>
    <cellStyle name="Note 2 16 2 2 3 2" xfId="4819"/>
    <cellStyle name="Note 2 16 2 2 4" xfId="3509"/>
    <cellStyle name="Note 2 16 2 3" xfId="1222"/>
    <cellStyle name="Note 2 16 2 3 2" xfId="2536"/>
    <cellStyle name="Note 2 16 2 3 2 2" xfId="5160"/>
    <cellStyle name="Note 2 16 2 3 3" xfId="3850"/>
    <cellStyle name="Note 2 16 2 4" xfId="1882"/>
    <cellStyle name="Note 2 16 2 4 2" xfId="4506"/>
    <cellStyle name="Note 2 16 2 5" xfId="3196"/>
    <cellStyle name="Note 2 16 3" xfId="739"/>
    <cellStyle name="Note 2 16 3 2" xfId="1399"/>
    <cellStyle name="Note 2 16 3 2 2" xfId="2712"/>
    <cellStyle name="Note 2 16 3 2 2 2" xfId="5336"/>
    <cellStyle name="Note 2 16 3 2 3" xfId="4026"/>
    <cellStyle name="Note 2 16 3 3" xfId="2058"/>
    <cellStyle name="Note 2 16 3 3 2" xfId="4682"/>
    <cellStyle name="Note 2 16 3 4" xfId="3372"/>
    <cellStyle name="Note 2 16 4" xfId="1084"/>
    <cellStyle name="Note 2 16 4 2" xfId="2399"/>
    <cellStyle name="Note 2 16 4 2 2" xfId="5023"/>
    <cellStyle name="Note 2 16 4 3" xfId="3713"/>
    <cellStyle name="Note 2 16 5" xfId="1744"/>
    <cellStyle name="Note 2 16 5 2" xfId="4369"/>
    <cellStyle name="Note 2 16 6" xfId="3058"/>
    <cellStyle name="Note 2 17" xfId="543"/>
    <cellStyle name="Note 2 17 2" xfId="871"/>
    <cellStyle name="Note 2 17 2 2" xfId="1529"/>
    <cellStyle name="Note 2 17 2 2 2" xfId="2842"/>
    <cellStyle name="Note 2 17 2 2 2 2" xfId="5466"/>
    <cellStyle name="Note 2 17 2 2 3" xfId="4156"/>
    <cellStyle name="Note 2 17 2 3" xfId="2188"/>
    <cellStyle name="Note 2 17 2 3 2" xfId="4812"/>
    <cellStyle name="Note 2 17 2 4" xfId="3502"/>
    <cellStyle name="Note 2 17 3" xfId="1215"/>
    <cellStyle name="Note 2 17 3 2" xfId="2529"/>
    <cellStyle name="Note 2 17 3 2 2" xfId="5153"/>
    <cellStyle name="Note 2 17 3 3" xfId="3843"/>
    <cellStyle name="Note 2 17 4" xfId="1875"/>
    <cellStyle name="Note 2 17 4 2" xfId="4499"/>
    <cellStyle name="Note 2 17 5" xfId="3189"/>
    <cellStyle name="Note 2 18" xfId="732"/>
    <cellStyle name="Note 2 18 2" xfId="1392"/>
    <cellStyle name="Note 2 18 2 2" xfId="2705"/>
    <cellStyle name="Note 2 18 2 2 2" xfId="5329"/>
    <cellStyle name="Note 2 18 2 3" xfId="4019"/>
    <cellStyle name="Note 2 18 3" xfId="2051"/>
    <cellStyle name="Note 2 18 3 2" xfId="4675"/>
    <cellStyle name="Note 2 18 4" xfId="3365"/>
    <cellStyle name="Note 2 19" xfId="1077"/>
    <cellStyle name="Note 2 19 2" xfId="2392"/>
    <cellStyle name="Note 2 19 2 2" xfId="5016"/>
    <cellStyle name="Note 2 19 3" xfId="3706"/>
    <cellStyle name="Note 2 2" xfId="321"/>
    <cellStyle name="Note 2 2 2" xfId="551"/>
    <cellStyle name="Note 2 2 2 2" xfId="879"/>
    <cellStyle name="Note 2 2 2 2 2" xfId="1537"/>
    <cellStyle name="Note 2 2 2 2 2 2" xfId="2850"/>
    <cellStyle name="Note 2 2 2 2 2 2 2" xfId="5474"/>
    <cellStyle name="Note 2 2 2 2 2 3" xfId="4164"/>
    <cellStyle name="Note 2 2 2 2 3" xfId="2196"/>
    <cellStyle name="Note 2 2 2 2 3 2" xfId="4820"/>
    <cellStyle name="Note 2 2 2 2 4" xfId="3510"/>
    <cellStyle name="Note 2 2 2 3" xfId="1223"/>
    <cellStyle name="Note 2 2 2 3 2" xfId="2537"/>
    <cellStyle name="Note 2 2 2 3 2 2" xfId="5161"/>
    <cellStyle name="Note 2 2 2 3 3" xfId="3851"/>
    <cellStyle name="Note 2 2 2 4" xfId="1883"/>
    <cellStyle name="Note 2 2 2 4 2" xfId="4507"/>
    <cellStyle name="Note 2 2 2 5" xfId="3197"/>
    <cellStyle name="Note 2 2 3" xfId="740"/>
    <cellStyle name="Note 2 2 3 2" xfId="1400"/>
    <cellStyle name="Note 2 2 3 2 2" xfId="2713"/>
    <cellStyle name="Note 2 2 3 2 2 2" xfId="5337"/>
    <cellStyle name="Note 2 2 3 2 3" xfId="4027"/>
    <cellStyle name="Note 2 2 3 3" xfId="2059"/>
    <cellStyle name="Note 2 2 3 3 2" xfId="4683"/>
    <cellStyle name="Note 2 2 3 4" xfId="3373"/>
    <cellStyle name="Note 2 2 4" xfId="1085"/>
    <cellStyle name="Note 2 2 4 2" xfId="2400"/>
    <cellStyle name="Note 2 2 4 2 2" xfId="5024"/>
    <cellStyle name="Note 2 2 4 3" xfId="3714"/>
    <cellStyle name="Note 2 2 5" xfId="1745"/>
    <cellStyle name="Note 2 2 5 2" xfId="4370"/>
    <cellStyle name="Note 2 2 6" xfId="3059"/>
    <cellStyle name="Note 2 20" xfId="1737"/>
    <cellStyle name="Note 2 20 2" xfId="4362"/>
    <cellStyle name="Note 2 21" xfId="3051"/>
    <cellStyle name="Note 2 22" xfId="313"/>
    <cellStyle name="Note 2 3" xfId="322"/>
    <cellStyle name="Note 2 3 2" xfId="552"/>
    <cellStyle name="Note 2 3 2 2" xfId="880"/>
    <cellStyle name="Note 2 3 2 2 2" xfId="1538"/>
    <cellStyle name="Note 2 3 2 2 2 2" xfId="2851"/>
    <cellStyle name="Note 2 3 2 2 2 2 2" xfId="5475"/>
    <cellStyle name="Note 2 3 2 2 2 3" xfId="4165"/>
    <cellStyle name="Note 2 3 2 2 3" xfId="2197"/>
    <cellStyle name="Note 2 3 2 2 3 2" xfId="4821"/>
    <cellStyle name="Note 2 3 2 2 4" xfId="3511"/>
    <cellStyle name="Note 2 3 2 3" xfId="1224"/>
    <cellStyle name="Note 2 3 2 3 2" xfId="2538"/>
    <cellStyle name="Note 2 3 2 3 2 2" xfId="5162"/>
    <cellStyle name="Note 2 3 2 3 3" xfId="3852"/>
    <cellStyle name="Note 2 3 2 4" xfId="1884"/>
    <cellStyle name="Note 2 3 2 4 2" xfId="4508"/>
    <cellStyle name="Note 2 3 2 5" xfId="3198"/>
    <cellStyle name="Note 2 3 3" xfId="741"/>
    <cellStyle name="Note 2 3 3 2" xfId="1401"/>
    <cellStyle name="Note 2 3 3 2 2" xfId="2714"/>
    <cellStyle name="Note 2 3 3 2 2 2" xfId="5338"/>
    <cellStyle name="Note 2 3 3 2 3" xfId="4028"/>
    <cellStyle name="Note 2 3 3 3" xfId="2060"/>
    <cellStyle name="Note 2 3 3 3 2" xfId="4684"/>
    <cellStyle name="Note 2 3 3 4" xfId="3374"/>
    <cellStyle name="Note 2 3 4" xfId="1086"/>
    <cellStyle name="Note 2 3 4 2" xfId="2401"/>
    <cellStyle name="Note 2 3 4 2 2" xfId="5025"/>
    <cellStyle name="Note 2 3 4 3" xfId="3715"/>
    <cellStyle name="Note 2 3 5" xfId="1746"/>
    <cellStyle name="Note 2 3 5 2" xfId="4371"/>
    <cellStyle name="Note 2 3 6" xfId="3060"/>
    <cellStyle name="Note 2 4" xfId="323"/>
    <cellStyle name="Note 2 4 2" xfId="553"/>
    <cellStyle name="Note 2 4 2 2" xfId="881"/>
    <cellStyle name="Note 2 4 2 2 2" xfId="1539"/>
    <cellStyle name="Note 2 4 2 2 2 2" xfId="2852"/>
    <cellStyle name="Note 2 4 2 2 2 2 2" xfId="5476"/>
    <cellStyle name="Note 2 4 2 2 2 3" xfId="4166"/>
    <cellStyle name="Note 2 4 2 2 3" xfId="2198"/>
    <cellStyle name="Note 2 4 2 2 3 2" xfId="4822"/>
    <cellStyle name="Note 2 4 2 2 4" xfId="3512"/>
    <cellStyle name="Note 2 4 2 3" xfId="1225"/>
    <cellStyle name="Note 2 4 2 3 2" xfId="2539"/>
    <cellStyle name="Note 2 4 2 3 2 2" xfId="5163"/>
    <cellStyle name="Note 2 4 2 3 3" xfId="3853"/>
    <cellStyle name="Note 2 4 2 4" xfId="1885"/>
    <cellStyle name="Note 2 4 2 4 2" xfId="4509"/>
    <cellStyle name="Note 2 4 2 5" xfId="3199"/>
    <cellStyle name="Note 2 4 3" xfId="742"/>
    <cellStyle name="Note 2 4 3 2" xfId="1402"/>
    <cellStyle name="Note 2 4 3 2 2" xfId="2715"/>
    <cellStyle name="Note 2 4 3 2 2 2" xfId="5339"/>
    <cellStyle name="Note 2 4 3 2 3" xfId="4029"/>
    <cellStyle name="Note 2 4 3 3" xfId="2061"/>
    <cellStyle name="Note 2 4 3 3 2" xfId="4685"/>
    <cellStyle name="Note 2 4 3 4" xfId="3375"/>
    <cellStyle name="Note 2 4 4" xfId="1087"/>
    <cellStyle name="Note 2 4 4 2" xfId="2402"/>
    <cellStyle name="Note 2 4 4 2 2" xfId="5026"/>
    <cellStyle name="Note 2 4 4 3" xfId="3716"/>
    <cellStyle name="Note 2 4 5" xfId="1747"/>
    <cellStyle name="Note 2 4 5 2" xfId="4372"/>
    <cellStyle name="Note 2 4 6" xfId="3061"/>
    <cellStyle name="Note 2 5" xfId="324"/>
    <cellStyle name="Note 2 5 2" xfId="554"/>
    <cellStyle name="Note 2 5 2 2" xfId="882"/>
    <cellStyle name="Note 2 5 2 2 2" xfId="1540"/>
    <cellStyle name="Note 2 5 2 2 2 2" xfId="2853"/>
    <cellStyle name="Note 2 5 2 2 2 2 2" xfId="5477"/>
    <cellStyle name="Note 2 5 2 2 2 3" xfId="4167"/>
    <cellStyle name="Note 2 5 2 2 3" xfId="2199"/>
    <cellStyle name="Note 2 5 2 2 3 2" xfId="4823"/>
    <cellStyle name="Note 2 5 2 2 4" xfId="3513"/>
    <cellStyle name="Note 2 5 2 3" xfId="1226"/>
    <cellStyle name="Note 2 5 2 3 2" xfId="2540"/>
    <cellStyle name="Note 2 5 2 3 2 2" xfId="5164"/>
    <cellStyle name="Note 2 5 2 3 3" xfId="3854"/>
    <cellStyle name="Note 2 5 2 4" xfId="1886"/>
    <cellStyle name="Note 2 5 2 4 2" xfId="4510"/>
    <cellStyle name="Note 2 5 2 5" xfId="3200"/>
    <cellStyle name="Note 2 5 3" xfId="743"/>
    <cellStyle name="Note 2 5 3 2" xfId="1403"/>
    <cellStyle name="Note 2 5 3 2 2" xfId="2716"/>
    <cellStyle name="Note 2 5 3 2 2 2" xfId="5340"/>
    <cellStyle name="Note 2 5 3 2 3" xfId="4030"/>
    <cellStyle name="Note 2 5 3 3" xfId="2062"/>
    <cellStyle name="Note 2 5 3 3 2" xfId="4686"/>
    <cellStyle name="Note 2 5 3 4" xfId="3376"/>
    <cellStyle name="Note 2 5 4" xfId="1088"/>
    <cellStyle name="Note 2 5 4 2" xfId="2403"/>
    <cellStyle name="Note 2 5 4 2 2" xfId="5027"/>
    <cellStyle name="Note 2 5 4 3" xfId="3717"/>
    <cellStyle name="Note 2 5 5" xfId="1748"/>
    <cellStyle name="Note 2 5 5 2" xfId="4373"/>
    <cellStyle name="Note 2 5 6" xfId="3062"/>
    <cellStyle name="Note 2 6" xfId="325"/>
    <cellStyle name="Note 2 6 2" xfId="555"/>
    <cellStyle name="Note 2 6 2 2" xfId="883"/>
    <cellStyle name="Note 2 6 2 2 2" xfId="1541"/>
    <cellStyle name="Note 2 6 2 2 2 2" xfId="2854"/>
    <cellStyle name="Note 2 6 2 2 2 2 2" xfId="5478"/>
    <cellStyle name="Note 2 6 2 2 2 3" xfId="4168"/>
    <cellStyle name="Note 2 6 2 2 3" xfId="2200"/>
    <cellStyle name="Note 2 6 2 2 3 2" xfId="4824"/>
    <cellStyle name="Note 2 6 2 2 4" xfId="3514"/>
    <cellStyle name="Note 2 6 2 3" xfId="1227"/>
    <cellStyle name="Note 2 6 2 3 2" xfId="2541"/>
    <cellStyle name="Note 2 6 2 3 2 2" xfId="5165"/>
    <cellStyle name="Note 2 6 2 3 3" xfId="3855"/>
    <cellStyle name="Note 2 6 2 4" xfId="1887"/>
    <cellStyle name="Note 2 6 2 4 2" xfId="4511"/>
    <cellStyle name="Note 2 6 2 5" xfId="3201"/>
    <cellStyle name="Note 2 6 3" xfId="744"/>
    <cellStyle name="Note 2 6 3 2" xfId="1404"/>
    <cellStyle name="Note 2 6 3 2 2" xfId="2717"/>
    <cellStyle name="Note 2 6 3 2 2 2" xfId="5341"/>
    <cellStyle name="Note 2 6 3 2 3" xfId="4031"/>
    <cellStyle name="Note 2 6 3 3" xfId="2063"/>
    <cellStyle name="Note 2 6 3 3 2" xfId="4687"/>
    <cellStyle name="Note 2 6 3 4" xfId="3377"/>
    <cellStyle name="Note 2 6 4" xfId="1089"/>
    <cellStyle name="Note 2 6 4 2" xfId="2404"/>
    <cellStyle name="Note 2 6 4 2 2" xfId="5028"/>
    <cellStyle name="Note 2 6 4 3" xfId="3718"/>
    <cellStyle name="Note 2 6 5" xfId="1749"/>
    <cellStyle name="Note 2 6 5 2" xfId="4374"/>
    <cellStyle name="Note 2 6 6" xfId="3063"/>
    <cellStyle name="Note 2 7" xfId="326"/>
    <cellStyle name="Note 2 7 2" xfId="556"/>
    <cellStyle name="Note 2 7 2 2" xfId="884"/>
    <cellStyle name="Note 2 7 2 2 2" xfId="1542"/>
    <cellStyle name="Note 2 7 2 2 2 2" xfId="2855"/>
    <cellStyle name="Note 2 7 2 2 2 2 2" xfId="5479"/>
    <cellStyle name="Note 2 7 2 2 2 3" xfId="4169"/>
    <cellStyle name="Note 2 7 2 2 3" xfId="2201"/>
    <cellStyle name="Note 2 7 2 2 3 2" xfId="4825"/>
    <cellStyle name="Note 2 7 2 2 4" xfId="3515"/>
    <cellStyle name="Note 2 7 2 3" xfId="1228"/>
    <cellStyle name="Note 2 7 2 3 2" xfId="2542"/>
    <cellStyle name="Note 2 7 2 3 2 2" xfId="5166"/>
    <cellStyle name="Note 2 7 2 3 3" xfId="3856"/>
    <cellStyle name="Note 2 7 2 4" xfId="1888"/>
    <cellStyle name="Note 2 7 2 4 2" xfId="4512"/>
    <cellStyle name="Note 2 7 2 5" xfId="3202"/>
    <cellStyle name="Note 2 7 3" xfId="745"/>
    <cellStyle name="Note 2 7 3 2" xfId="1405"/>
    <cellStyle name="Note 2 7 3 2 2" xfId="2718"/>
    <cellStyle name="Note 2 7 3 2 2 2" xfId="5342"/>
    <cellStyle name="Note 2 7 3 2 3" xfId="4032"/>
    <cellStyle name="Note 2 7 3 3" xfId="2064"/>
    <cellStyle name="Note 2 7 3 3 2" xfId="4688"/>
    <cellStyle name="Note 2 7 3 4" xfId="3378"/>
    <cellStyle name="Note 2 7 4" xfId="1090"/>
    <cellStyle name="Note 2 7 4 2" xfId="2405"/>
    <cellStyle name="Note 2 7 4 2 2" xfId="5029"/>
    <cellStyle name="Note 2 7 4 3" xfId="3719"/>
    <cellStyle name="Note 2 7 5" xfId="1750"/>
    <cellStyle name="Note 2 7 5 2" xfId="4375"/>
    <cellStyle name="Note 2 7 6" xfId="3064"/>
    <cellStyle name="Note 2 8" xfId="327"/>
    <cellStyle name="Note 2 8 2" xfId="557"/>
    <cellStyle name="Note 2 8 2 2" xfId="885"/>
    <cellStyle name="Note 2 8 2 2 2" xfId="1543"/>
    <cellStyle name="Note 2 8 2 2 2 2" xfId="2856"/>
    <cellStyle name="Note 2 8 2 2 2 2 2" xfId="5480"/>
    <cellStyle name="Note 2 8 2 2 2 3" xfId="4170"/>
    <cellStyle name="Note 2 8 2 2 3" xfId="2202"/>
    <cellStyle name="Note 2 8 2 2 3 2" xfId="4826"/>
    <cellStyle name="Note 2 8 2 2 4" xfId="3516"/>
    <cellStyle name="Note 2 8 2 3" xfId="1229"/>
    <cellStyle name="Note 2 8 2 3 2" xfId="2543"/>
    <cellStyle name="Note 2 8 2 3 2 2" xfId="5167"/>
    <cellStyle name="Note 2 8 2 3 3" xfId="3857"/>
    <cellStyle name="Note 2 8 2 4" xfId="1889"/>
    <cellStyle name="Note 2 8 2 4 2" xfId="4513"/>
    <cellStyle name="Note 2 8 2 5" xfId="3203"/>
    <cellStyle name="Note 2 8 3" xfId="746"/>
    <cellStyle name="Note 2 8 3 2" xfId="1406"/>
    <cellStyle name="Note 2 8 3 2 2" xfId="2719"/>
    <cellStyle name="Note 2 8 3 2 2 2" xfId="5343"/>
    <cellStyle name="Note 2 8 3 2 3" xfId="4033"/>
    <cellStyle name="Note 2 8 3 3" xfId="2065"/>
    <cellStyle name="Note 2 8 3 3 2" xfId="4689"/>
    <cellStyle name="Note 2 8 3 4" xfId="3379"/>
    <cellStyle name="Note 2 8 4" xfId="1091"/>
    <cellStyle name="Note 2 8 4 2" xfId="2406"/>
    <cellStyle name="Note 2 8 4 2 2" xfId="5030"/>
    <cellStyle name="Note 2 8 4 3" xfId="3720"/>
    <cellStyle name="Note 2 8 5" xfId="1751"/>
    <cellStyle name="Note 2 8 5 2" xfId="4376"/>
    <cellStyle name="Note 2 8 6" xfId="3065"/>
    <cellStyle name="Note 2 9" xfId="328"/>
    <cellStyle name="Note 2 9 2" xfId="558"/>
    <cellStyle name="Note 2 9 2 2" xfId="886"/>
    <cellStyle name="Note 2 9 2 2 2" xfId="1544"/>
    <cellStyle name="Note 2 9 2 2 2 2" xfId="2857"/>
    <cellStyle name="Note 2 9 2 2 2 2 2" xfId="5481"/>
    <cellStyle name="Note 2 9 2 2 2 3" xfId="4171"/>
    <cellStyle name="Note 2 9 2 2 3" xfId="2203"/>
    <cellStyle name="Note 2 9 2 2 3 2" xfId="4827"/>
    <cellStyle name="Note 2 9 2 2 4" xfId="3517"/>
    <cellStyle name="Note 2 9 2 3" xfId="1230"/>
    <cellStyle name="Note 2 9 2 3 2" xfId="2544"/>
    <cellStyle name="Note 2 9 2 3 2 2" xfId="5168"/>
    <cellStyle name="Note 2 9 2 3 3" xfId="3858"/>
    <cellStyle name="Note 2 9 2 4" xfId="1890"/>
    <cellStyle name="Note 2 9 2 4 2" xfId="4514"/>
    <cellStyle name="Note 2 9 2 5" xfId="3204"/>
    <cellStyle name="Note 2 9 3" xfId="747"/>
    <cellStyle name="Note 2 9 3 2" xfId="1407"/>
    <cellStyle name="Note 2 9 3 2 2" xfId="2720"/>
    <cellStyle name="Note 2 9 3 2 2 2" xfId="5344"/>
    <cellStyle name="Note 2 9 3 2 3" xfId="4034"/>
    <cellStyle name="Note 2 9 3 3" xfId="2066"/>
    <cellStyle name="Note 2 9 3 3 2" xfId="4690"/>
    <cellStyle name="Note 2 9 3 4" xfId="3380"/>
    <cellStyle name="Note 2 9 4" xfId="1092"/>
    <cellStyle name="Note 2 9 4 2" xfId="2407"/>
    <cellStyle name="Note 2 9 4 2 2" xfId="5031"/>
    <cellStyle name="Note 2 9 4 3" xfId="3721"/>
    <cellStyle name="Note 2 9 5" xfId="1752"/>
    <cellStyle name="Note 2 9 5 2" xfId="4377"/>
    <cellStyle name="Note 2 9 6" xfId="3066"/>
    <cellStyle name="Note 3" xfId="329"/>
    <cellStyle name="Note 3 10" xfId="330"/>
    <cellStyle name="Note 3 10 2" xfId="560"/>
    <cellStyle name="Note 3 10 2 2" xfId="888"/>
    <cellStyle name="Note 3 10 2 2 2" xfId="1546"/>
    <cellStyle name="Note 3 10 2 2 2 2" xfId="2859"/>
    <cellStyle name="Note 3 10 2 2 2 2 2" xfId="5483"/>
    <cellStyle name="Note 3 10 2 2 2 3" xfId="4173"/>
    <cellStyle name="Note 3 10 2 2 3" xfId="2205"/>
    <cellStyle name="Note 3 10 2 2 3 2" xfId="4829"/>
    <cellStyle name="Note 3 10 2 2 4" xfId="3519"/>
    <cellStyle name="Note 3 10 2 3" xfId="1232"/>
    <cellStyle name="Note 3 10 2 3 2" xfId="2546"/>
    <cellStyle name="Note 3 10 2 3 2 2" xfId="5170"/>
    <cellStyle name="Note 3 10 2 3 3" xfId="3860"/>
    <cellStyle name="Note 3 10 2 4" xfId="1892"/>
    <cellStyle name="Note 3 10 2 4 2" xfId="4516"/>
    <cellStyle name="Note 3 10 2 5" xfId="3206"/>
    <cellStyle name="Note 3 10 3" xfId="749"/>
    <cellStyle name="Note 3 10 3 2" xfId="1409"/>
    <cellStyle name="Note 3 10 3 2 2" xfId="2722"/>
    <cellStyle name="Note 3 10 3 2 2 2" xfId="5346"/>
    <cellStyle name="Note 3 10 3 2 3" xfId="4036"/>
    <cellStyle name="Note 3 10 3 3" xfId="2068"/>
    <cellStyle name="Note 3 10 3 3 2" xfId="4692"/>
    <cellStyle name="Note 3 10 3 4" xfId="3382"/>
    <cellStyle name="Note 3 10 4" xfId="1094"/>
    <cellStyle name="Note 3 10 4 2" xfId="2409"/>
    <cellStyle name="Note 3 10 4 2 2" xfId="5033"/>
    <cellStyle name="Note 3 10 4 3" xfId="3723"/>
    <cellStyle name="Note 3 10 5" xfId="1754"/>
    <cellStyle name="Note 3 10 5 2" xfId="4379"/>
    <cellStyle name="Note 3 10 6" xfId="3068"/>
    <cellStyle name="Note 3 11" xfId="331"/>
    <cellStyle name="Note 3 11 2" xfId="561"/>
    <cellStyle name="Note 3 11 2 2" xfId="889"/>
    <cellStyle name="Note 3 11 2 2 2" xfId="1547"/>
    <cellStyle name="Note 3 11 2 2 2 2" xfId="2860"/>
    <cellStyle name="Note 3 11 2 2 2 2 2" xfId="5484"/>
    <cellStyle name="Note 3 11 2 2 2 3" xfId="4174"/>
    <cellStyle name="Note 3 11 2 2 3" xfId="2206"/>
    <cellStyle name="Note 3 11 2 2 3 2" xfId="4830"/>
    <cellStyle name="Note 3 11 2 2 4" xfId="3520"/>
    <cellStyle name="Note 3 11 2 3" xfId="1233"/>
    <cellStyle name="Note 3 11 2 3 2" xfId="2547"/>
    <cellStyle name="Note 3 11 2 3 2 2" xfId="5171"/>
    <cellStyle name="Note 3 11 2 3 3" xfId="3861"/>
    <cellStyle name="Note 3 11 2 4" xfId="1893"/>
    <cellStyle name="Note 3 11 2 4 2" xfId="4517"/>
    <cellStyle name="Note 3 11 2 5" xfId="3207"/>
    <cellStyle name="Note 3 11 3" xfId="750"/>
    <cellStyle name="Note 3 11 3 2" xfId="1410"/>
    <cellStyle name="Note 3 11 3 2 2" xfId="2723"/>
    <cellStyle name="Note 3 11 3 2 2 2" xfId="5347"/>
    <cellStyle name="Note 3 11 3 2 3" xfId="4037"/>
    <cellStyle name="Note 3 11 3 3" xfId="2069"/>
    <cellStyle name="Note 3 11 3 3 2" xfId="4693"/>
    <cellStyle name="Note 3 11 3 4" xfId="3383"/>
    <cellStyle name="Note 3 11 4" xfId="1095"/>
    <cellStyle name="Note 3 11 4 2" xfId="2410"/>
    <cellStyle name="Note 3 11 4 2 2" xfId="5034"/>
    <cellStyle name="Note 3 11 4 3" xfId="3724"/>
    <cellStyle name="Note 3 11 5" xfId="1755"/>
    <cellStyle name="Note 3 11 5 2" xfId="4380"/>
    <cellStyle name="Note 3 11 6" xfId="3069"/>
    <cellStyle name="Note 3 12" xfId="332"/>
    <cellStyle name="Note 3 12 2" xfId="562"/>
    <cellStyle name="Note 3 12 2 2" xfId="890"/>
    <cellStyle name="Note 3 12 2 2 2" xfId="1548"/>
    <cellStyle name="Note 3 12 2 2 2 2" xfId="2861"/>
    <cellStyle name="Note 3 12 2 2 2 2 2" xfId="5485"/>
    <cellStyle name="Note 3 12 2 2 2 3" xfId="4175"/>
    <cellStyle name="Note 3 12 2 2 3" xfId="2207"/>
    <cellStyle name="Note 3 12 2 2 3 2" xfId="4831"/>
    <cellStyle name="Note 3 12 2 2 4" xfId="3521"/>
    <cellStyle name="Note 3 12 2 3" xfId="1234"/>
    <cellStyle name="Note 3 12 2 3 2" xfId="2548"/>
    <cellStyle name="Note 3 12 2 3 2 2" xfId="5172"/>
    <cellStyle name="Note 3 12 2 3 3" xfId="3862"/>
    <cellStyle name="Note 3 12 2 4" xfId="1894"/>
    <cellStyle name="Note 3 12 2 4 2" xfId="4518"/>
    <cellStyle name="Note 3 12 2 5" xfId="3208"/>
    <cellStyle name="Note 3 12 3" xfId="751"/>
    <cellStyle name="Note 3 12 3 2" xfId="1411"/>
    <cellStyle name="Note 3 12 3 2 2" xfId="2724"/>
    <cellStyle name="Note 3 12 3 2 2 2" xfId="5348"/>
    <cellStyle name="Note 3 12 3 2 3" xfId="4038"/>
    <cellStyle name="Note 3 12 3 3" xfId="2070"/>
    <cellStyle name="Note 3 12 3 3 2" xfId="4694"/>
    <cellStyle name="Note 3 12 3 4" xfId="3384"/>
    <cellStyle name="Note 3 12 4" xfId="1096"/>
    <cellStyle name="Note 3 12 4 2" xfId="2411"/>
    <cellStyle name="Note 3 12 4 2 2" xfId="5035"/>
    <cellStyle name="Note 3 12 4 3" xfId="3725"/>
    <cellStyle name="Note 3 12 5" xfId="1756"/>
    <cellStyle name="Note 3 12 5 2" xfId="4381"/>
    <cellStyle name="Note 3 12 6" xfId="3070"/>
    <cellStyle name="Note 3 13" xfId="333"/>
    <cellStyle name="Note 3 13 2" xfId="563"/>
    <cellStyle name="Note 3 13 2 2" xfId="891"/>
    <cellStyle name="Note 3 13 2 2 2" xfId="1549"/>
    <cellStyle name="Note 3 13 2 2 2 2" xfId="2862"/>
    <cellStyle name="Note 3 13 2 2 2 2 2" xfId="5486"/>
    <cellStyle name="Note 3 13 2 2 2 3" xfId="4176"/>
    <cellStyle name="Note 3 13 2 2 3" xfId="2208"/>
    <cellStyle name="Note 3 13 2 2 3 2" xfId="4832"/>
    <cellStyle name="Note 3 13 2 2 4" xfId="3522"/>
    <cellStyle name="Note 3 13 2 3" xfId="1235"/>
    <cellStyle name="Note 3 13 2 3 2" xfId="2549"/>
    <cellStyle name="Note 3 13 2 3 2 2" xfId="5173"/>
    <cellStyle name="Note 3 13 2 3 3" xfId="3863"/>
    <cellStyle name="Note 3 13 2 4" xfId="1895"/>
    <cellStyle name="Note 3 13 2 4 2" xfId="4519"/>
    <cellStyle name="Note 3 13 2 5" xfId="3209"/>
    <cellStyle name="Note 3 13 3" xfId="752"/>
    <cellStyle name="Note 3 13 3 2" xfId="1412"/>
    <cellStyle name="Note 3 13 3 2 2" xfId="2725"/>
    <cellStyle name="Note 3 13 3 2 2 2" xfId="5349"/>
    <cellStyle name="Note 3 13 3 2 3" xfId="4039"/>
    <cellStyle name="Note 3 13 3 3" xfId="2071"/>
    <cellStyle name="Note 3 13 3 3 2" xfId="4695"/>
    <cellStyle name="Note 3 13 3 4" xfId="3385"/>
    <cellStyle name="Note 3 13 4" xfId="1097"/>
    <cellStyle name="Note 3 13 4 2" xfId="2412"/>
    <cellStyle name="Note 3 13 4 2 2" xfId="5036"/>
    <cellStyle name="Note 3 13 4 3" xfId="3726"/>
    <cellStyle name="Note 3 13 5" xfId="1757"/>
    <cellStyle name="Note 3 13 5 2" xfId="4382"/>
    <cellStyle name="Note 3 13 6" xfId="3071"/>
    <cellStyle name="Note 3 14" xfId="334"/>
    <cellStyle name="Note 3 14 2" xfId="564"/>
    <cellStyle name="Note 3 14 2 2" xfId="892"/>
    <cellStyle name="Note 3 14 2 2 2" xfId="1550"/>
    <cellStyle name="Note 3 14 2 2 2 2" xfId="2863"/>
    <cellStyle name="Note 3 14 2 2 2 2 2" xfId="5487"/>
    <cellStyle name="Note 3 14 2 2 2 3" xfId="4177"/>
    <cellStyle name="Note 3 14 2 2 3" xfId="2209"/>
    <cellStyle name="Note 3 14 2 2 3 2" xfId="4833"/>
    <cellStyle name="Note 3 14 2 2 4" xfId="3523"/>
    <cellStyle name="Note 3 14 2 3" xfId="1236"/>
    <cellStyle name="Note 3 14 2 3 2" xfId="2550"/>
    <cellStyle name="Note 3 14 2 3 2 2" xfId="5174"/>
    <cellStyle name="Note 3 14 2 3 3" xfId="3864"/>
    <cellStyle name="Note 3 14 2 4" xfId="1896"/>
    <cellStyle name="Note 3 14 2 4 2" xfId="4520"/>
    <cellStyle name="Note 3 14 2 5" xfId="3210"/>
    <cellStyle name="Note 3 14 3" xfId="753"/>
    <cellStyle name="Note 3 14 3 2" xfId="1413"/>
    <cellStyle name="Note 3 14 3 2 2" xfId="2726"/>
    <cellStyle name="Note 3 14 3 2 2 2" xfId="5350"/>
    <cellStyle name="Note 3 14 3 2 3" xfId="4040"/>
    <cellStyle name="Note 3 14 3 3" xfId="2072"/>
    <cellStyle name="Note 3 14 3 3 2" xfId="4696"/>
    <cellStyle name="Note 3 14 3 4" xfId="3386"/>
    <cellStyle name="Note 3 14 4" xfId="1098"/>
    <cellStyle name="Note 3 14 4 2" xfId="2413"/>
    <cellStyle name="Note 3 14 4 2 2" xfId="5037"/>
    <cellStyle name="Note 3 14 4 3" xfId="3727"/>
    <cellStyle name="Note 3 14 5" xfId="1758"/>
    <cellStyle name="Note 3 14 5 2" xfId="4383"/>
    <cellStyle name="Note 3 14 6" xfId="3072"/>
    <cellStyle name="Note 3 15" xfId="335"/>
    <cellStyle name="Note 3 15 2" xfId="565"/>
    <cellStyle name="Note 3 15 2 2" xfId="893"/>
    <cellStyle name="Note 3 15 2 2 2" xfId="1551"/>
    <cellStyle name="Note 3 15 2 2 2 2" xfId="2864"/>
    <cellStyle name="Note 3 15 2 2 2 2 2" xfId="5488"/>
    <cellStyle name="Note 3 15 2 2 2 3" xfId="4178"/>
    <cellStyle name="Note 3 15 2 2 3" xfId="2210"/>
    <cellStyle name="Note 3 15 2 2 3 2" xfId="4834"/>
    <cellStyle name="Note 3 15 2 2 4" xfId="3524"/>
    <cellStyle name="Note 3 15 2 3" xfId="1237"/>
    <cellStyle name="Note 3 15 2 3 2" xfId="2551"/>
    <cellStyle name="Note 3 15 2 3 2 2" xfId="5175"/>
    <cellStyle name="Note 3 15 2 3 3" xfId="3865"/>
    <cellStyle name="Note 3 15 2 4" xfId="1897"/>
    <cellStyle name="Note 3 15 2 4 2" xfId="4521"/>
    <cellStyle name="Note 3 15 2 5" xfId="3211"/>
    <cellStyle name="Note 3 15 3" xfId="754"/>
    <cellStyle name="Note 3 15 3 2" xfId="1414"/>
    <cellStyle name="Note 3 15 3 2 2" xfId="2727"/>
    <cellStyle name="Note 3 15 3 2 2 2" xfId="5351"/>
    <cellStyle name="Note 3 15 3 2 3" xfId="4041"/>
    <cellStyle name="Note 3 15 3 3" xfId="2073"/>
    <cellStyle name="Note 3 15 3 3 2" xfId="4697"/>
    <cellStyle name="Note 3 15 3 4" xfId="3387"/>
    <cellStyle name="Note 3 15 4" xfId="1099"/>
    <cellStyle name="Note 3 15 4 2" xfId="2414"/>
    <cellStyle name="Note 3 15 4 2 2" xfId="5038"/>
    <cellStyle name="Note 3 15 4 3" xfId="3728"/>
    <cellStyle name="Note 3 15 5" xfId="1759"/>
    <cellStyle name="Note 3 15 5 2" xfId="4384"/>
    <cellStyle name="Note 3 15 6" xfId="3073"/>
    <cellStyle name="Note 3 16" xfId="336"/>
    <cellStyle name="Note 3 16 2" xfId="566"/>
    <cellStyle name="Note 3 16 2 2" xfId="894"/>
    <cellStyle name="Note 3 16 2 2 2" xfId="1552"/>
    <cellStyle name="Note 3 16 2 2 2 2" xfId="2865"/>
    <cellStyle name="Note 3 16 2 2 2 2 2" xfId="5489"/>
    <cellStyle name="Note 3 16 2 2 2 3" xfId="4179"/>
    <cellStyle name="Note 3 16 2 2 3" xfId="2211"/>
    <cellStyle name="Note 3 16 2 2 3 2" xfId="4835"/>
    <cellStyle name="Note 3 16 2 2 4" xfId="3525"/>
    <cellStyle name="Note 3 16 2 3" xfId="1238"/>
    <cellStyle name="Note 3 16 2 3 2" xfId="2552"/>
    <cellStyle name="Note 3 16 2 3 2 2" xfId="5176"/>
    <cellStyle name="Note 3 16 2 3 3" xfId="3866"/>
    <cellStyle name="Note 3 16 2 4" xfId="1898"/>
    <cellStyle name="Note 3 16 2 4 2" xfId="4522"/>
    <cellStyle name="Note 3 16 2 5" xfId="3212"/>
    <cellStyle name="Note 3 16 3" xfId="755"/>
    <cellStyle name="Note 3 16 3 2" xfId="1415"/>
    <cellStyle name="Note 3 16 3 2 2" xfId="2728"/>
    <cellStyle name="Note 3 16 3 2 2 2" xfId="5352"/>
    <cellStyle name="Note 3 16 3 2 3" xfId="4042"/>
    <cellStyle name="Note 3 16 3 3" xfId="2074"/>
    <cellStyle name="Note 3 16 3 3 2" xfId="4698"/>
    <cellStyle name="Note 3 16 3 4" xfId="3388"/>
    <cellStyle name="Note 3 16 4" xfId="1100"/>
    <cellStyle name="Note 3 16 4 2" xfId="2415"/>
    <cellStyle name="Note 3 16 4 2 2" xfId="5039"/>
    <cellStyle name="Note 3 16 4 3" xfId="3729"/>
    <cellStyle name="Note 3 16 5" xfId="1760"/>
    <cellStyle name="Note 3 16 5 2" xfId="4385"/>
    <cellStyle name="Note 3 16 6" xfId="3074"/>
    <cellStyle name="Note 3 17" xfId="559"/>
    <cellStyle name="Note 3 17 2" xfId="887"/>
    <cellStyle name="Note 3 17 2 2" xfId="1545"/>
    <cellStyle name="Note 3 17 2 2 2" xfId="2858"/>
    <cellStyle name="Note 3 17 2 2 2 2" xfId="5482"/>
    <cellStyle name="Note 3 17 2 2 3" xfId="4172"/>
    <cellStyle name="Note 3 17 2 3" xfId="2204"/>
    <cellStyle name="Note 3 17 2 3 2" xfId="4828"/>
    <cellStyle name="Note 3 17 2 4" xfId="3518"/>
    <cellStyle name="Note 3 17 3" xfId="1231"/>
    <cellStyle name="Note 3 17 3 2" xfId="2545"/>
    <cellStyle name="Note 3 17 3 2 2" xfId="5169"/>
    <cellStyle name="Note 3 17 3 3" xfId="3859"/>
    <cellStyle name="Note 3 17 4" xfId="1891"/>
    <cellStyle name="Note 3 17 4 2" xfId="4515"/>
    <cellStyle name="Note 3 17 5" xfId="3205"/>
    <cellStyle name="Note 3 18" xfId="748"/>
    <cellStyle name="Note 3 18 2" xfId="1408"/>
    <cellStyle name="Note 3 18 2 2" xfId="2721"/>
    <cellStyle name="Note 3 18 2 2 2" xfId="5345"/>
    <cellStyle name="Note 3 18 2 3" xfId="4035"/>
    <cellStyle name="Note 3 18 3" xfId="2067"/>
    <cellStyle name="Note 3 18 3 2" xfId="4691"/>
    <cellStyle name="Note 3 18 4" xfId="3381"/>
    <cellStyle name="Note 3 19" xfId="1093"/>
    <cellStyle name="Note 3 19 2" xfId="2408"/>
    <cellStyle name="Note 3 19 2 2" xfId="5032"/>
    <cellStyle name="Note 3 19 3" xfId="3722"/>
    <cellStyle name="Note 3 2" xfId="337"/>
    <cellStyle name="Note 3 2 2" xfId="567"/>
    <cellStyle name="Note 3 2 2 2" xfId="895"/>
    <cellStyle name="Note 3 2 2 2 2" xfId="1553"/>
    <cellStyle name="Note 3 2 2 2 2 2" xfId="2866"/>
    <cellStyle name="Note 3 2 2 2 2 2 2" xfId="5490"/>
    <cellStyle name="Note 3 2 2 2 2 3" xfId="4180"/>
    <cellStyle name="Note 3 2 2 2 3" xfId="2212"/>
    <cellStyle name="Note 3 2 2 2 3 2" xfId="4836"/>
    <cellStyle name="Note 3 2 2 2 4" xfId="3526"/>
    <cellStyle name="Note 3 2 2 3" xfId="1239"/>
    <cellStyle name="Note 3 2 2 3 2" xfId="2553"/>
    <cellStyle name="Note 3 2 2 3 2 2" xfId="5177"/>
    <cellStyle name="Note 3 2 2 3 3" xfId="3867"/>
    <cellStyle name="Note 3 2 2 4" xfId="1899"/>
    <cellStyle name="Note 3 2 2 4 2" xfId="4523"/>
    <cellStyle name="Note 3 2 2 5" xfId="3213"/>
    <cellStyle name="Note 3 2 3" xfId="756"/>
    <cellStyle name="Note 3 2 3 2" xfId="1416"/>
    <cellStyle name="Note 3 2 3 2 2" xfId="2729"/>
    <cellStyle name="Note 3 2 3 2 2 2" xfId="5353"/>
    <cellStyle name="Note 3 2 3 2 3" xfId="4043"/>
    <cellStyle name="Note 3 2 3 3" xfId="2075"/>
    <cellStyle name="Note 3 2 3 3 2" xfId="4699"/>
    <cellStyle name="Note 3 2 3 4" xfId="3389"/>
    <cellStyle name="Note 3 2 4" xfId="1101"/>
    <cellStyle name="Note 3 2 4 2" xfId="2416"/>
    <cellStyle name="Note 3 2 4 2 2" xfId="5040"/>
    <cellStyle name="Note 3 2 4 3" xfId="3730"/>
    <cellStyle name="Note 3 2 5" xfId="1761"/>
    <cellStyle name="Note 3 2 5 2" xfId="4386"/>
    <cellStyle name="Note 3 2 6" xfId="3075"/>
    <cellStyle name="Note 3 20" xfId="1753"/>
    <cellStyle name="Note 3 20 2" xfId="4378"/>
    <cellStyle name="Note 3 21" xfId="3067"/>
    <cellStyle name="Note 3 3" xfId="338"/>
    <cellStyle name="Note 3 3 2" xfId="568"/>
    <cellStyle name="Note 3 3 2 2" xfId="896"/>
    <cellStyle name="Note 3 3 2 2 2" xfId="1554"/>
    <cellStyle name="Note 3 3 2 2 2 2" xfId="2867"/>
    <cellStyle name="Note 3 3 2 2 2 2 2" xfId="5491"/>
    <cellStyle name="Note 3 3 2 2 2 3" xfId="4181"/>
    <cellStyle name="Note 3 3 2 2 3" xfId="2213"/>
    <cellStyle name="Note 3 3 2 2 3 2" xfId="4837"/>
    <cellStyle name="Note 3 3 2 2 4" xfId="3527"/>
    <cellStyle name="Note 3 3 2 3" xfId="1240"/>
    <cellStyle name="Note 3 3 2 3 2" xfId="2554"/>
    <cellStyle name="Note 3 3 2 3 2 2" xfId="5178"/>
    <cellStyle name="Note 3 3 2 3 3" xfId="3868"/>
    <cellStyle name="Note 3 3 2 4" xfId="1900"/>
    <cellStyle name="Note 3 3 2 4 2" xfId="4524"/>
    <cellStyle name="Note 3 3 2 5" xfId="3214"/>
    <cellStyle name="Note 3 3 3" xfId="757"/>
    <cellStyle name="Note 3 3 3 2" xfId="1417"/>
    <cellStyle name="Note 3 3 3 2 2" xfId="2730"/>
    <cellStyle name="Note 3 3 3 2 2 2" xfId="5354"/>
    <cellStyle name="Note 3 3 3 2 3" xfId="4044"/>
    <cellStyle name="Note 3 3 3 3" xfId="2076"/>
    <cellStyle name="Note 3 3 3 3 2" xfId="4700"/>
    <cellStyle name="Note 3 3 3 4" xfId="3390"/>
    <cellStyle name="Note 3 3 4" xfId="1102"/>
    <cellStyle name="Note 3 3 4 2" xfId="2417"/>
    <cellStyle name="Note 3 3 4 2 2" xfId="5041"/>
    <cellStyle name="Note 3 3 4 3" xfId="3731"/>
    <cellStyle name="Note 3 3 5" xfId="1762"/>
    <cellStyle name="Note 3 3 5 2" xfId="4387"/>
    <cellStyle name="Note 3 3 6" xfId="3076"/>
    <cellStyle name="Note 3 4" xfId="339"/>
    <cellStyle name="Note 3 4 2" xfId="569"/>
    <cellStyle name="Note 3 4 2 2" xfId="897"/>
    <cellStyle name="Note 3 4 2 2 2" xfId="1555"/>
    <cellStyle name="Note 3 4 2 2 2 2" xfId="2868"/>
    <cellStyle name="Note 3 4 2 2 2 2 2" xfId="5492"/>
    <cellStyle name="Note 3 4 2 2 2 3" xfId="4182"/>
    <cellStyle name="Note 3 4 2 2 3" xfId="2214"/>
    <cellStyle name="Note 3 4 2 2 3 2" xfId="4838"/>
    <cellStyle name="Note 3 4 2 2 4" xfId="3528"/>
    <cellStyle name="Note 3 4 2 3" xfId="1241"/>
    <cellStyle name="Note 3 4 2 3 2" xfId="2555"/>
    <cellStyle name="Note 3 4 2 3 2 2" xfId="5179"/>
    <cellStyle name="Note 3 4 2 3 3" xfId="3869"/>
    <cellStyle name="Note 3 4 2 4" xfId="1901"/>
    <cellStyle name="Note 3 4 2 4 2" xfId="4525"/>
    <cellStyle name="Note 3 4 2 5" xfId="3215"/>
    <cellStyle name="Note 3 4 3" xfId="758"/>
    <cellStyle name="Note 3 4 3 2" xfId="1418"/>
    <cellStyle name="Note 3 4 3 2 2" xfId="2731"/>
    <cellStyle name="Note 3 4 3 2 2 2" xfId="5355"/>
    <cellStyle name="Note 3 4 3 2 3" xfId="4045"/>
    <cellStyle name="Note 3 4 3 3" xfId="2077"/>
    <cellStyle name="Note 3 4 3 3 2" xfId="4701"/>
    <cellStyle name="Note 3 4 3 4" xfId="3391"/>
    <cellStyle name="Note 3 4 4" xfId="1103"/>
    <cellStyle name="Note 3 4 4 2" xfId="2418"/>
    <cellStyle name="Note 3 4 4 2 2" xfId="5042"/>
    <cellStyle name="Note 3 4 4 3" xfId="3732"/>
    <cellStyle name="Note 3 4 5" xfId="1763"/>
    <cellStyle name="Note 3 4 5 2" xfId="4388"/>
    <cellStyle name="Note 3 4 6" xfId="3077"/>
    <cellStyle name="Note 3 5" xfId="340"/>
    <cellStyle name="Note 3 5 2" xfId="570"/>
    <cellStyle name="Note 3 5 2 2" xfId="898"/>
    <cellStyle name="Note 3 5 2 2 2" xfId="1556"/>
    <cellStyle name="Note 3 5 2 2 2 2" xfId="2869"/>
    <cellStyle name="Note 3 5 2 2 2 2 2" xfId="5493"/>
    <cellStyle name="Note 3 5 2 2 2 3" xfId="4183"/>
    <cellStyle name="Note 3 5 2 2 3" xfId="2215"/>
    <cellStyle name="Note 3 5 2 2 3 2" xfId="4839"/>
    <cellStyle name="Note 3 5 2 2 4" xfId="3529"/>
    <cellStyle name="Note 3 5 2 3" xfId="1242"/>
    <cellStyle name="Note 3 5 2 3 2" xfId="2556"/>
    <cellStyle name="Note 3 5 2 3 2 2" xfId="5180"/>
    <cellStyle name="Note 3 5 2 3 3" xfId="3870"/>
    <cellStyle name="Note 3 5 2 4" xfId="1902"/>
    <cellStyle name="Note 3 5 2 4 2" xfId="4526"/>
    <cellStyle name="Note 3 5 2 5" xfId="3216"/>
    <cellStyle name="Note 3 5 3" xfId="759"/>
    <cellStyle name="Note 3 5 3 2" xfId="1419"/>
    <cellStyle name="Note 3 5 3 2 2" xfId="2732"/>
    <cellStyle name="Note 3 5 3 2 2 2" xfId="5356"/>
    <cellStyle name="Note 3 5 3 2 3" xfId="4046"/>
    <cellStyle name="Note 3 5 3 3" xfId="2078"/>
    <cellStyle name="Note 3 5 3 3 2" xfId="4702"/>
    <cellStyle name="Note 3 5 3 4" xfId="3392"/>
    <cellStyle name="Note 3 5 4" xfId="1104"/>
    <cellStyle name="Note 3 5 4 2" xfId="2419"/>
    <cellStyle name="Note 3 5 4 2 2" xfId="5043"/>
    <cellStyle name="Note 3 5 4 3" xfId="3733"/>
    <cellStyle name="Note 3 5 5" xfId="1764"/>
    <cellStyle name="Note 3 5 5 2" xfId="4389"/>
    <cellStyle name="Note 3 5 6" xfId="3078"/>
    <cellStyle name="Note 3 6" xfId="341"/>
    <cellStyle name="Note 3 6 2" xfId="571"/>
    <cellStyle name="Note 3 6 2 2" xfId="899"/>
    <cellStyle name="Note 3 6 2 2 2" xfId="1557"/>
    <cellStyle name="Note 3 6 2 2 2 2" xfId="2870"/>
    <cellStyle name="Note 3 6 2 2 2 2 2" xfId="5494"/>
    <cellStyle name="Note 3 6 2 2 2 3" xfId="4184"/>
    <cellStyle name="Note 3 6 2 2 3" xfId="2216"/>
    <cellStyle name="Note 3 6 2 2 3 2" xfId="4840"/>
    <cellStyle name="Note 3 6 2 2 4" xfId="3530"/>
    <cellStyle name="Note 3 6 2 3" xfId="1243"/>
    <cellStyle name="Note 3 6 2 3 2" xfId="2557"/>
    <cellStyle name="Note 3 6 2 3 2 2" xfId="5181"/>
    <cellStyle name="Note 3 6 2 3 3" xfId="3871"/>
    <cellStyle name="Note 3 6 2 4" xfId="1903"/>
    <cellStyle name="Note 3 6 2 4 2" xfId="4527"/>
    <cellStyle name="Note 3 6 2 5" xfId="3217"/>
    <cellStyle name="Note 3 6 3" xfId="760"/>
    <cellStyle name="Note 3 6 3 2" xfId="1420"/>
    <cellStyle name="Note 3 6 3 2 2" xfId="2733"/>
    <cellStyle name="Note 3 6 3 2 2 2" xfId="5357"/>
    <cellStyle name="Note 3 6 3 2 3" xfId="4047"/>
    <cellStyle name="Note 3 6 3 3" xfId="2079"/>
    <cellStyle name="Note 3 6 3 3 2" xfId="4703"/>
    <cellStyle name="Note 3 6 3 4" xfId="3393"/>
    <cellStyle name="Note 3 6 4" xfId="1105"/>
    <cellStyle name="Note 3 6 4 2" xfId="2420"/>
    <cellStyle name="Note 3 6 4 2 2" xfId="5044"/>
    <cellStyle name="Note 3 6 4 3" xfId="3734"/>
    <cellStyle name="Note 3 6 5" xfId="1765"/>
    <cellStyle name="Note 3 6 5 2" xfId="4390"/>
    <cellStyle name="Note 3 6 6" xfId="3079"/>
    <cellStyle name="Note 3 7" xfId="342"/>
    <cellStyle name="Note 3 7 2" xfId="572"/>
    <cellStyle name="Note 3 7 2 2" xfId="900"/>
    <cellStyle name="Note 3 7 2 2 2" xfId="1558"/>
    <cellStyle name="Note 3 7 2 2 2 2" xfId="2871"/>
    <cellStyle name="Note 3 7 2 2 2 2 2" xfId="5495"/>
    <cellStyle name="Note 3 7 2 2 2 3" xfId="4185"/>
    <cellStyle name="Note 3 7 2 2 3" xfId="2217"/>
    <cellStyle name="Note 3 7 2 2 3 2" xfId="4841"/>
    <cellStyle name="Note 3 7 2 2 4" xfId="3531"/>
    <cellStyle name="Note 3 7 2 3" xfId="1244"/>
    <cellStyle name="Note 3 7 2 3 2" xfId="2558"/>
    <cellStyle name="Note 3 7 2 3 2 2" xfId="5182"/>
    <cellStyle name="Note 3 7 2 3 3" xfId="3872"/>
    <cellStyle name="Note 3 7 2 4" xfId="1904"/>
    <cellStyle name="Note 3 7 2 4 2" xfId="4528"/>
    <cellStyle name="Note 3 7 2 5" xfId="3218"/>
    <cellStyle name="Note 3 7 3" xfId="761"/>
    <cellStyle name="Note 3 7 3 2" xfId="1421"/>
    <cellStyle name="Note 3 7 3 2 2" xfId="2734"/>
    <cellStyle name="Note 3 7 3 2 2 2" xfId="5358"/>
    <cellStyle name="Note 3 7 3 2 3" xfId="4048"/>
    <cellStyle name="Note 3 7 3 3" xfId="2080"/>
    <cellStyle name="Note 3 7 3 3 2" xfId="4704"/>
    <cellStyle name="Note 3 7 3 4" xfId="3394"/>
    <cellStyle name="Note 3 7 4" xfId="1106"/>
    <cellStyle name="Note 3 7 4 2" xfId="2421"/>
    <cellStyle name="Note 3 7 4 2 2" xfId="5045"/>
    <cellStyle name="Note 3 7 4 3" xfId="3735"/>
    <cellStyle name="Note 3 7 5" xfId="1766"/>
    <cellStyle name="Note 3 7 5 2" xfId="4391"/>
    <cellStyle name="Note 3 7 6" xfId="3080"/>
    <cellStyle name="Note 3 8" xfId="343"/>
    <cellStyle name="Note 3 8 2" xfId="573"/>
    <cellStyle name="Note 3 8 2 2" xfId="901"/>
    <cellStyle name="Note 3 8 2 2 2" xfId="1559"/>
    <cellStyle name="Note 3 8 2 2 2 2" xfId="2872"/>
    <cellStyle name="Note 3 8 2 2 2 2 2" xfId="5496"/>
    <cellStyle name="Note 3 8 2 2 2 3" xfId="4186"/>
    <cellStyle name="Note 3 8 2 2 3" xfId="2218"/>
    <cellStyle name="Note 3 8 2 2 3 2" xfId="4842"/>
    <cellStyle name="Note 3 8 2 2 4" xfId="3532"/>
    <cellStyle name="Note 3 8 2 3" xfId="1245"/>
    <cellStyle name="Note 3 8 2 3 2" xfId="2559"/>
    <cellStyle name="Note 3 8 2 3 2 2" xfId="5183"/>
    <cellStyle name="Note 3 8 2 3 3" xfId="3873"/>
    <cellStyle name="Note 3 8 2 4" xfId="1905"/>
    <cellStyle name="Note 3 8 2 4 2" xfId="4529"/>
    <cellStyle name="Note 3 8 2 5" xfId="3219"/>
    <cellStyle name="Note 3 8 3" xfId="762"/>
    <cellStyle name="Note 3 8 3 2" xfId="1422"/>
    <cellStyle name="Note 3 8 3 2 2" xfId="2735"/>
    <cellStyle name="Note 3 8 3 2 2 2" xfId="5359"/>
    <cellStyle name="Note 3 8 3 2 3" xfId="4049"/>
    <cellStyle name="Note 3 8 3 3" xfId="2081"/>
    <cellStyle name="Note 3 8 3 3 2" xfId="4705"/>
    <cellStyle name="Note 3 8 3 4" xfId="3395"/>
    <cellStyle name="Note 3 8 4" xfId="1107"/>
    <cellStyle name="Note 3 8 4 2" xfId="2422"/>
    <cellStyle name="Note 3 8 4 2 2" xfId="5046"/>
    <cellStyle name="Note 3 8 4 3" xfId="3736"/>
    <cellStyle name="Note 3 8 5" xfId="1767"/>
    <cellStyle name="Note 3 8 5 2" xfId="4392"/>
    <cellStyle name="Note 3 8 6" xfId="3081"/>
    <cellStyle name="Note 3 9" xfId="344"/>
    <cellStyle name="Note 3 9 2" xfId="574"/>
    <cellStyle name="Note 3 9 2 2" xfId="902"/>
    <cellStyle name="Note 3 9 2 2 2" xfId="1560"/>
    <cellStyle name="Note 3 9 2 2 2 2" xfId="2873"/>
    <cellStyle name="Note 3 9 2 2 2 2 2" xfId="5497"/>
    <cellStyle name="Note 3 9 2 2 2 3" xfId="4187"/>
    <cellStyle name="Note 3 9 2 2 3" xfId="2219"/>
    <cellStyle name="Note 3 9 2 2 3 2" xfId="4843"/>
    <cellStyle name="Note 3 9 2 2 4" xfId="3533"/>
    <cellStyle name="Note 3 9 2 3" xfId="1246"/>
    <cellStyle name="Note 3 9 2 3 2" xfId="2560"/>
    <cellStyle name="Note 3 9 2 3 2 2" xfId="5184"/>
    <cellStyle name="Note 3 9 2 3 3" xfId="3874"/>
    <cellStyle name="Note 3 9 2 4" xfId="1906"/>
    <cellStyle name="Note 3 9 2 4 2" xfId="4530"/>
    <cellStyle name="Note 3 9 2 5" xfId="3220"/>
    <cellStyle name="Note 3 9 3" xfId="763"/>
    <cellStyle name="Note 3 9 3 2" xfId="1423"/>
    <cellStyle name="Note 3 9 3 2 2" xfId="2736"/>
    <cellStyle name="Note 3 9 3 2 2 2" xfId="5360"/>
    <cellStyle name="Note 3 9 3 2 3" xfId="4050"/>
    <cellStyle name="Note 3 9 3 3" xfId="2082"/>
    <cellStyle name="Note 3 9 3 3 2" xfId="4706"/>
    <cellStyle name="Note 3 9 3 4" xfId="3396"/>
    <cellStyle name="Note 3 9 4" xfId="1108"/>
    <cellStyle name="Note 3 9 4 2" xfId="2423"/>
    <cellStyle name="Note 3 9 4 2 2" xfId="5047"/>
    <cellStyle name="Note 3 9 4 3" xfId="3737"/>
    <cellStyle name="Note 3 9 5" xfId="1768"/>
    <cellStyle name="Note 3 9 5 2" xfId="4393"/>
    <cellStyle name="Note 3 9 6" xfId="3082"/>
    <cellStyle name="Note 4" xfId="345"/>
    <cellStyle name="Note 4 10" xfId="346"/>
    <cellStyle name="Note 4 10 2" xfId="576"/>
    <cellStyle name="Note 4 10 2 2" xfId="904"/>
    <cellStyle name="Note 4 10 2 2 2" xfId="1562"/>
    <cellStyle name="Note 4 10 2 2 2 2" xfId="2875"/>
    <cellStyle name="Note 4 10 2 2 2 2 2" xfId="5499"/>
    <cellStyle name="Note 4 10 2 2 2 3" xfId="4189"/>
    <cellStyle name="Note 4 10 2 2 3" xfId="2221"/>
    <cellStyle name="Note 4 10 2 2 3 2" xfId="4845"/>
    <cellStyle name="Note 4 10 2 2 4" xfId="3535"/>
    <cellStyle name="Note 4 10 2 3" xfId="1248"/>
    <cellStyle name="Note 4 10 2 3 2" xfId="2562"/>
    <cellStyle name="Note 4 10 2 3 2 2" xfId="5186"/>
    <cellStyle name="Note 4 10 2 3 3" xfId="3876"/>
    <cellStyle name="Note 4 10 2 4" xfId="1908"/>
    <cellStyle name="Note 4 10 2 4 2" xfId="4532"/>
    <cellStyle name="Note 4 10 2 5" xfId="3222"/>
    <cellStyle name="Note 4 10 3" xfId="765"/>
    <cellStyle name="Note 4 10 3 2" xfId="1425"/>
    <cellStyle name="Note 4 10 3 2 2" xfId="2738"/>
    <cellStyle name="Note 4 10 3 2 2 2" xfId="5362"/>
    <cellStyle name="Note 4 10 3 2 3" xfId="4052"/>
    <cellStyle name="Note 4 10 3 3" xfId="2084"/>
    <cellStyle name="Note 4 10 3 3 2" xfId="4708"/>
    <cellStyle name="Note 4 10 3 4" xfId="3398"/>
    <cellStyle name="Note 4 10 4" xfId="1110"/>
    <cellStyle name="Note 4 10 4 2" xfId="2425"/>
    <cellStyle name="Note 4 10 4 2 2" xfId="5049"/>
    <cellStyle name="Note 4 10 4 3" xfId="3739"/>
    <cellStyle name="Note 4 10 5" xfId="1770"/>
    <cellStyle name="Note 4 10 5 2" xfId="4395"/>
    <cellStyle name="Note 4 10 6" xfId="3084"/>
    <cellStyle name="Note 4 11" xfId="347"/>
    <cellStyle name="Note 4 11 2" xfId="577"/>
    <cellStyle name="Note 4 11 2 2" xfId="905"/>
    <cellStyle name="Note 4 11 2 2 2" xfId="1563"/>
    <cellStyle name="Note 4 11 2 2 2 2" xfId="2876"/>
    <cellStyle name="Note 4 11 2 2 2 2 2" xfId="5500"/>
    <cellStyle name="Note 4 11 2 2 2 3" xfId="4190"/>
    <cellStyle name="Note 4 11 2 2 3" xfId="2222"/>
    <cellStyle name="Note 4 11 2 2 3 2" xfId="4846"/>
    <cellStyle name="Note 4 11 2 2 4" xfId="3536"/>
    <cellStyle name="Note 4 11 2 3" xfId="1249"/>
    <cellStyle name="Note 4 11 2 3 2" xfId="2563"/>
    <cellStyle name="Note 4 11 2 3 2 2" xfId="5187"/>
    <cellStyle name="Note 4 11 2 3 3" xfId="3877"/>
    <cellStyle name="Note 4 11 2 4" xfId="1909"/>
    <cellStyle name="Note 4 11 2 4 2" xfId="4533"/>
    <cellStyle name="Note 4 11 2 5" xfId="3223"/>
    <cellStyle name="Note 4 11 3" xfId="766"/>
    <cellStyle name="Note 4 11 3 2" xfId="1426"/>
    <cellStyle name="Note 4 11 3 2 2" xfId="2739"/>
    <cellStyle name="Note 4 11 3 2 2 2" xfId="5363"/>
    <cellStyle name="Note 4 11 3 2 3" xfId="4053"/>
    <cellStyle name="Note 4 11 3 3" xfId="2085"/>
    <cellStyle name="Note 4 11 3 3 2" xfId="4709"/>
    <cellStyle name="Note 4 11 3 4" xfId="3399"/>
    <cellStyle name="Note 4 11 4" xfId="1111"/>
    <cellStyle name="Note 4 11 4 2" xfId="2426"/>
    <cellStyle name="Note 4 11 4 2 2" xfId="5050"/>
    <cellStyle name="Note 4 11 4 3" xfId="3740"/>
    <cellStyle name="Note 4 11 5" xfId="1771"/>
    <cellStyle name="Note 4 11 5 2" xfId="4396"/>
    <cellStyle name="Note 4 11 6" xfId="3085"/>
    <cellStyle name="Note 4 12" xfId="348"/>
    <cellStyle name="Note 4 12 2" xfId="578"/>
    <cellStyle name="Note 4 12 2 2" xfId="906"/>
    <cellStyle name="Note 4 12 2 2 2" xfId="1564"/>
    <cellStyle name="Note 4 12 2 2 2 2" xfId="2877"/>
    <cellStyle name="Note 4 12 2 2 2 2 2" xfId="5501"/>
    <cellStyle name="Note 4 12 2 2 2 3" xfId="4191"/>
    <cellStyle name="Note 4 12 2 2 3" xfId="2223"/>
    <cellStyle name="Note 4 12 2 2 3 2" xfId="4847"/>
    <cellStyle name="Note 4 12 2 2 4" xfId="3537"/>
    <cellStyle name="Note 4 12 2 3" xfId="1250"/>
    <cellStyle name="Note 4 12 2 3 2" xfId="2564"/>
    <cellStyle name="Note 4 12 2 3 2 2" xfId="5188"/>
    <cellStyle name="Note 4 12 2 3 3" xfId="3878"/>
    <cellStyle name="Note 4 12 2 4" xfId="1910"/>
    <cellStyle name="Note 4 12 2 4 2" xfId="4534"/>
    <cellStyle name="Note 4 12 2 5" xfId="3224"/>
    <cellStyle name="Note 4 12 3" xfId="767"/>
    <cellStyle name="Note 4 12 3 2" xfId="1427"/>
    <cellStyle name="Note 4 12 3 2 2" xfId="2740"/>
    <cellStyle name="Note 4 12 3 2 2 2" xfId="5364"/>
    <cellStyle name="Note 4 12 3 2 3" xfId="4054"/>
    <cellStyle name="Note 4 12 3 3" xfId="2086"/>
    <cellStyle name="Note 4 12 3 3 2" xfId="4710"/>
    <cellStyle name="Note 4 12 3 4" xfId="3400"/>
    <cellStyle name="Note 4 12 4" xfId="1112"/>
    <cellStyle name="Note 4 12 4 2" xfId="2427"/>
    <cellStyle name="Note 4 12 4 2 2" xfId="5051"/>
    <cellStyle name="Note 4 12 4 3" xfId="3741"/>
    <cellStyle name="Note 4 12 5" xfId="1772"/>
    <cellStyle name="Note 4 12 5 2" xfId="4397"/>
    <cellStyle name="Note 4 12 6" xfId="3086"/>
    <cellStyle name="Note 4 13" xfId="575"/>
    <cellStyle name="Note 4 13 2" xfId="903"/>
    <cellStyle name="Note 4 13 2 2" xfId="1561"/>
    <cellStyle name="Note 4 13 2 2 2" xfId="2874"/>
    <cellStyle name="Note 4 13 2 2 2 2" xfId="5498"/>
    <cellStyle name="Note 4 13 2 2 3" xfId="4188"/>
    <cellStyle name="Note 4 13 2 3" xfId="2220"/>
    <cellStyle name="Note 4 13 2 3 2" xfId="4844"/>
    <cellStyle name="Note 4 13 2 4" xfId="3534"/>
    <cellStyle name="Note 4 13 3" xfId="1247"/>
    <cellStyle name="Note 4 13 3 2" xfId="2561"/>
    <cellStyle name="Note 4 13 3 2 2" xfId="5185"/>
    <cellStyle name="Note 4 13 3 3" xfId="3875"/>
    <cellStyle name="Note 4 13 4" xfId="1907"/>
    <cellStyle name="Note 4 13 4 2" xfId="4531"/>
    <cellStyle name="Note 4 13 5" xfId="3221"/>
    <cellStyle name="Note 4 14" xfId="764"/>
    <cellStyle name="Note 4 14 2" xfId="1424"/>
    <cellStyle name="Note 4 14 2 2" xfId="2737"/>
    <cellStyle name="Note 4 14 2 2 2" xfId="5361"/>
    <cellStyle name="Note 4 14 2 3" xfId="4051"/>
    <cellStyle name="Note 4 14 3" xfId="2083"/>
    <cellStyle name="Note 4 14 3 2" xfId="4707"/>
    <cellStyle name="Note 4 14 4" xfId="3397"/>
    <cellStyle name="Note 4 15" xfId="1109"/>
    <cellStyle name="Note 4 15 2" xfId="2424"/>
    <cellStyle name="Note 4 15 2 2" xfId="5048"/>
    <cellStyle name="Note 4 15 3" xfId="3738"/>
    <cellStyle name="Note 4 16" xfId="1769"/>
    <cellStyle name="Note 4 16 2" xfId="4394"/>
    <cellStyle name="Note 4 17" xfId="3083"/>
    <cellStyle name="Note 4 2" xfId="349"/>
    <cellStyle name="Note 4 2 2" xfId="579"/>
    <cellStyle name="Note 4 2 2 2" xfId="907"/>
    <cellStyle name="Note 4 2 2 2 2" xfId="1565"/>
    <cellStyle name="Note 4 2 2 2 2 2" xfId="2878"/>
    <cellStyle name="Note 4 2 2 2 2 2 2" xfId="5502"/>
    <cellStyle name="Note 4 2 2 2 2 3" xfId="4192"/>
    <cellStyle name="Note 4 2 2 2 3" xfId="2224"/>
    <cellStyle name="Note 4 2 2 2 3 2" xfId="4848"/>
    <cellStyle name="Note 4 2 2 2 4" xfId="3538"/>
    <cellStyle name="Note 4 2 2 3" xfId="1251"/>
    <cellStyle name="Note 4 2 2 3 2" xfId="2565"/>
    <cellStyle name="Note 4 2 2 3 2 2" xfId="5189"/>
    <cellStyle name="Note 4 2 2 3 3" xfId="3879"/>
    <cellStyle name="Note 4 2 2 4" xfId="1911"/>
    <cellStyle name="Note 4 2 2 4 2" xfId="4535"/>
    <cellStyle name="Note 4 2 2 5" xfId="3225"/>
    <cellStyle name="Note 4 2 3" xfId="768"/>
    <cellStyle name="Note 4 2 3 2" xfId="1428"/>
    <cellStyle name="Note 4 2 3 2 2" xfId="2741"/>
    <cellStyle name="Note 4 2 3 2 2 2" xfId="5365"/>
    <cellStyle name="Note 4 2 3 2 3" xfId="4055"/>
    <cellStyle name="Note 4 2 3 3" xfId="2087"/>
    <cellStyle name="Note 4 2 3 3 2" xfId="4711"/>
    <cellStyle name="Note 4 2 3 4" xfId="3401"/>
    <cellStyle name="Note 4 2 4" xfId="1113"/>
    <cellStyle name="Note 4 2 4 2" xfId="2428"/>
    <cellStyle name="Note 4 2 4 2 2" xfId="5052"/>
    <cellStyle name="Note 4 2 4 3" xfId="3742"/>
    <cellStyle name="Note 4 2 5" xfId="1773"/>
    <cellStyle name="Note 4 2 5 2" xfId="4398"/>
    <cellStyle name="Note 4 2 6" xfId="3087"/>
    <cellStyle name="Note 4 3" xfId="350"/>
    <cellStyle name="Note 4 3 2" xfId="580"/>
    <cellStyle name="Note 4 3 2 2" xfId="908"/>
    <cellStyle name="Note 4 3 2 2 2" xfId="1566"/>
    <cellStyle name="Note 4 3 2 2 2 2" xfId="2879"/>
    <cellStyle name="Note 4 3 2 2 2 2 2" xfId="5503"/>
    <cellStyle name="Note 4 3 2 2 2 3" xfId="4193"/>
    <cellStyle name="Note 4 3 2 2 3" xfId="2225"/>
    <cellStyle name="Note 4 3 2 2 3 2" xfId="4849"/>
    <cellStyle name="Note 4 3 2 2 4" xfId="3539"/>
    <cellStyle name="Note 4 3 2 3" xfId="1252"/>
    <cellStyle name="Note 4 3 2 3 2" xfId="2566"/>
    <cellStyle name="Note 4 3 2 3 2 2" xfId="5190"/>
    <cellStyle name="Note 4 3 2 3 3" xfId="3880"/>
    <cellStyle name="Note 4 3 2 4" xfId="1912"/>
    <cellStyle name="Note 4 3 2 4 2" xfId="4536"/>
    <cellStyle name="Note 4 3 2 5" xfId="3226"/>
    <cellStyle name="Note 4 3 3" xfId="769"/>
    <cellStyle name="Note 4 3 3 2" xfId="1429"/>
    <cellStyle name="Note 4 3 3 2 2" xfId="2742"/>
    <cellStyle name="Note 4 3 3 2 2 2" xfId="5366"/>
    <cellStyle name="Note 4 3 3 2 3" xfId="4056"/>
    <cellStyle name="Note 4 3 3 3" xfId="2088"/>
    <cellStyle name="Note 4 3 3 3 2" xfId="4712"/>
    <cellStyle name="Note 4 3 3 4" xfId="3402"/>
    <cellStyle name="Note 4 3 4" xfId="1114"/>
    <cellStyle name="Note 4 3 4 2" xfId="2429"/>
    <cellStyle name="Note 4 3 4 2 2" xfId="5053"/>
    <cellStyle name="Note 4 3 4 3" xfId="3743"/>
    <cellStyle name="Note 4 3 5" xfId="1774"/>
    <cellStyle name="Note 4 3 5 2" xfId="4399"/>
    <cellStyle name="Note 4 3 6" xfId="3088"/>
    <cellStyle name="Note 4 4" xfId="351"/>
    <cellStyle name="Note 4 4 2" xfId="581"/>
    <cellStyle name="Note 4 4 2 2" xfId="909"/>
    <cellStyle name="Note 4 4 2 2 2" xfId="1567"/>
    <cellStyle name="Note 4 4 2 2 2 2" xfId="2880"/>
    <cellStyle name="Note 4 4 2 2 2 2 2" xfId="5504"/>
    <cellStyle name="Note 4 4 2 2 2 3" xfId="4194"/>
    <cellStyle name="Note 4 4 2 2 3" xfId="2226"/>
    <cellStyle name="Note 4 4 2 2 3 2" xfId="4850"/>
    <cellStyle name="Note 4 4 2 2 4" xfId="3540"/>
    <cellStyle name="Note 4 4 2 3" xfId="1253"/>
    <cellStyle name="Note 4 4 2 3 2" xfId="2567"/>
    <cellStyle name="Note 4 4 2 3 2 2" xfId="5191"/>
    <cellStyle name="Note 4 4 2 3 3" xfId="3881"/>
    <cellStyle name="Note 4 4 2 4" xfId="1913"/>
    <cellStyle name="Note 4 4 2 4 2" xfId="4537"/>
    <cellStyle name="Note 4 4 2 5" xfId="3227"/>
    <cellStyle name="Note 4 4 3" xfId="770"/>
    <cellStyle name="Note 4 4 3 2" xfId="1430"/>
    <cellStyle name="Note 4 4 3 2 2" xfId="2743"/>
    <cellStyle name="Note 4 4 3 2 2 2" xfId="5367"/>
    <cellStyle name="Note 4 4 3 2 3" xfId="4057"/>
    <cellStyle name="Note 4 4 3 3" xfId="2089"/>
    <cellStyle name="Note 4 4 3 3 2" xfId="4713"/>
    <cellStyle name="Note 4 4 3 4" xfId="3403"/>
    <cellStyle name="Note 4 4 4" xfId="1115"/>
    <cellStyle name="Note 4 4 4 2" xfId="2430"/>
    <cellStyle name="Note 4 4 4 2 2" xfId="5054"/>
    <cellStyle name="Note 4 4 4 3" xfId="3744"/>
    <cellStyle name="Note 4 4 5" xfId="1775"/>
    <cellStyle name="Note 4 4 5 2" xfId="4400"/>
    <cellStyle name="Note 4 4 6" xfId="3089"/>
    <cellStyle name="Note 4 5" xfId="352"/>
    <cellStyle name="Note 4 5 2" xfId="582"/>
    <cellStyle name="Note 4 5 2 2" xfId="910"/>
    <cellStyle name="Note 4 5 2 2 2" xfId="1568"/>
    <cellStyle name="Note 4 5 2 2 2 2" xfId="2881"/>
    <cellStyle name="Note 4 5 2 2 2 2 2" xfId="5505"/>
    <cellStyle name="Note 4 5 2 2 2 3" xfId="4195"/>
    <cellStyle name="Note 4 5 2 2 3" xfId="2227"/>
    <cellStyle name="Note 4 5 2 2 3 2" xfId="4851"/>
    <cellStyle name="Note 4 5 2 2 4" xfId="3541"/>
    <cellStyle name="Note 4 5 2 3" xfId="1254"/>
    <cellStyle name="Note 4 5 2 3 2" xfId="2568"/>
    <cellStyle name="Note 4 5 2 3 2 2" xfId="5192"/>
    <cellStyle name="Note 4 5 2 3 3" xfId="3882"/>
    <cellStyle name="Note 4 5 2 4" xfId="1914"/>
    <cellStyle name="Note 4 5 2 4 2" xfId="4538"/>
    <cellStyle name="Note 4 5 2 5" xfId="3228"/>
    <cellStyle name="Note 4 5 3" xfId="771"/>
    <cellStyle name="Note 4 5 3 2" xfId="1431"/>
    <cellStyle name="Note 4 5 3 2 2" xfId="2744"/>
    <cellStyle name="Note 4 5 3 2 2 2" xfId="5368"/>
    <cellStyle name="Note 4 5 3 2 3" xfId="4058"/>
    <cellStyle name="Note 4 5 3 3" xfId="2090"/>
    <cellStyle name="Note 4 5 3 3 2" xfId="4714"/>
    <cellStyle name="Note 4 5 3 4" xfId="3404"/>
    <cellStyle name="Note 4 5 4" xfId="1116"/>
    <cellStyle name="Note 4 5 4 2" xfId="2431"/>
    <cellStyle name="Note 4 5 4 2 2" xfId="5055"/>
    <cellStyle name="Note 4 5 4 3" xfId="3745"/>
    <cellStyle name="Note 4 5 5" xfId="1776"/>
    <cellStyle name="Note 4 5 5 2" xfId="4401"/>
    <cellStyle name="Note 4 5 6" xfId="3090"/>
    <cellStyle name="Note 4 6" xfId="353"/>
    <cellStyle name="Note 4 6 2" xfId="583"/>
    <cellStyle name="Note 4 6 2 2" xfId="911"/>
    <cellStyle name="Note 4 6 2 2 2" xfId="1569"/>
    <cellStyle name="Note 4 6 2 2 2 2" xfId="2882"/>
    <cellStyle name="Note 4 6 2 2 2 2 2" xfId="5506"/>
    <cellStyle name="Note 4 6 2 2 2 3" xfId="4196"/>
    <cellStyle name="Note 4 6 2 2 3" xfId="2228"/>
    <cellStyle name="Note 4 6 2 2 3 2" xfId="4852"/>
    <cellStyle name="Note 4 6 2 2 4" xfId="3542"/>
    <cellStyle name="Note 4 6 2 3" xfId="1255"/>
    <cellStyle name="Note 4 6 2 3 2" xfId="2569"/>
    <cellStyle name="Note 4 6 2 3 2 2" xfId="5193"/>
    <cellStyle name="Note 4 6 2 3 3" xfId="3883"/>
    <cellStyle name="Note 4 6 2 4" xfId="1915"/>
    <cellStyle name="Note 4 6 2 4 2" xfId="4539"/>
    <cellStyle name="Note 4 6 2 5" xfId="3229"/>
    <cellStyle name="Note 4 6 3" xfId="772"/>
    <cellStyle name="Note 4 6 3 2" xfId="1432"/>
    <cellStyle name="Note 4 6 3 2 2" xfId="2745"/>
    <cellStyle name="Note 4 6 3 2 2 2" xfId="5369"/>
    <cellStyle name="Note 4 6 3 2 3" xfId="4059"/>
    <cellStyle name="Note 4 6 3 3" xfId="2091"/>
    <cellStyle name="Note 4 6 3 3 2" xfId="4715"/>
    <cellStyle name="Note 4 6 3 4" xfId="3405"/>
    <cellStyle name="Note 4 6 4" xfId="1117"/>
    <cellStyle name="Note 4 6 4 2" xfId="2432"/>
    <cellStyle name="Note 4 6 4 2 2" xfId="5056"/>
    <cellStyle name="Note 4 6 4 3" xfId="3746"/>
    <cellStyle name="Note 4 6 5" xfId="1777"/>
    <cellStyle name="Note 4 6 5 2" xfId="4402"/>
    <cellStyle name="Note 4 6 6" xfId="3091"/>
    <cellStyle name="Note 4 7" xfId="354"/>
    <cellStyle name="Note 4 7 2" xfId="584"/>
    <cellStyle name="Note 4 7 2 2" xfId="912"/>
    <cellStyle name="Note 4 7 2 2 2" xfId="1570"/>
    <cellStyle name="Note 4 7 2 2 2 2" xfId="2883"/>
    <cellStyle name="Note 4 7 2 2 2 2 2" xfId="5507"/>
    <cellStyle name="Note 4 7 2 2 2 3" xfId="4197"/>
    <cellStyle name="Note 4 7 2 2 3" xfId="2229"/>
    <cellStyle name="Note 4 7 2 2 3 2" xfId="4853"/>
    <cellStyle name="Note 4 7 2 2 4" xfId="3543"/>
    <cellStyle name="Note 4 7 2 3" xfId="1256"/>
    <cellStyle name="Note 4 7 2 3 2" xfId="2570"/>
    <cellStyle name="Note 4 7 2 3 2 2" xfId="5194"/>
    <cellStyle name="Note 4 7 2 3 3" xfId="3884"/>
    <cellStyle name="Note 4 7 2 4" xfId="1916"/>
    <cellStyle name="Note 4 7 2 4 2" xfId="4540"/>
    <cellStyle name="Note 4 7 2 5" xfId="3230"/>
    <cellStyle name="Note 4 7 3" xfId="773"/>
    <cellStyle name="Note 4 7 3 2" xfId="1433"/>
    <cellStyle name="Note 4 7 3 2 2" xfId="2746"/>
    <cellStyle name="Note 4 7 3 2 2 2" xfId="5370"/>
    <cellStyle name="Note 4 7 3 2 3" xfId="4060"/>
    <cellStyle name="Note 4 7 3 3" xfId="2092"/>
    <cellStyle name="Note 4 7 3 3 2" xfId="4716"/>
    <cellStyle name="Note 4 7 3 4" xfId="3406"/>
    <cellStyle name="Note 4 7 4" xfId="1118"/>
    <cellStyle name="Note 4 7 4 2" xfId="2433"/>
    <cellStyle name="Note 4 7 4 2 2" xfId="5057"/>
    <cellStyle name="Note 4 7 4 3" xfId="3747"/>
    <cellStyle name="Note 4 7 5" xfId="1778"/>
    <cellStyle name="Note 4 7 5 2" xfId="4403"/>
    <cellStyle name="Note 4 7 6" xfId="3092"/>
    <cellStyle name="Note 4 8" xfId="355"/>
    <cellStyle name="Note 4 8 2" xfId="585"/>
    <cellStyle name="Note 4 8 2 2" xfId="913"/>
    <cellStyle name="Note 4 8 2 2 2" xfId="1571"/>
    <cellStyle name="Note 4 8 2 2 2 2" xfId="2884"/>
    <cellStyle name="Note 4 8 2 2 2 2 2" xfId="5508"/>
    <cellStyle name="Note 4 8 2 2 2 3" xfId="4198"/>
    <cellStyle name="Note 4 8 2 2 3" xfId="2230"/>
    <cellStyle name="Note 4 8 2 2 3 2" xfId="4854"/>
    <cellStyle name="Note 4 8 2 2 4" xfId="3544"/>
    <cellStyle name="Note 4 8 2 3" xfId="1257"/>
    <cellStyle name="Note 4 8 2 3 2" xfId="2571"/>
    <cellStyle name="Note 4 8 2 3 2 2" xfId="5195"/>
    <cellStyle name="Note 4 8 2 3 3" xfId="3885"/>
    <cellStyle name="Note 4 8 2 4" xfId="1917"/>
    <cellStyle name="Note 4 8 2 4 2" xfId="4541"/>
    <cellStyle name="Note 4 8 2 5" xfId="3231"/>
    <cellStyle name="Note 4 8 3" xfId="774"/>
    <cellStyle name="Note 4 8 3 2" xfId="1434"/>
    <cellStyle name="Note 4 8 3 2 2" xfId="2747"/>
    <cellStyle name="Note 4 8 3 2 2 2" xfId="5371"/>
    <cellStyle name="Note 4 8 3 2 3" xfId="4061"/>
    <cellStyle name="Note 4 8 3 3" xfId="2093"/>
    <cellStyle name="Note 4 8 3 3 2" xfId="4717"/>
    <cellStyle name="Note 4 8 3 4" xfId="3407"/>
    <cellStyle name="Note 4 8 4" xfId="1119"/>
    <cellStyle name="Note 4 8 4 2" xfId="2434"/>
    <cellStyle name="Note 4 8 4 2 2" xfId="5058"/>
    <cellStyle name="Note 4 8 4 3" xfId="3748"/>
    <cellStyle name="Note 4 8 5" xfId="1779"/>
    <cellStyle name="Note 4 8 5 2" xfId="4404"/>
    <cellStyle name="Note 4 8 6" xfId="3093"/>
    <cellStyle name="Note 4 9" xfId="356"/>
    <cellStyle name="Note 4 9 2" xfId="586"/>
    <cellStyle name="Note 4 9 2 2" xfId="914"/>
    <cellStyle name="Note 4 9 2 2 2" xfId="1572"/>
    <cellStyle name="Note 4 9 2 2 2 2" xfId="2885"/>
    <cellStyle name="Note 4 9 2 2 2 2 2" xfId="5509"/>
    <cellStyle name="Note 4 9 2 2 2 3" xfId="4199"/>
    <cellStyle name="Note 4 9 2 2 3" xfId="2231"/>
    <cellStyle name="Note 4 9 2 2 3 2" xfId="4855"/>
    <cellStyle name="Note 4 9 2 2 4" xfId="3545"/>
    <cellStyle name="Note 4 9 2 3" xfId="1258"/>
    <cellStyle name="Note 4 9 2 3 2" xfId="2572"/>
    <cellStyle name="Note 4 9 2 3 2 2" xfId="5196"/>
    <cellStyle name="Note 4 9 2 3 3" xfId="3886"/>
    <cellStyle name="Note 4 9 2 4" xfId="1918"/>
    <cellStyle name="Note 4 9 2 4 2" xfId="4542"/>
    <cellStyle name="Note 4 9 2 5" xfId="3232"/>
    <cellStyle name="Note 4 9 3" xfId="775"/>
    <cellStyle name="Note 4 9 3 2" xfId="1435"/>
    <cellStyle name="Note 4 9 3 2 2" xfId="2748"/>
    <cellStyle name="Note 4 9 3 2 2 2" xfId="5372"/>
    <cellStyle name="Note 4 9 3 2 3" xfId="4062"/>
    <cellStyle name="Note 4 9 3 3" xfId="2094"/>
    <cellStyle name="Note 4 9 3 3 2" xfId="4718"/>
    <cellStyle name="Note 4 9 3 4" xfId="3408"/>
    <cellStyle name="Note 4 9 4" xfId="1120"/>
    <cellStyle name="Note 4 9 4 2" xfId="2435"/>
    <cellStyle name="Note 4 9 4 2 2" xfId="5059"/>
    <cellStyle name="Note 4 9 4 3" xfId="3749"/>
    <cellStyle name="Note 4 9 5" xfId="1780"/>
    <cellStyle name="Note 4 9 5 2" xfId="4405"/>
    <cellStyle name="Note 4 9 6" xfId="3094"/>
    <cellStyle name="Note 5" xfId="357"/>
    <cellStyle name="Note 5 10" xfId="776"/>
    <cellStyle name="Note 5 10 2" xfId="1436"/>
    <cellStyle name="Note 5 10 2 2" xfId="2749"/>
    <cellStyle name="Note 5 10 2 2 2" xfId="5373"/>
    <cellStyle name="Note 5 10 2 3" xfId="4063"/>
    <cellStyle name="Note 5 10 3" xfId="2095"/>
    <cellStyle name="Note 5 10 3 2" xfId="4719"/>
    <cellStyle name="Note 5 10 4" xfId="3409"/>
    <cellStyle name="Note 5 11" xfId="1121"/>
    <cellStyle name="Note 5 11 2" xfId="2436"/>
    <cellStyle name="Note 5 11 2 2" xfId="5060"/>
    <cellStyle name="Note 5 11 3" xfId="3750"/>
    <cellStyle name="Note 5 12" xfId="1781"/>
    <cellStyle name="Note 5 12 2" xfId="4406"/>
    <cellStyle name="Note 5 13" xfId="3095"/>
    <cellStyle name="Note 5 2" xfId="358"/>
    <cellStyle name="Note 5 2 2" xfId="588"/>
    <cellStyle name="Note 5 2 2 2" xfId="916"/>
    <cellStyle name="Note 5 2 2 2 2" xfId="1574"/>
    <cellStyle name="Note 5 2 2 2 2 2" xfId="2887"/>
    <cellStyle name="Note 5 2 2 2 2 2 2" xfId="5511"/>
    <cellStyle name="Note 5 2 2 2 2 3" xfId="4201"/>
    <cellStyle name="Note 5 2 2 2 3" xfId="2233"/>
    <cellStyle name="Note 5 2 2 2 3 2" xfId="4857"/>
    <cellStyle name="Note 5 2 2 2 4" xfId="3547"/>
    <cellStyle name="Note 5 2 2 3" xfId="1260"/>
    <cellStyle name="Note 5 2 2 3 2" xfId="2574"/>
    <cellStyle name="Note 5 2 2 3 2 2" xfId="5198"/>
    <cellStyle name="Note 5 2 2 3 3" xfId="3888"/>
    <cellStyle name="Note 5 2 2 4" xfId="1920"/>
    <cellStyle name="Note 5 2 2 4 2" xfId="4544"/>
    <cellStyle name="Note 5 2 2 5" xfId="3234"/>
    <cellStyle name="Note 5 2 3" xfId="777"/>
    <cellStyle name="Note 5 2 3 2" xfId="1437"/>
    <cellStyle name="Note 5 2 3 2 2" xfId="2750"/>
    <cellStyle name="Note 5 2 3 2 2 2" xfId="5374"/>
    <cellStyle name="Note 5 2 3 2 3" xfId="4064"/>
    <cellStyle name="Note 5 2 3 3" xfId="2096"/>
    <cellStyle name="Note 5 2 3 3 2" xfId="4720"/>
    <cellStyle name="Note 5 2 3 4" xfId="3410"/>
    <cellStyle name="Note 5 2 4" xfId="1122"/>
    <cellStyle name="Note 5 2 4 2" xfId="2437"/>
    <cellStyle name="Note 5 2 4 2 2" xfId="5061"/>
    <cellStyle name="Note 5 2 4 3" xfId="3751"/>
    <cellStyle name="Note 5 2 5" xfId="1782"/>
    <cellStyle name="Note 5 2 5 2" xfId="4407"/>
    <cellStyle name="Note 5 2 6" xfId="3096"/>
    <cellStyle name="Note 5 3" xfId="359"/>
    <cellStyle name="Note 5 3 2" xfId="589"/>
    <cellStyle name="Note 5 3 2 2" xfId="917"/>
    <cellStyle name="Note 5 3 2 2 2" xfId="1575"/>
    <cellStyle name="Note 5 3 2 2 2 2" xfId="2888"/>
    <cellStyle name="Note 5 3 2 2 2 2 2" xfId="5512"/>
    <cellStyle name="Note 5 3 2 2 2 3" xfId="4202"/>
    <cellStyle name="Note 5 3 2 2 3" xfId="2234"/>
    <cellStyle name="Note 5 3 2 2 3 2" xfId="4858"/>
    <cellStyle name="Note 5 3 2 2 4" xfId="3548"/>
    <cellStyle name="Note 5 3 2 3" xfId="1261"/>
    <cellStyle name="Note 5 3 2 3 2" xfId="2575"/>
    <cellStyle name="Note 5 3 2 3 2 2" xfId="5199"/>
    <cellStyle name="Note 5 3 2 3 3" xfId="3889"/>
    <cellStyle name="Note 5 3 2 4" xfId="1921"/>
    <cellStyle name="Note 5 3 2 4 2" xfId="4545"/>
    <cellStyle name="Note 5 3 2 5" xfId="3235"/>
    <cellStyle name="Note 5 3 3" xfId="778"/>
    <cellStyle name="Note 5 3 3 2" xfId="1438"/>
    <cellStyle name="Note 5 3 3 2 2" xfId="2751"/>
    <cellStyle name="Note 5 3 3 2 2 2" xfId="5375"/>
    <cellStyle name="Note 5 3 3 2 3" xfId="4065"/>
    <cellStyle name="Note 5 3 3 3" xfId="2097"/>
    <cellStyle name="Note 5 3 3 3 2" xfId="4721"/>
    <cellStyle name="Note 5 3 3 4" xfId="3411"/>
    <cellStyle name="Note 5 3 4" xfId="1123"/>
    <cellStyle name="Note 5 3 4 2" xfId="2438"/>
    <cellStyle name="Note 5 3 4 2 2" xfId="5062"/>
    <cellStyle name="Note 5 3 4 3" xfId="3752"/>
    <cellStyle name="Note 5 3 5" xfId="1783"/>
    <cellStyle name="Note 5 3 5 2" xfId="4408"/>
    <cellStyle name="Note 5 3 6" xfId="3097"/>
    <cellStyle name="Note 5 4" xfId="360"/>
    <cellStyle name="Note 5 4 2" xfId="590"/>
    <cellStyle name="Note 5 4 2 2" xfId="918"/>
    <cellStyle name="Note 5 4 2 2 2" xfId="1576"/>
    <cellStyle name="Note 5 4 2 2 2 2" xfId="2889"/>
    <cellStyle name="Note 5 4 2 2 2 2 2" xfId="5513"/>
    <cellStyle name="Note 5 4 2 2 2 3" xfId="4203"/>
    <cellStyle name="Note 5 4 2 2 3" xfId="2235"/>
    <cellStyle name="Note 5 4 2 2 3 2" xfId="4859"/>
    <cellStyle name="Note 5 4 2 2 4" xfId="3549"/>
    <cellStyle name="Note 5 4 2 3" xfId="1262"/>
    <cellStyle name="Note 5 4 2 3 2" xfId="2576"/>
    <cellStyle name="Note 5 4 2 3 2 2" xfId="5200"/>
    <cellStyle name="Note 5 4 2 3 3" xfId="3890"/>
    <cellStyle name="Note 5 4 2 4" xfId="1922"/>
    <cellStyle name="Note 5 4 2 4 2" xfId="4546"/>
    <cellStyle name="Note 5 4 2 5" xfId="3236"/>
    <cellStyle name="Note 5 4 3" xfId="779"/>
    <cellStyle name="Note 5 4 3 2" xfId="1439"/>
    <cellStyle name="Note 5 4 3 2 2" xfId="2752"/>
    <cellStyle name="Note 5 4 3 2 2 2" xfId="5376"/>
    <cellStyle name="Note 5 4 3 2 3" xfId="4066"/>
    <cellStyle name="Note 5 4 3 3" xfId="2098"/>
    <cellStyle name="Note 5 4 3 3 2" xfId="4722"/>
    <cellStyle name="Note 5 4 3 4" xfId="3412"/>
    <cellStyle name="Note 5 4 4" xfId="1124"/>
    <cellStyle name="Note 5 4 4 2" xfId="2439"/>
    <cellStyle name="Note 5 4 4 2 2" xfId="5063"/>
    <cellStyle name="Note 5 4 4 3" xfId="3753"/>
    <cellStyle name="Note 5 4 5" xfId="1784"/>
    <cellStyle name="Note 5 4 5 2" xfId="4409"/>
    <cellStyle name="Note 5 4 6" xfId="3098"/>
    <cellStyle name="Note 5 5" xfId="361"/>
    <cellStyle name="Note 5 5 2" xfId="591"/>
    <cellStyle name="Note 5 5 2 2" xfId="919"/>
    <cellStyle name="Note 5 5 2 2 2" xfId="1577"/>
    <cellStyle name="Note 5 5 2 2 2 2" xfId="2890"/>
    <cellStyle name="Note 5 5 2 2 2 2 2" xfId="5514"/>
    <cellStyle name="Note 5 5 2 2 2 3" xfId="4204"/>
    <cellStyle name="Note 5 5 2 2 3" xfId="2236"/>
    <cellStyle name="Note 5 5 2 2 3 2" xfId="4860"/>
    <cellStyle name="Note 5 5 2 2 4" xfId="3550"/>
    <cellStyle name="Note 5 5 2 3" xfId="1263"/>
    <cellStyle name="Note 5 5 2 3 2" xfId="2577"/>
    <cellStyle name="Note 5 5 2 3 2 2" xfId="5201"/>
    <cellStyle name="Note 5 5 2 3 3" xfId="3891"/>
    <cellStyle name="Note 5 5 2 4" xfId="1923"/>
    <cellStyle name="Note 5 5 2 4 2" xfId="4547"/>
    <cellStyle name="Note 5 5 2 5" xfId="3237"/>
    <cellStyle name="Note 5 5 3" xfId="780"/>
    <cellStyle name="Note 5 5 3 2" xfId="1440"/>
    <cellStyle name="Note 5 5 3 2 2" xfId="2753"/>
    <cellStyle name="Note 5 5 3 2 2 2" xfId="5377"/>
    <cellStyle name="Note 5 5 3 2 3" xfId="4067"/>
    <cellStyle name="Note 5 5 3 3" xfId="2099"/>
    <cellStyle name="Note 5 5 3 3 2" xfId="4723"/>
    <cellStyle name="Note 5 5 3 4" xfId="3413"/>
    <cellStyle name="Note 5 5 4" xfId="1125"/>
    <cellStyle name="Note 5 5 4 2" xfId="2440"/>
    <cellStyle name="Note 5 5 4 2 2" xfId="5064"/>
    <cellStyle name="Note 5 5 4 3" xfId="3754"/>
    <cellStyle name="Note 5 5 5" xfId="1785"/>
    <cellStyle name="Note 5 5 5 2" xfId="4410"/>
    <cellStyle name="Note 5 5 6" xfId="3099"/>
    <cellStyle name="Note 5 6" xfId="362"/>
    <cellStyle name="Note 5 6 2" xfId="592"/>
    <cellStyle name="Note 5 6 2 2" xfId="920"/>
    <cellStyle name="Note 5 6 2 2 2" xfId="1578"/>
    <cellStyle name="Note 5 6 2 2 2 2" xfId="2891"/>
    <cellStyle name="Note 5 6 2 2 2 2 2" xfId="5515"/>
    <cellStyle name="Note 5 6 2 2 2 3" xfId="4205"/>
    <cellStyle name="Note 5 6 2 2 3" xfId="2237"/>
    <cellStyle name="Note 5 6 2 2 3 2" xfId="4861"/>
    <cellStyle name="Note 5 6 2 2 4" xfId="3551"/>
    <cellStyle name="Note 5 6 2 3" xfId="1264"/>
    <cellStyle name="Note 5 6 2 3 2" xfId="2578"/>
    <cellStyle name="Note 5 6 2 3 2 2" xfId="5202"/>
    <cellStyle name="Note 5 6 2 3 3" xfId="3892"/>
    <cellStyle name="Note 5 6 2 4" xfId="1924"/>
    <cellStyle name="Note 5 6 2 4 2" xfId="4548"/>
    <cellStyle name="Note 5 6 2 5" xfId="3238"/>
    <cellStyle name="Note 5 6 3" xfId="781"/>
    <cellStyle name="Note 5 6 3 2" xfId="1441"/>
    <cellStyle name="Note 5 6 3 2 2" xfId="2754"/>
    <cellStyle name="Note 5 6 3 2 2 2" xfId="5378"/>
    <cellStyle name="Note 5 6 3 2 3" xfId="4068"/>
    <cellStyle name="Note 5 6 3 3" xfId="2100"/>
    <cellStyle name="Note 5 6 3 3 2" xfId="4724"/>
    <cellStyle name="Note 5 6 3 4" xfId="3414"/>
    <cellStyle name="Note 5 6 4" xfId="1126"/>
    <cellStyle name="Note 5 6 4 2" xfId="2441"/>
    <cellStyle name="Note 5 6 4 2 2" xfId="5065"/>
    <cellStyle name="Note 5 6 4 3" xfId="3755"/>
    <cellStyle name="Note 5 6 5" xfId="1786"/>
    <cellStyle name="Note 5 6 5 2" xfId="4411"/>
    <cellStyle name="Note 5 6 6" xfId="3100"/>
    <cellStyle name="Note 5 7" xfId="363"/>
    <cellStyle name="Note 5 7 2" xfId="593"/>
    <cellStyle name="Note 5 7 2 2" xfId="921"/>
    <cellStyle name="Note 5 7 2 2 2" xfId="1579"/>
    <cellStyle name="Note 5 7 2 2 2 2" xfId="2892"/>
    <cellStyle name="Note 5 7 2 2 2 2 2" xfId="5516"/>
    <cellStyle name="Note 5 7 2 2 2 3" xfId="4206"/>
    <cellStyle name="Note 5 7 2 2 3" xfId="2238"/>
    <cellStyle name="Note 5 7 2 2 3 2" xfId="4862"/>
    <cellStyle name="Note 5 7 2 2 4" xfId="3552"/>
    <cellStyle name="Note 5 7 2 3" xfId="1265"/>
    <cellStyle name="Note 5 7 2 3 2" xfId="2579"/>
    <cellStyle name="Note 5 7 2 3 2 2" xfId="5203"/>
    <cellStyle name="Note 5 7 2 3 3" xfId="3893"/>
    <cellStyle name="Note 5 7 2 4" xfId="1925"/>
    <cellStyle name="Note 5 7 2 4 2" xfId="4549"/>
    <cellStyle name="Note 5 7 2 5" xfId="3239"/>
    <cellStyle name="Note 5 7 3" xfId="782"/>
    <cellStyle name="Note 5 7 3 2" xfId="1442"/>
    <cellStyle name="Note 5 7 3 2 2" xfId="2755"/>
    <cellStyle name="Note 5 7 3 2 2 2" xfId="5379"/>
    <cellStyle name="Note 5 7 3 2 3" xfId="4069"/>
    <cellStyle name="Note 5 7 3 3" xfId="2101"/>
    <cellStyle name="Note 5 7 3 3 2" xfId="4725"/>
    <cellStyle name="Note 5 7 3 4" xfId="3415"/>
    <cellStyle name="Note 5 7 4" xfId="1127"/>
    <cellStyle name="Note 5 7 4 2" xfId="2442"/>
    <cellStyle name="Note 5 7 4 2 2" xfId="5066"/>
    <cellStyle name="Note 5 7 4 3" xfId="3756"/>
    <cellStyle name="Note 5 7 5" xfId="1787"/>
    <cellStyle name="Note 5 7 5 2" xfId="4412"/>
    <cellStyle name="Note 5 7 6" xfId="3101"/>
    <cellStyle name="Note 5 8" xfId="364"/>
    <cellStyle name="Note 5 8 2" xfId="594"/>
    <cellStyle name="Note 5 8 2 2" xfId="922"/>
    <cellStyle name="Note 5 8 2 2 2" xfId="1580"/>
    <cellStyle name="Note 5 8 2 2 2 2" xfId="2893"/>
    <cellStyle name="Note 5 8 2 2 2 2 2" xfId="5517"/>
    <cellStyle name="Note 5 8 2 2 2 3" xfId="4207"/>
    <cellStyle name="Note 5 8 2 2 3" xfId="2239"/>
    <cellStyle name="Note 5 8 2 2 3 2" xfId="4863"/>
    <cellStyle name="Note 5 8 2 2 4" xfId="3553"/>
    <cellStyle name="Note 5 8 2 3" xfId="1266"/>
    <cellStyle name="Note 5 8 2 3 2" xfId="2580"/>
    <cellStyle name="Note 5 8 2 3 2 2" xfId="5204"/>
    <cellStyle name="Note 5 8 2 3 3" xfId="3894"/>
    <cellStyle name="Note 5 8 2 4" xfId="1926"/>
    <cellStyle name="Note 5 8 2 4 2" xfId="4550"/>
    <cellStyle name="Note 5 8 2 5" xfId="3240"/>
    <cellStyle name="Note 5 8 3" xfId="783"/>
    <cellStyle name="Note 5 8 3 2" xfId="1443"/>
    <cellStyle name="Note 5 8 3 2 2" xfId="2756"/>
    <cellStyle name="Note 5 8 3 2 2 2" xfId="5380"/>
    <cellStyle name="Note 5 8 3 2 3" xfId="4070"/>
    <cellStyle name="Note 5 8 3 3" xfId="2102"/>
    <cellStyle name="Note 5 8 3 3 2" xfId="4726"/>
    <cellStyle name="Note 5 8 3 4" xfId="3416"/>
    <cellStyle name="Note 5 8 4" xfId="1128"/>
    <cellStyle name="Note 5 8 4 2" xfId="2443"/>
    <cellStyle name="Note 5 8 4 2 2" xfId="5067"/>
    <cellStyle name="Note 5 8 4 3" xfId="3757"/>
    <cellStyle name="Note 5 8 5" xfId="1788"/>
    <cellStyle name="Note 5 8 5 2" xfId="4413"/>
    <cellStyle name="Note 5 8 6" xfId="3102"/>
    <cellStyle name="Note 5 9" xfId="587"/>
    <cellStyle name="Note 5 9 2" xfId="915"/>
    <cellStyle name="Note 5 9 2 2" xfId="1573"/>
    <cellStyle name="Note 5 9 2 2 2" xfId="2886"/>
    <cellStyle name="Note 5 9 2 2 2 2" xfId="5510"/>
    <cellStyle name="Note 5 9 2 2 3" xfId="4200"/>
    <cellStyle name="Note 5 9 2 3" xfId="2232"/>
    <cellStyle name="Note 5 9 2 3 2" xfId="4856"/>
    <cellStyle name="Note 5 9 2 4" xfId="3546"/>
    <cellStyle name="Note 5 9 3" xfId="1259"/>
    <cellStyle name="Note 5 9 3 2" xfId="2573"/>
    <cellStyle name="Note 5 9 3 2 2" xfId="5197"/>
    <cellStyle name="Note 5 9 3 3" xfId="3887"/>
    <cellStyle name="Note 5 9 4" xfId="1919"/>
    <cellStyle name="Note 5 9 4 2" xfId="4543"/>
    <cellStyle name="Note 5 9 5" xfId="3233"/>
    <cellStyle name="Note 6" xfId="365"/>
    <cellStyle name="Note 6 10" xfId="784"/>
    <cellStyle name="Note 6 10 2" xfId="1444"/>
    <cellStyle name="Note 6 10 2 2" xfId="2757"/>
    <cellStyle name="Note 6 10 2 2 2" xfId="5381"/>
    <cellStyle name="Note 6 10 2 3" xfId="4071"/>
    <cellStyle name="Note 6 10 3" xfId="2103"/>
    <cellStyle name="Note 6 10 3 2" xfId="4727"/>
    <cellStyle name="Note 6 10 4" xfId="3417"/>
    <cellStyle name="Note 6 11" xfId="1129"/>
    <cellStyle name="Note 6 11 2" xfId="2444"/>
    <cellStyle name="Note 6 11 2 2" xfId="5068"/>
    <cellStyle name="Note 6 11 3" xfId="3758"/>
    <cellStyle name="Note 6 12" xfId="1789"/>
    <cellStyle name="Note 6 12 2" xfId="4414"/>
    <cellStyle name="Note 6 13" xfId="3103"/>
    <cellStyle name="Note 6 2" xfId="366"/>
    <cellStyle name="Note 6 2 2" xfId="596"/>
    <cellStyle name="Note 6 2 2 2" xfId="924"/>
    <cellStyle name="Note 6 2 2 2 2" xfId="1582"/>
    <cellStyle name="Note 6 2 2 2 2 2" xfId="2895"/>
    <cellStyle name="Note 6 2 2 2 2 2 2" xfId="5519"/>
    <cellStyle name="Note 6 2 2 2 2 3" xfId="4209"/>
    <cellStyle name="Note 6 2 2 2 3" xfId="2241"/>
    <cellStyle name="Note 6 2 2 2 3 2" xfId="4865"/>
    <cellStyle name="Note 6 2 2 2 4" xfId="3555"/>
    <cellStyle name="Note 6 2 2 3" xfId="1268"/>
    <cellStyle name="Note 6 2 2 3 2" xfId="2582"/>
    <cellStyle name="Note 6 2 2 3 2 2" xfId="5206"/>
    <cellStyle name="Note 6 2 2 3 3" xfId="3896"/>
    <cellStyle name="Note 6 2 2 4" xfId="1928"/>
    <cellStyle name="Note 6 2 2 4 2" xfId="4552"/>
    <cellStyle name="Note 6 2 2 5" xfId="3242"/>
    <cellStyle name="Note 6 2 3" xfId="785"/>
    <cellStyle name="Note 6 2 3 2" xfId="1445"/>
    <cellStyle name="Note 6 2 3 2 2" xfId="2758"/>
    <cellStyle name="Note 6 2 3 2 2 2" xfId="5382"/>
    <cellStyle name="Note 6 2 3 2 3" xfId="4072"/>
    <cellStyle name="Note 6 2 3 3" xfId="2104"/>
    <cellStyle name="Note 6 2 3 3 2" xfId="4728"/>
    <cellStyle name="Note 6 2 3 4" xfId="3418"/>
    <cellStyle name="Note 6 2 4" xfId="1130"/>
    <cellStyle name="Note 6 2 4 2" xfId="2445"/>
    <cellStyle name="Note 6 2 4 2 2" xfId="5069"/>
    <cellStyle name="Note 6 2 4 3" xfId="3759"/>
    <cellStyle name="Note 6 2 5" xfId="1790"/>
    <cellStyle name="Note 6 2 5 2" xfId="4415"/>
    <cellStyle name="Note 6 2 6" xfId="3104"/>
    <cellStyle name="Note 6 3" xfId="367"/>
    <cellStyle name="Note 6 3 2" xfId="597"/>
    <cellStyle name="Note 6 3 2 2" xfId="925"/>
    <cellStyle name="Note 6 3 2 2 2" xfId="1583"/>
    <cellStyle name="Note 6 3 2 2 2 2" xfId="2896"/>
    <cellStyle name="Note 6 3 2 2 2 2 2" xfId="5520"/>
    <cellStyle name="Note 6 3 2 2 2 3" xfId="4210"/>
    <cellStyle name="Note 6 3 2 2 3" xfId="2242"/>
    <cellStyle name="Note 6 3 2 2 3 2" xfId="4866"/>
    <cellStyle name="Note 6 3 2 2 4" xfId="3556"/>
    <cellStyle name="Note 6 3 2 3" xfId="1269"/>
    <cellStyle name="Note 6 3 2 3 2" xfId="2583"/>
    <cellStyle name="Note 6 3 2 3 2 2" xfId="5207"/>
    <cellStyle name="Note 6 3 2 3 3" xfId="3897"/>
    <cellStyle name="Note 6 3 2 4" xfId="1929"/>
    <cellStyle name="Note 6 3 2 4 2" xfId="4553"/>
    <cellStyle name="Note 6 3 2 5" xfId="3243"/>
    <cellStyle name="Note 6 3 3" xfId="786"/>
    <cellStyle name="Note 6 3 3 2" xfId="1446"/>
    <cellStyle name="Note 6 3 3 2 2" xfId="2759"/>
    <cellStyle name="Note 6 3 3 2 2 2" xfId="5383"/>
    <cellStyle name="Note 6 3 3 2 3" xfId="4073"/>
    <cellStyle name="Note 6 3 3 3" xfId="2105"/>
    <cellStyle name="Note 6 3 3 3 2" xfId="4729"/>
    <cellStyle name="Note 6 3 3 4" xfId="3419"/>
    <cellStyle name="Note 6 3 4" xfId="1131"/>
    <cellStyle name="Note 6 3 4 2" xfId="2446"/>
    <cellStyle name="Note 6 3 4 2 2" xfId="5070"/>
    <cellStyle name="Note 6 3 4 3" xfId="3760"/>
    <cellStyle name="Note 6 3 5" xfId="1791"/>
    <cellStyle name="Note 6 3 5 2" xfId="4416"/>
    <cellStyle name="Note 6 3 6" xfId="3105"/>
    <cellStyle name="Note 6 4" xfId="368"/>
    <cellStyle name="Note 6 4 2" xfId="598"/>
    <cellStyle name="Note 6 4 2 2" xfId="926"/>
    <cellStyle name="Note 6 4 2 2 2" xfId="1584"/>
    <cellStyle name="Note 6 4 2 2 2 2" xfId="2897"/>
    <cellStyle name="Note 6 4 2 2 2 2 2" xfId="5521"/>
    <cellStyle name="Note 6 4 2 2 2 3" xfId="4211"/>
    <cellStyle name="Note 6 4 2 2 3" xfId="2243"/>
    <cellStyle name="Note 6 4 2 2 3 2" xfId="4867"/>
    <cellStyle name="Note 6 4 2 2 4" xfId="3557"/>
    <cellStyle name="Note 6 4 2 3" xfId="1270"/>
    <cellStyle name="Note 6 4 2 3 2" xfId="2584"/>
    <cellStyle name="Note 6 4 2 3 2 2" xfId="5208"/>
    <cellStyle name="Note 6 4 2 3 3" xfId="3898"/>
    <cellStyle name="Note 6 4 2 4" xfId="1930"/>
    <cellStyle name="Note 6 4 2 4 2" xfId="4554"/>
    <cellStyle name="Note 6 4 2 5" xfId="3244"/>
    <cellStyle name="Note 6 4 3" xfId="787"/>
    <cellStyle name="Note 6 4 3 2" xfId="1447"/>
    <cellStyle name="Note 6 4 3 2 2" xfId="2760"/>
    <cellStyle name="Note 6 4 3 2 2 2" xfId="5384"/>
    <cellStyle name="Note 6 4 3 2 3" xfId="4074"/>
    <cellStyle name="Note 6 4 3 3" xfId="2106"/>
    <cellStyle name="Note 6 4 3 3 2" xfId="4730"/>
    <cellStyle name="Note 6 4 3 4" xfId="3420"/>
    <cellStyle name="Note 6 4 4" xfId="1132"/>
    <cellStyle name="Note 6 4 4 2" xfId="2447"/>
    <cellStyle name="Note 6 4 4 2 2" xfId="5071"/>
    <cellStyle name="Note 6 4 4 3" xfId="3761"/>
    <cellStyle name="Note 6 4 5" xfId="1792"/>
    <cellStyle name="Note 6 4 5 2" xfId="4417"/>
    <cellStyle name="Note 6 4 6" xfId="3106"/>
    <cellStyle name="Note 6 5" xfId="369"/>
    <cellStyle name="Note 6 5 2" xfId="599"/>
    <cellStyle name="Note 6 5 2 2" xfId="927"/>
    <cellStyle name="Note 6 5 2 2 2" xfId="1585"/>
    <cellStyle name="Note 6 5 2 2 2 2" xfId="2898"/>
    <cellStyle name="Note 6 5 2 2 2 2 2" xfId="5522"/>
    <cellStyle name="Note 6 5 2 2 2 3" xfId="4212"/>
    <cellStyle name="Note 6 5 2 2 3" xfId="2244"/>
    <cellStyle name="Note 6 5 2 2 3 2" xfId="4868"/>
    <cellStyle name="Note 6 5 2 2 4" xfId="3558"/>
    <cellStyle name="Note 6 5 2 3" xfId="1271"/>
    <cellStyle name="Note 6 5 2 3 2" xfId="2585"/>
    <cellStyle name="Note 6 5 2 3 2 2" xfId="5209"/>
    <cellStyle name="Note 6 5 2 3 3" xfId="3899"/>
    <cellStyle name="Note 6 5 2 4" xfId="1931"/>
    <cellStyle name="Note 6 5 2 4 2" xfId="4555"/>
    <cellStyle name="Note 6 5 2 5" xfId="3245"/>
    <cellStyle name="Note 6 5 3" xfId="788"/>
    <cellStyle name="Note 6 5 3 2" xfId="1448"/>
    <cellStyle name="Note 6 5 3 2 2" xfId="2761"/>
    <cellStyle name="Note 6 5 3 2 2 2" xfId="5385"/>
    <cellStyle name="Note 6 5 3 2 3" xfId="4075"/>
    <cellStyle name="Note 6 5 3 3" xfId="2107"/>
    <cellStyle name="Note 6 5 3 3 2" xfId="4731"/>
    <cellStyle name="Note 6 5 3 4" xfId="3421"/>
    <cellStyle name="Note 6 5 4" xfId="1133"/>
    <cellStyle name="Note 6 5 4 2" xfId="2448"/>
    <cellStyle name="Note 6 5 4 2 2" xfId="5072"/>
    <cellStyle name="Note 6 5 4 3" xfId="3762"/>
    <cellStyle name="Note 6 5 5" xfId="1793"/>
    <cellStyle name="Note 6 5 5 2" xfId="4418"/>
    <cellStyle name="Note 6 5 6" xfId="3107"/>
    <cellStyle name="Note 6 6" xfId="370"/>
    <cellStyle name="Note 6 6 2" xfId="600"/>
    <cellStyle name="Note 6 6 2 2" xfId="928"/>
    <cellStyle name="Note 6 6 2 2 2" xfId="1586"/>
    <cellStyle name="Note 6 6 2 2 2 2" xfId="2899"/>
    <cellStyle name="Note 6 6 2 2 2 2 2" xfId="5523"/>
    <cellStyle name="Note 6 6 2 2 2 3" xfId="4213"/>
    <cellStyle name="Note 6 6 2 2 3" xfId="2245"/>
    <cellStyle name="Note 6 6 2 2 3 2" xfId="4869"/>
    <cellStyle name="Note 6 6 2 2 4" xfId="3559"/>
    <cellStyle name="Note 6 6 2 3" xfId="1272"/>
    <cellStyle name="Note 6 6 2 3 2" xfId="2586"/>
    <cellStyle name="Note 6 6 2 3 2 2" xfId="5210"/>
    <cellStyle name="Note 6 6 2 3 3" xfId="3900"/>
    <cellStyle name="Note 6 6 2 4" xfId="1932"/>
    <cellStyle name="Note 6 6 2 4 2" xfId="4556"/>
    <cellStyle name="Note 6 6 2 5" xfId="3246"/>
    <cellStyle name="Note 6 6 3" xfId="789"/>
    <cellStyle name="Note 6 6 3 2" xfId="1449"/>
    <cellStyle name="Note 6 6 3 2 2" xfId="2762"/>
    <cellStyle name="Note 6 6 3 2 2 2" xfId="5386"/>
    <cellStyle name="Note 6 6 3 2 3" xfId="4076"/>
    <cellStyle name="Note 6 6 3 3" xfId="2108"/>
    <cellStyle name="Note 6 6 3 3 2" xfId="4732"/>
    <cellStyle name="Note 6 6 3 4" xfId="3422"/>
    <cellStyle name="Note 6 6 4" xfId="1134"/>
    <cellStyle name="Note 6 6 4 2" xfId="2449"/>
    <cellStyle name="Note 6 6 4 2 2" xfId="5073"/>
    <cellStyle name="Note 6 6 4 3" xfId="3763"/>
    <cellStyle name="Note 6 6 5" xfId="1794"/>
    <cellStyle name="Note 6 6 5 2" xfId="4419"/>
    <cellStyle name="Note 6 6 6" xfId="3108"/>
    <cellStyle name="Note 6 7" xfId="371"/>
    <cellStyle name="Note 6 7 2" xfId="601"/>
    <cellStyle name="Note 6 7 2 2" xfId="929"/>
    <cellStyle name="Note 6 7 2 2 2" xfId="1587"/>
    <cellStyle name="Note 6 7 2 2 2 2" xfId="2900"/>
    <cellStyle name="Note 6 7 2 2 2 2 2" xfId="5524"/>
    <cellStyle name="Note 6 7 2 2 2 3" xfId="4214"/>
    <cellStyle name="Note 6 7 2 2 3" xfId="2246"/>
    <cellStyle name="Note 6 7 2 2 3 2" xfId="4870"/>
    <cellStyle name="Note 6 7 2 2 4" xfId="3560"/>
    <cellStyle name="Note 6 7 2 3" xfId="1273"/>
    <cellStyle name="Note 6 7 2 3 2" xfId="2587"/>
    <cellStyle name="Note 6 7 2 3 2 2" xfId="5211"/>
    <cellStyle name="Note 6 7 2 3 3" xfId="3901"/>
    <cellStyle name="Note 6 7 2 4" xfId="1933"/>
    <cellStyle name="Note 6 7 2 4 2" xfId="4557"/>
    <cellStyle name="Note 6 7 2 5" xfId="3247"/>
    <cellStyle name="Note 6 7 3" xfId="790"/>
    <cellStyle name="Note 6 7 3 2" xfId="1450"/>
    <cellStyle name="Note 6 7 3 2 2" xfId="2763"/>
    <cellStyle name="Note 6 7 3 2 2 2" xfId="5387"/>
    <cellStyle name="Note 6 7 3 2 3" xfId="4077"/>
    <cellStyle name="Note 6 7 3 3" xfId="2109"/>
    <cellStyle name="Note 6 7 3 3 2" xfId="4733"/>
    <cellStyle name="Note 6 7 3 4" xfId="3423"/>
    <cellStyle name="Note 6 7 4" xfId="1135"/>
    <cellStyle name="Note 6 7 4 2" xfId="2450"/>
    <cellStyle name="Note 6 7 4 2 2" xfId="5074"/>
    <cellStyle name="Note 6 7 4 3" xfId="3764"/>
    <cellStyle name="Note 6 7 5" xfId="1795"/>
    <cellStyle name="Note 6 7 5 2" xfId="4420"/>
    <cellStyle name="Note 6 7 6" xfId="3109"/>
    <cellStyle name="Note 6 8" xfId="372"/>
    <cellStyle name="Note 6 8 2" xfId="602"/>
    <cellStyle name="Note 6 8 2 2" xfId="930"/>
    <cellStyle name="Note 6 8 2 2 2" xfId="1588"/>
    <cellStyle name="Note 6 8 2 2 2 2" xfId="2901"/>
    <cellStyle name="Note 6 8 2 2 2 2 2" xfId="5525"/>
    <cellStyle name="Note 6 8 2 2 2 3" xfId="4215"/>
    <cellStyle name="Note 6 8 2 2 3" xfId="2247"/>
    <cellStyle name="Note 6 8 2 2 3 2" xfId="4871"/>
    <cellStyle name="Note 6 8 2 2 4" xfId="3561"/>
    <cellStyle name="Note 6 8 2 3" xfId="1274"/>
    <cellStyle name="Note 6 8 2 3 2" xfId="2588"/>
    <cellStyle name="Note 6 8 2 3 2 2" xfId="5212"/>
    <cellStyle name="Note 6 8 2 3 3" xfId="3902"/>
    <cellStyle name="Note 6 8 2 4" xfId="1934"/>
    <cellStyle name="Note 6 8 2 4 2" xfId="4558"/>
    <cellStyle name="Note 6 8 2 5" xfId="3248"/>
    <cellStyle name="Note 6 8 3" xfId="791"/>
    <cellStyle name="Note 6 8 3 2" xfId="1451"/>
    <cellStyle name="Note 6 8 3 2 2" xfId="2764"/>
    <cellStyle name="Note 6 8 3 2 2 2" xfId="5388"/>
    <cellStyle name="Note 6 8 3 2 3" xfId="4078"/>
    <cellStyle name="Note 6 8 3 3" xfId="2110"/>
    <cellStyle name="Note 6 8 3 3 2" xfId="4734"/>
    <cellStyle name="Note 6 8 3 4" xfId="3424"/>
    <cellStyle name="Note 6 8 4" xfId="1136"/>
    <cellStyle name="Note 6 8 4 2" xfId="2451"/>
    <cellStyle name="Note 6 8 4 2 2" xfId="5075"/>
    <cellStyle name="Note 6 8 4 3" xfId="3765"/>
    <cellStyle name="Note 6 8 5" xfId="1796"/>
    <cellStyle name="Note 6 8 5 2" xfId="4421"/>
    <cellStyle name="Note 6 8 6" xfId="3110"/>
    <cellStyle name="Note 6 9" xfId="595"/>
    <cellStyle name="Note 6 9 2" xfId="923"/>
    <cellStyle name="Note 6 9 2 2" xfId="1581"/>
    <cellStyle name="Note 6 9 2 2 2" xfId="2894"/>
    <cellStyle name="Note 6 9 2 2 2 2" xfId="5518"/>
    <cellStyle name="Note 6 9 2 2 3" xfId="4208"/>
    <cellStyle name="Note 6 9 2 3" xfId="2240"/>
    <cellStyle name="Note 6 9 2 3 2" xfId="4864"/>
    <cellStyle name="Note 6 9 2 4" xfId="3554"/>
    <cellStyle name="Note 6 9 3" xfId="1267"/>
    <cellStyle name="Note 6 9 3 2" xfId="2581"/>
    <cellStyle name="Note 6 9 3 2 2" xfId="5205"/>
    <cellStyle name="Note 6 9 3 3" xfId="3895"/>
    <cellStyle name="Note 6 9 4" xfId="1927"/>
    <cellStyle name="Note 6 9 4 2" xfId="4551"/>
    <cellStyle name="Note 6 9 5" xfId="3241"/>
    <cellStyle name="Note 7" xfId="373"/>
    <cellStyle name="Note 7 10" xfId="792"/>
    <cellStyle name="Note 7 10 2" xfId="1452"/>
    <cellStyle name="Note 7 10 2 2" xfId="2765"/>
    <cellStyle name="Note 7 10 2 2 2" xfId="5389"/>
    <cellStyle name="Note 7 10 2 3" xfId="4079"/>
    <cellStyle name="Note 7 10 3" xfId="2111"/>
    <cellStyle name="Note 7 10 3 2" xfId="4735"/>
    <cellStyle name="Note 7 10 4" xfId="3425"/>
    <cellStyle name="Note 7 11" xfId="1137"/>
    <cellStyle name="Note 7 11 2" xfId="2452"/>
    <cellStyle name="Note 7 11 2 2" xfId="5076"/>
    <cellStyle name="Note 7 11 3" xfId="3766"/>
    <cellStyle name="Note 7 12" xfId="1797"/>
    <cellStyle name="Note 7 12 2" xfId="4422"/>
    <cellStyle name="Note 7 13" xfId="3111"/>
    <cellStyle name="Note 7 2" xfId="374"/>
    <cellStyle name="Note 7 2 2" xfId="604"/>
    <cellStyle name="Note 7 2 2 2" xfId="932"/>
    <cellStyle name="Note 7 2 2 2 2" xfId="1590"/>
    <cellStyle name="Note 7 2 2 2 2 2" xfId="2903"/>
    <cellStyle name="Note 7 2 2 2 2 2 2" xfId="5527"/>
    <cellStyle name="Note 7 2 2 2 2 3" xfId="4217"/>
    <cellStyle name="Note 7 2 2 2 3" xfId="2249"/>
    <cellStyle name="Note 7 2 2 2 3 2" xfId="4873"/>
    <cellStyle name="Note 7 2 2 2 4" xfId="3563"/>
    <cellStyle name="Note 7 2 2 3" xfId="1276"/>
    <cellStyle name="Note 7 2 2 3 2" xfId="2590"/>
    <cellStyle name="Note 7 2 2 3 2 2" xfId="5214"/>
    <cellStyle name="Note 7 2 2 3 3" xfId="3904"/>
    <cellStyle name="Note 7 2 2 4" xfId="1936"/>
    <cellStyle name="Note 7 2 2 4 2" xfId="4560"/>
    <cellStyle name="Note 7 2 2 5" xfId="3250"/>
    <cellStyle name="Note 7 2 3" xfId="793"/>
    <cellStyle name="Note 7 2 3 2" xfId="1453"/>
    <cellStyle name="Note 7 2 3 2 2" xfId="2766"/>
    <cellStyle name="Note 7 2 3 2 2 2" xfId="5390"/>
    <cellStyle name="Note 7 2 3 2 3" xfId="4080"/>
    <cellStyle name="Note 7 2 3 3" xfId="2112"/>
    <cellStyle name="Note 7 2 3 3 2" xfId="4736"/>
    <cellStyle name="Note 7 2 3 4" xfId="3426"/>
    <cellStyle name="Note 7 2 4" xfId="1138"/>
    <cellStyle name="Note 7 2 4 2" xfId="2453"/>
    <cellStyle name="Note 7 2 4 2 2" xfId="5077"/>
    <cellStyle name="Note 7 2 4 3" xfId="3767"/>
    <cellStyle name="Note 7 2 5" xfId="1798"/>
    <cellStyle name="Note 7 2 5 2" xfId="4423"/>
    <cellStyle name="Note 7 2 6" xfId="3112"/>
    <cellStyle name="Note 7 3" xfId="375"/>
    <cellStyle name="Note 7 3 2" xfId="605"/>
    <cellStyle name="Note 7 3 2 2" xfId="933"/>
    <cellStyle name="Note 7 3 2 2 2" xfId="1591"/>
    <cellStyle name="Note 7 3 2 2 2 2" xfId="2904"/>
    <cellStyle name="Note 7 3 2 2 2 2 2" xfId="5528"/>
    <cellStyle name="Note 7 3 2 2 2 3" xfId="4218"/>
    <cellStyle name="Note 7 3 2 2 3" xfId="2250"/>
    <cellStyle name="Note 7 3 2 2 3 2" xfId="4874"/>
    <cellStyle name="Note 7 3 2 2 4" xfId="3564"/>
    <cellStyle name="Note 7 3 2 3" xfId="1277"/>
    <cellStyle name="Note 7 3 2 3 2" xfId="2591"/>
    <cellStyle name="Note 7 3 2 3 2 2" xfId="5215"/>
    <cellStyle name="Note 7 3 2 3 3" xfId="3905"/>
    <cellStyle name="Note 7 3 2 4" xfId="1937"/>
    <cellStyle name="Note 7 3 2 4 2" xfId="4561"/>
    <cellStyle name="Note 7 3 2 5" xfId="3251"/>
    <cellStyle name="Note 7 3 3" xfId="794"/>
    <cellStyle name="Note 7 3 3 2" xfId="1454"/>
    <cellStyle name="Note 7 3 3 2 2" xfId="2767"/>
    <cellStyle name="Note 7 3 3 2 2 2" xfId="5391"/>
    <cellStyle name="Note 7 3 3 2 3" xfId="4081"/>
    <cellStyle name="Note 7 3 3 3" xfId="2113"/>
    <cellStyle name="Note 7 3 3 3 2" xfId="4737"/>
    <cellStyle name="Note 7 3 3 4" xfId="3427"/>
    <cellStyle name="Note 7 3 4" xfId="1139"/>
    <cellStyle name="Note 7 3 4 2" xfId="2454"/>
    <cellStyle name="Note 7 3 4 2 2" xfId="5078"/>
    <cellStyle name="Note 7 3 4 3" xfId="3768"/>
    <cellStyle name="Note 7 3 5" xfId="1799"/>
    <cellStyle name="Note 7 3 5 2" xfId="4424"/>
    <cellStyle name="Note 7 3 6" xfId="3113"/>
    <cellStyle name="Note 7 4" xfId="376"/>
    <cellStyle name="Note 7 4 2" xfId="606"/>
    <cellStyle name="Note 7 4 2 2" xfId="934"/>
    <cellStyle name="Note 7 4 2 2 2" xfId="1592"/>
    <cellStyle name="Note 7 4 2 2 2 2" xfId="2905"/>
    <cellStyle name="Note 7 4 2 2 2 2 2" xfId="5529"/>
    <cellStyle name="Note 7 4 2 2 2 3" xfId="4219"/>
    <cellStyle name="Note 7 4 2 2 3" xfId="2251"/>
    <cellStyle name="Note 7 4 2 2 3 2" xfId="4875"/>
    <cellStyle name="Note 7 4 2 2 4" xfId="3565"/>
    <cellStyle name="Note 7 4 2 3" xfId="1278"/>
    <cellStyle name="Note 7 4 2 3 2" xfId="2592"/>
    <cellStyle name="Note 7 4 2 3 2 2" xfId="5216"/>
    <cellStyle name="Note 7 4 2 3 3" xfId="3906"/>
    <cellStyle name="Note 7 4 2 4" xfId="1938"/>
    <cellStyle name="Note 7 4 2 4 2" xfId="4562"/>
    <cellStyle name="Note 7 4 2 5" xfId="3252"/>
    <cellStyle name="Note 7 4 3" xfId="795"/>
    <cellStyle name="Note 7 4 3 2" xfId="1455"/>
    <cellStyle name="Note 7 4 3 2 2" xfId="2768"/>
    <cellStyle name="Note 7 4 3 2 2 2" xfId="5392"/>
    <cellStyle name="Note 7 4 3 2 3" xfId="4082"/>
    <cellStyle name="Note 7 4 3 3" xfId="2114"/>
    <cellStyle name="Note 7 4 3 3 2" xfId="4738"/>
    <cellStyle name="Note 7 4 3 4" xfId="3428"/>
    <cellStyle name="Note 7 4 4" xfId="1140"/>
    <cellStyle name="Note 7 4 4 2" xfId="2455"/>
    <cellStyle name="Note 7 4 4 2 2" xfId="5079"/>
    <cellStyle name="Note 7 4 4 3" xfId="3769"/>
    <cellStyle name="Note 7 4 5" xfId="1800"/>
    <cellStyle name="Note 7 4 5 2" xfId="4425"/>
    <cellStyle name="Note 7 4 6" xfId="3114"/>
    <cellStyle name="Note 7 5" xfId="377"/>
    <cellStyle name="Note 7 5 2" xfId="607"/>
    <cellStyle name="Note 7 5 2 2" xfId="935"/>
    <cellStyle name="Note 7 5 2 2 2" xfId="1593"/>
    <cellStyle name="Note 7 5 2 2 2 2" xfId="2906"/>
    <cellStyle name="Note 7 5 2 2 2 2 2" xfId="5530"/>
    <cellStyle name="Note 7 5 2 2 2 3" xfId="4220"/>
    <cellStyle name="Note 7 5 2 2 3" xfId="2252"/>
    <cellStyle name="Note 7 5 2 2 3 2" xfId="4876"/>
    <cellStyle name="Note 7 5 2 2 4" xfId="3566"/>
    <cellStyle name="Note 7 5 2 3" xfId="1279"/>
    <cellStyle name="Note 7 5 2 3 2" xfId="2593"/>
    <cellStyle name="Note 7 5 2 3 2 2" xfId="5217"/>
    <cellStyle name="Note 7 5 2 3 3" xfId="3907"/>
    <cellStyle name="Note 7 5 2 4" xfId="1939"/>
    <cellStyle name="Note 7 5 2 4 2" xfId="4563"/>
    <cellStyle name="Note 7 5 2 5" xfId="3253"/>
    <cellStyle name="Note 7 5 3" xfId="796"/>
    <cellStyle name="Note 7 5 3 2" xfId="1456"/>
    <cellStyle name="Note 7 5 3 2 2" xfId="2769"/>
    <cellStyle name="Note 7 5 3 2 2 2" xfId="5393"/>
    <cellStyle name="Note 7 5 3 2 3" xfId="4083"/>
    <cellStyle name="Note 7 5 3 3" xfId="2115"/>
    <cellStyle name="Note 7 5 3 3 2" xfId="4739"/>
    <cellStyle name="Note 7 5 3 4" xfId="3429"/>
    <cellStyle name="Note 7 5 4" xfId="1141"/>
    <cellStyle name="Note 7 5 4 2" xfId="2456"/>
    <cellStyle name="Note 7 5 4 2 2" xfId="5080"/>
    <cellStyle name="Note 7 5 4 3" xfId="3770"/>
    <cellStyle name="Note 7 5 5" xfId="1801"/>
    <cellStyle name="Note 7 5 5 2" xfId="4426"/>
    <cellStyle name="Note 7 5 6" xfId="3115"/>
    <cellStyle name="Note 7 6" xfId="378"/>
    <cellStyle name="Note 7 6 2" xfId="608"/>
    <cellStyle name="Note 7 6 2 2" xfId="936"/>
    <cellStyle name="Note 7 6 2 2 2" xfId="1594"/>
    <cellStyle name="Note 7 6 2 2 2 2" xfId="2907"/>
    <cellStyle name="Note 7 6 2 2 2 2 2" xfId="5531"/>
    <cellStyle name="Note 7 6 2 2 2 3" xfId="4221"/>
    <cellStyle name="Note 7 6 2 2 3" xfId="2253"/>
    <cellStyle name="Note 7 6 2 2 3 2" xfId="4877"/>
    <cellStyle name="Note 7 6 2 2 4" xfId="3567"/>
    <cellStyle name="Note 7 6 2 3" xfId="1280"/>
    <cellStyle name="Note 7 6 2 3 2" xfId="2594"/>
    <cellStyle name="Note 7 6 2 3 2 2" xfId="5218"/>
    <cellStyle name="Note 7 6 2 3 3" xfId="3908"/>
    <cellStyle name="Note 7 6 2 4" xfId="1940"/>
    <cellStyle name="Note 7 6 2 4 2" xfId="4564"/>
    <cellStyle name="Note 7 6 2 5" xfId="3254"/>
    <cellStyle name="Note 7 6 3" xfId="797"/>
    <cellStyle name="Note 7 6 3 2" xfId="1457"/>
    <cellStyle name="Note 7 6 3 2 2" xfId="2770"/>
    <cellStyle name="Note 7 6 3 2 2 2" xfId="5394"/>
    <cellStyle name="Note 7 6 3 2 3" xfId="4084"/>
    <cellStyle name="Note 7 6 3 3" xfId="2116"/>
    <cellStyle name="Note 7 6 3 3 2" xfId="4740"/>
    <cellStyle name="Note 7 6 3 4" xfId="3430"/>
    <cellStyle name="Note 7 6 4" xfId="1142"/>
    <cellStyle name="Note 7 6 4 2" xfId="2457"/>
    <cellStyle name="Note 7 6 4 2 2" xfId="5081"/>
    <cellStyle name="Note 7 6 4 3" xfId="3771"/>
    <cellStyle name="Note 7 6 5" xfId="1802"/>
    <cellStyle name="Note 7 6 5 2" xfId="4427"/>
    <cellStyle name="Note 7 6 6" xfId="3116"/>
    <cellStyle name="Note 7 7" xfId="379"/>
    <cellStyle name="Note 7 7 2" xfId="609"/>
    <cellStyle name="Note 7 7 2 2" xfId="937"/>
    <cellStyle name="Note 7 7 2 2 2" xfId="1595"/>
    <cellStyle name="Note 7 7 2 2 2 2" xfId="2908"/>
    <cellStyle name="Note 7 7 2 2 2 2 2" xfId="5532"/>
    <cellStyle name="Note 7 7 2 2 2 3" xfId="4222"/>
    <cellStyle name="Note 7 7 2 2 3" xfId="2254"/>
    <cellStyle name="Note 7 7 2 2 3 2" xfId="4878"/>
    <cellStyle name="Note 7 7 2 2 4" xfId="3568"/>
    <cellStyle name="Note 7 7 2 3" xfId="1281"/>
    <cellStyle name="Note 7 7 2 3 2" xfId="2595"/>
    <cellStyle name="Note 7 7 2 3 2 2" xfId="5219"/>
    <cellStyle name="Note 7 7 2 3 3" xfId="3909"/>
    <cellStyle name="Note 7 7 2 4" xfId="1941"/>
    <cellStyle name="Note 7 7 2 4 2" xfId="4565"/>
    <cellStyle name="Note 7 7 2 5" xfId="3255"/>
    <cellStyle name="Note 7 7 3" xfId="798"/>
    <cellStyle name="Note 7 7 3 2" xfId="1458"/>
    <cellStyle name="Note 7 7 3 2 2" xfId="2771"/>
    <cellStyle name="Note 7 7 3 2 2 2" xfId="5395"/>
    <cellStyle name="Note 7 7 3 2 3" xfId="4085"/>
    <cellStyle name="Note 7 7 3 3" xfId="2117"/>
    <cellStyle name="Note 7 7 3 3 2" xfId="4741"/>
    <cellStyle name="Note 7 7 3 4" xfId="3431"/>
    <cellStyle name="Note 7 7 4" xfId="1143"/>
    <cellStyle name="Note 7 7 4 2" xfId="2458"/>
    <cellStyle name="Note 7 7 4 2 2" xfId="5082"/>
    <cellStyle name="Note 7 7 4 3" xfId="3772"/>
    <cellStyle name="Note 7 7 5" xfId="1803"/>
    <cellStyle name="Note 7 7 5 2" xfId="4428"/>
    <cellStyle name="Note 7 7 6" xfId="3117"/>
    <cellStyle name="Note 7 8" xfId="380"/>
    <cellStyle name="Note 7 8 2" xfId="610"/>
    <cellStyle name="Note 7 8 2 2" xfId="938"/>
    <cellStyle name="Note 7 8 2 2 2" xfId="1596"/>
    <cellStyle name="Note 7 8 2 2 2 2" xfId="2909"/>
    <cellStyle name="Note 7 8 2 2 2 2 2" xfId="5533"/>
    <cellStyle name="Note 7 8 2 2 2 3" xfId="4223"/>
    <cellStyle name="Note 7 8 2 2 3" xfId="2255"/>
    <cellStyle name="Note 7 8 2 2 3 2" xfId="4879"/>
    <cellStyle name="Note 7 8 2 2 4" xfId="3569"/>
    <cellStyle name="Note 7 8 2 3" xfId="1282"/>
    <cellStyle name="Note 7 8 2 3 2" xfId="2596"/>
    <cellStyle name="Note 7 8 2 3 2 2" xfId="5220"/>
    <cellStyle name="Note 7 8 2 3 3" xfId="3910"/>
    <cellStyle name="Note 7 8 2 4" xfId="1942"/>
    <cellStyle name="Note 7 8 2 4 2" xfId="4566"/>
    <cellStyle name="Note 7 8 2 5" xfId="3256"/>
    <cellStyle name="Note 7 8 3" xfId="799"/>
    <cellStyle name="Note 7 8 3 2" xfId="1459"/>
    <cellStyle name="Note 7 8 3 2 2" xfId="2772"/>
    <cellStyle name="Note 7 8 3 2 2 2" xfId="5396"/>
    <cellStyle name="Note 7 8 3 2 3" xfId="4086"/>
    <cellStyle name="Note 7 8 3 3" xfId="2118"/>
    <cellStyle name="Note 7 8 3 3 2" xfId="4742"/>
    <cellStyle name="Note 7 8 3 4" xfId="3432"/>
    <cellStyle name="Note 7 8 4" xfId="1144"/>
    <cellStyle name="Note 7 8 4 2" xfId="2459"/>
    <cellStyle name="Note 7 8 4 2 2" xfId="5083"/>
    <cellStyle name="Note 7 8 4 3" xfId="3773"/>
    <cellStyle name="Note 7 8 5" xfId="1804"/>
    <cellStyle name="Note 7 8 5 2" xfId="4429"/>
    <cellStyle name="Note 7 8 6" xfId="3118"/>
    <cellStyle name="Note 7 9" xfId="603"/>
    <cellStyle name="Note 7 9 2" xfId="931"/>
    <cellStyle name="Note 7 9 2 2" xfId="1589"/>
    <cellStyle name="Note 7 9 2 2 2" xfId="2902"/>
    <cellStyle name="Note 7 9 2 2 2 2" xfId="5526"/>
    <cellStyle name="Note 7 9 2 2 3" xfId="4216"/>
    <cellStyle name="Note 7 9 2 3" xfId="2248"/>
    <cellStyle name="Note 7 9 2 3 2" xfId="4872"/>
    <cellStyle name="Note 7 9 2 4" xfId="3562"/>
    <cellStyle name="Note 7 9 3" xfId="1275"/>
    <cellStyle name="Note 7 9 3 2" xfId="2589"/>
    <cellStyle name="Note 7 9 3 2 2" xfId="5213"/>
    <cellStyle name="Note 7 9 3 3" xfId="3903"/>
    <cellStyle name="Note 7 9 4" xfId="1935"/>
    <cellStyle name="Note 7 9 4 2" xfId="4559"/>
    <cellStyle name="Note 7 9 5" xfId="3249"/>
    <cellStyle name="Note 8" xfId="381"/>
    <cellStyle name="Note 8 2" xfId="611"/>
    <cellStyle name="Note 8 2 2" xfId="939"/>
    <cellStyle name="Note 8 2 2 2" xfId="1597"/>
    <cellStyle name="Note 8 2 2 2 2" xfId="2910"/>
    <cellStyle name="Note 8 2 2 2 2 2" xfId="5534"/>
    <cellStyle name="Note 8 2 2 2 3" xfId="4224"/>
    <cellStyle name="Note 8 2 2 3" xfId="2256"/>
    <cellStyle name="Note 8 2 2 3 2" xfId="4880"/>
    <cellStyle name="Note 8 2 2 4" xfId="3570"/>
    <cellStyle name="Note 8 2 3" xfId="1283"/>
    <cellStyle name="Note 8 2 3 2" xfId="2597"/>
    <cellStyle name="Note 8 2 3 2 2" xfId="5221"/>
    <cellStyle name="Note 8 2 3 3" xfId="3911"/>
    <cellStyle name="Note 8 2 4" xfId="1943"/>
    <cellStyle name="Note 8 2 4 2" xfId="4567"/>
    <cellStyle name="Note 8 2 5" xfId="3257"/>
    <cellStyle name="Note 8 3" xfId="800"/>
    <cellStyle name="Note 8 3 2" xfId="1460"/>
    <cellStyle name="Note 8 3 2 2" xfId="2773"/>
    <cellStyle name="Note 8 3 2 2 2" xfId="5397"/>
    <cellStyle name="Note 8 3 2 3" xfId="4087"/>
    <cellStyle name="Note 8 3 3" xfId="2119"/>
    <cellStyle name="Note 8 3 3 2" xfId="4743"/>
    <cellStyle name="Note 8 3 4" xfId="3433"/>
    <cellStyle name="Note 8 4" xfId="1145"/>
    <cellStyle name="Note 8 4 2" xfId="2460"/>
    <cellStyle name="Note 8 4 2 2" xfId="5084"/>
    <cellStyle name="Note 8 4 3" xfId="3774"/>
    <cellStyle name="Note 8 5" xfId="1805"/>
    <cellStyle name="Note 8 5 2" xfId="4430"/>
    <cellStyle name="Note 8 6" xfId="3119"/>
    <cellStyle name="Note 9" xfId="622"/>
    <cellStyle name="Note 9 2" xfId="940"/>
    <cellStyle name="Note 9 2 2" xfId="1598"/>
    <cellStyle name="Note 9 2 2 2" xfId="2911"/>
    <cellStyle name="Note 9 2 2 2 2" xfId="5535"/>
    <cellStyle name="Note 9 2 2 3" xfId="4225"/>
    <cellStyle name="Note 9 2 3" xfId="2257"/>
    <cellStyle name="Note 9 2 3 2" xfId="4881"/>
    <cellStyle name="Note 9 2 4" xfId="3571"/>
    <cellStyle name="Note 9 3" xfId="1284"/>
    <cellStyle name="Note 9 3 2" xfId="2598"/>
    <cellStyle name="Note 9 3 2 2" xfId="5222"/>
    <cellStyle name="Note 9 3 3" xfId="3912"/>
    <cellStyle name="Note 9 4" xfId="1944"/>
    <cellStyle name="Note 9 4 2" xfId="4568"/>
    <cellStyle name="Note 9 5" xfId="3258"/>
    <cellStyle name="Output" xfId="117" builtinId="21" customBuiltin="1"/>
    <cellStyle name="Output 2" xfId="65"/>
    <cellStyle name="Output 2 2" xfId="382"/>
    <cellStyle name="Percent 2" xfId="612"/>
    <cellStyle name="Percent 3" xfId="801"/>
    <cellStyle name="Percent 4" xfId="1146"/>
    <cellStyle name="Percent 5" xfId="1806"/>
    <cellStyle name="Percent 6" xfId="3120"/>
    <cellStyle name="Percent 7" xfId="383"/>
    <cellStyle name="Project Delayed/Postponed" xfId="384"/>
    <cellStyle name="SAPBEXaggData" xfId="66"/>
    <cellStyle name="SAPBEXaggDataEmph" xfId="67"/>
    <cellStyle name="SAPBEXaggItem" xfId="68"/>
    <cellStyle name="SAPBEXaggItemX" xfId="69"/>
    <cellStyle name="SAPBEXchaText" xfId="70"/>
    <cellStyle name="SAPBEXexcBad7" xfId="71"/>
    <cellStyle name="SAPBEXexcBad8" xfId="72"/>
    <cellStyle name="SAPBEXexcBad9" xfId="73"/>
    <cellStyle name="SAPBEXexcCritical4" xfId="74"/>
    <cellStyle name="SAPBEXexcCritical5" xfId="75"/>
    <cellStyle name="SAPBEXexcCritical6" xfId="76"/>
    <cellStyle name="SAPBEXexcGood1" xfId="77"/>
    <cellStyle name="SAPBEXexcGood2" xfId="78"/>
    <cellStyle name="SAPBEXexcGood3" xfId="79"/>
    <cellStyle name="SAPBEXfilterDrill" xfId="80"/>
    <cellStyle name="SAPBEXfilterItem" xfId="81"/>
    <cellStyle name="SAPBEXfilterText" xfId="82"/>
    <cellStyle name="SAPBEXformats" xfId="83"/>
    <cellStyle name="SAPBEXheaderItem" xfId="84"/>
    <cellStyle name="SAPBEXheaderText" xfId="85"/>
    <cellStyle name="SAPBEXHLevel0" xfId="86"/>
    <cellStyle name="SAPBEXHLevel0 2" xfId="613"/>
    <cellStyle name="SAPBEXHLevel0X" xfId="87"/>
    <cellStyle name="SAPBEXHLevel0X 2" xfId="614"/>
    <cellStyle name="SAPBEXHLevel1" xfId="88"/>
    <cellStyle name="SAPBEXHLevel1 2" xfId="615"/>
    <cellStyle name="SAPBEXHLevel1X" xfId="89"/>
    <cellStyle name="SAPBEXHLevel1X 2" xfId="616"/>
    <cellStyle name="SAPBEXHLevel2" xfId="90"/>
    <cellStyle name="SAPBEXHLevel2 2" xfId="617"/>
    <cellStyle name="SAPBEXHLevel2X" xfId="91"/>
    <cellStyle name="SAPBEXHLevel2X 2" xfId="618"/>
    <cellStyle name="SAPBEXHLevel3" xfId="92"/>
    <cellStyle name="SAPBEXHLevel3 2" xfId="619"/>
    <cellStyle name="SAPBEXHLevel3X" xfId="93"/>
    <cellStyle name="SAPBEXHLevel3X 2" xfId="620"/>
    <cellStyle name="SAPBEXinputData" xfId="94"/>
    <cellStyle name="SAPBEXinputData 2" xfId="621"/>
    <cellStyle name="SAPBEXresData" xfId="95"/>
    <cellStyle name="SAPBEXresDataEmph" xfId="96"/>
    <cellStyle name="SAPBEXresItem" xfId="97"/>
    <cellStyle name="SAPBEXresItemX" xfId="98"/>
    <cellStyle name="SAPBEXstdData" xfId="99"/>
    <cellStyle name="SAPBEXstdDataEmph" xfId="100"/>
    <cellStyle name="SAPBEXstdItem" xfId="101"/>
    <cellStyle name="SAPBEXstdItemX" xfId="102"/>
    <cellStyle name="SAPBEXtitle" xfId="103"/>
    <cellStyle name="SAPBEXundefined" xfId="104"/>
    <cellStyle name="Sheet Title" xfId="105"/>
    <cellStyle name="Title" xfId="109" builtinId="15" customBuiltin="1"/>
    <cellStyle name="Title 2" xfId="106"/>
    <cellStyle name="Total" xfId="123" builtinId="25" customBuiltin="1"/>
    <cellStyle name="Total 2" xfId="107"/>
    <cellStyle name="Total 2 2" xfId="385"/>
    <cellStyle name="Warning Text" xfId="121" builtinId="11" customBuiltin="1"/>
    <cellStyle name="Warning Text 2" xfId="108"/>
    <cellStyle name="Warning Text 2 2" xfId="386"/>
  </cellStyles>
  <dxfs count="349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EBB347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77BE77"/>
        </patternFill>
      </fill>
    </dxf>
    <dxf>
      <fill>
        <patternFill>
          <bgColor rgb="FFC23B22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FFB347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FFB347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77BE77"/>
        </patternFill>
      </fill>
    </dxf>
    <dxf>
      <fill>
        <patternFill>
          <bgColor rgb="FFFFB347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FFB347"/>
        </patternFill>
      </fill>
    </dxf>
    <dxf>
      <fill>
        <patternFill>
          <bgColor rgb="FF77BE77"/>
        </patternFill>
      </fill>
    </dxf>
    <dxf>
      <font>
        <color theme="0"/>
      </font>
      <fill>
        <patternFill>
          <bgColor rgb="FFC23B22"/>
        </patternFill>
      </fill>
    </dxf>
    <dxf>
      <fill>
        <patternFill>
          <bgColor rgb="FFFFB347"/>
        </patternFill>
      </fill>
    </dxf>
    <dxf>
      <font>
        <color theme="0"/>
      </font>
      <fill>
        <patternFill>
          <bgColor rgb="FFC23B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[$-409]dd\-mmm\-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indexed="1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theme="0"/>
        </left>
        <right/>
        <top style="medium">
          <color theme="0"/>
        </top>
        <bottom style="medium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64"/>
          <bgColor rgb="FF95B3D7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0"/>
        </left>
        <right style="medium">
          <color theme="0"/>
        </right>
        <top/>
        <bottom/>
        <vertical style="medium">
          <color theme="0"/>
        </vertical>
        <horizontal style="medium">
          <color theme="0"/>
        </horizontal>
      </border>
      <protection locked="1" hidden="0"/>
    </dxf>
  </dxfs>
  <tableStyles count="0" defaultTableStyle="TableStyleMedium2" defaultPivotStyle="PivotStyleLight16"/>
  <colors>
    <mruColors>
      <color rgb="FFC23B22"/>
      <color rgb="FF77BE77"/>
      <color rgb="FFFFB347"/>
      <color rgb="FF622DE7"/>
      <color rgb="FFCCC0DA"/>
      <color rgb="FFDA9694"/>
      <color rgb="FF4F81BD"/>
      <color rgb="FF31869B"/>
      <color rgb="FFA5002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'Resources Data'!$F$1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multiLvlStrRef>
              <c:f>'Resources Data'!$B$2:$C$38</c:f>
              <c:multiLvlStrCache>
                <c:ptCount val="5"/>
                <c:lvl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</c:lvl>
                <c:lvl>
                  <c:pt idx="0">
                    <c:v>John Murphy</c:v>
                  </c:pt>
                  <c:pt idx="1">
                    <c:v>John Cusains</c:v>
                  </c:pt>
                  <c:pt idx="2">
                    <c:v>Jerry Young</c:v>
                  </c:pt>
                  <c:pt idx="3">
                    <c:v>Helena Healy</c:v>
                  </c:pt>
                </c:lvl>
              </c:multiLvlStrCache>
            </c:multiLvlStrRef>
          </c:cat>
          <c:val>
            <c:numRef>
              <c:f>'Resources Data'!$F$2:$F$39</c:f>
              <c:numCache>
                <c:formatCode>m/d/yyyy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</c:ser>
        <c:ser>
          <c:idx val="1"/>
          <c:order val="1"/>
          <c:tx>
            <c:v>Days</c:v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1"/>
            <c:invertIfNegative val="0"/>
            <c:bubble3D val="0"/>
            <c:spPr>
              <a:solidFill>
                <a:srgbClr val="7693A0"/>
              </a:solidFill>
              <a:scene3d>
                <a:camera prst="orthographicFront"/>
                <a:lightRig rig="threePt" dir="t"/>
              </a:scene3d>
            </c:spPr>
          </c:dPt>
          <c:dPt>
            <c:idx val="2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3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4"/>
            <c:invertIfNegative val="0"/>
            <c:bubble3D val="0"/>
            <c:spPr>
              <a:solidFill>
                <a:srgbClr val="DA9694"/>
              </a:solidFill>
              <a:scene3d>
                <a:camera prst="orthographicFront"/>
                <a:lightRig rig="threePt" dir="t"/>
              </a:scene3d>
            </c:spPr>
          </c:dPt>
          <c:dPt>
            <c:idx val="5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6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7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8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9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0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11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2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3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4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5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6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7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8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19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0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1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2"/>
            <c:invertIfNegative val="0"/>
            <c:bubble3D val="0"/>
            <c:spPr>
              <a:solidFill>
                <a:srgbClr val="31869B"/>
              </a:solidFill>
              <a:scene3d>
                <a:camera prst="orthographicFront"/>
                <a:lightRig rig="threePt" dir="t"/>
              </a:scene3d>
            </c:spPr>
          </c:dPt>
          <c:dPt>
            <c:idx val="23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dPt>
            <c:idx val="24"/>
            <c:invertIfNegative val="0"/>
            <c:bubble3D val="0"/>
            <c:spPr>
              <a:solidFill>
                <a:srgbClr val="CCC0DA"/>
              </a:solidFill>
              <a:scene3d>
                <a:camera prst="orthographicFront"/>
                <a:lightRig rig="threePt" dir="t"/>
              </a:scene3d>
            </c:spPr>
          </c:dPt>
          <c:cat>
            <c:multiLvlStrRef>
              <c:f>'Resources Data'!$B$2:$C$38</c:f>
              <c:multiLvlStrCache>
                <c:ptCount val="5"/>
                <c:lvl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</c:lvl>
                <c:lvl>
                  <c:pt idx="0">
                    <c:v>John Murphy</c:v>
                  </c:pt>
                  <c:pt idx="1">
                    <c:v>John Cusains</c:v>
                  </c:pt>
                  <c:pt idx="2">
                    <c:v>Jerry Young</c:v>
                  </c:pt>
                  <c:pt idx="3">
                    <c:v>Helena Healy</c:v>
                  </c:pt>
                </c:lvl>
              </c:multiLvlStrCache>
            </c:multiLvlStrRef>
          </c:cat>
          <c:val>
            <c:numRef>
              <c:f>'Resources Data'!$I$2:$I$39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258752"/>
        <c:axId val="141260288"/>
      </c:barChart>
      <c:scatterChart>
        <c:scatterStyle val="lineMarker"/>
        <c:varyColors val="0"/>
        <c:ser>
          <c:idx val="2"/>
          <c:order val="2"/>
          <c:tx>
            <c:v>Today</c:v>
          </c:tx>
          <c:spPr>
            <a:ln>
              <a:solidFill>
                <a:schemeClr val="tx1"/>
              </a:solidFill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6573441060700228E-3"/>
                  <c:y val="-2.0942411254814591E-2"/>
                </c:manualLayout>
              </c:layout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separator>
</c:separator>
            </c:dLbl>
            <c:dLbl>
              <c:idx val="1"/>
              <c:delete val="1"/>
            </c:dLbl>
            <c:txPr>
              <a:bodyPr/>
              <a:lstStyle/>
              <a:p>
                <a:pPr>
                  <a:defRPr b="1" i="0" baseline="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</c:dLbls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'Rag Coding'!$H$1:$H$2</c:f>
              <c:numCache>
                <c:formatCode>m/d/yyyy</c:formatCode>
                <c:ptCount val="2"/>
                <c:pt idx="0">
                  <c:v>42769</c:v>
                </c:pt>
                <c:pt idx="1">
                  <c:v>42769</c:v>
                </c:pt>
              </c:numCache>
            </c:numRef>
          </c:xVal>
          <c:yVal>
            <c:numRef>
              <c:f>'Rag Coding'!$I$1:$I$2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63616"/>
        <c:axId val="141261824"/>
      </c:scatterChart>
      <c:catAx>
        <c:axId val="141258752"/>
        <c:scaling>
          <c:orientation val="maxMin"/>
        </c:scaling>
        <c:delete val="0"/>
        <c:axPos val="l"/>
        <c:majorGridlines>
          <c:spPr>
            <a:ln w="19050" cmpd="sng">
              <a:noFill/>
            </a:ln>
          </c:spPr>
        </c:majorGridlines>
        <c:minorGridlines>
          <c:spPr>
            <a:ln>
              <a:noFill/>
            </a:ln>
          </c:spPr>
        </c:minorGridlines>
        <c:majorTickMark val="out"/>
        <c:minorTickMark val="none"/>
        <c:tickLblPos val="low"/>
        <c:spPr>
          <a:effectLst/>
        </c:spPr>
        <c:txPr>
          <a:bodyPr rot="0" vert="horz" anchor="ctr" anchorCtr="1"/>
          <a:lstStyle/>
          <a:p>
            <a:pPr>
              <a:defRPr/>
            </a:pPr>
            <a:endParaRPr lang="en-US"/>
          </a:p>
        </c:txPr>
        <c:crossAx val="141260288"/>
        <c:crosses val="autoZero"/>
        <c:auto val="1"/>
        <c:lblAlgn val="ctr"/>
        <c:lblOffset val="100"/>
        <c:noMultiLvlLbl val="0"/>
      </c:catAx>
      <c:valAx>
        <c:axId val="141260288"/>
        <c:scaling>
          <c:orientation val="minMax"/>
          <c:max val="42718"/>
          <c:min val="42540"/>
        </c:scaling>
        <c:delete val="0"/>
        <c:axPos val="t"/>
        <c:majorGridlines/>
        <c:minorGridlines>
          <c:spPr>
            <a:ln w="9525">
              <a:solidFill>
                <a:schemeClr val="bg1">
                  <a:lumMod val="85000"/>
                </a:schemeClr>
              </a:solidFill>
            </a:ln>
          </c:spPr>
        </c:minorGridlines>
        <c:numFmt formatCode="d\-mmm\-yy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900" kern="1200" cap="none" normalizeH="0" baseline="0"/>
            </a:pPr>
            <a:endParaRPr lang="en-US"/>
          </a:p>
        </c:txPr>
        <c:crossAx val="141258752"/>
        <c:crosses val="autoZero"/>
        <c:crossBetween val="between"/>
        <c:majorUnit val="12"/>
      </c:valAx>
      <c:valAx>
        <c:axId val="14126182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1263616"/>
        <c:crosses val="autoZero"/>
        <c:crossBetween val="midCat"/>
      </c:valAx>
      <c:valAx>
        <c:axId val="141263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41261824"/>
        <c:crosses val="autoZero"/>
        <c:crossBetween val="midCat"/>
      </c:valAx>
      <c:spPr>
        <a:effectLst/>
      </c:spPr>
    </c:plotArea>
    <c:plotVisOnly val="1"/>
    <c:dispBlanksAs val="gap"/>
    <c:showDLblsOverMax val="0"/>
  </c:chart>
  <c:spPr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>
      <c:oddHeader>&amp;CProjects Resource Allocation</c:oddHeader>
    </c:headerFooter>
    <c:pageMargins b="0" l="0" r="0" t="0" header="0.31496062992125984" footer="0"/>
    <c:pageSetup paperSize="8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16" fmlaLink="$B$39" horiz="1" max="12" min="1" page="2" val="1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104776</xdr:rowOff>
    </xdr:from>
    <xdr:ext cx="2876549" cy="450012"/>
    <xdr:sp macro="" textlink="">
      <xdr:nvSpPr>
        <xdr:cNvPr id="2" name="Rectangle 1"/>
        <xdr:cNvSpPr/>
      </xdr:nvSpPr>
      <xdr:spPr>
        <a:xfrm>
          <a:off x="0" y="104776"/>
          <a:ext cx="2876549" cy="450012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4400" b="1" cap="none" spc="0" baseline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Dashboard</a:t>
          </a:r>
          <a:endParaRPr lang="en-US" sz="32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1609725</xdr:colOff>
          <xdr:row>0</xdr:row>
          <xdr:rowOff>57150</xdr:rowOff>
        </xdr:from>
        <xdr:to>
          <xdr:col>13</xdr:col>
          <xdr:colOff>2809875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Protect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1609725</xdr:colOff>
          <xdr:row>1</xdr:row>
          <xdr:rowOff>47625</xdr:rowOff>
        </xdr:from>
        <xdr:to>
          <xdr:col>13</xdr:col>
          <xdr:colOff>2809875</xdr:colOff>
          <xdr:row>1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Un-Protect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2828925</xdr:colOff>
          <xdr:row>0</xdr:row>
          <xdr:rowOff>57150</xdr:rowOff>
        </xdr:from>
        <xdr:to>
          <xdr:col>13</xdr:col>
          <xdr:colOff>4029075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2838450</xdr:colOff>
          <xdr:row>1</xdr:row>
          <xdr:rowOff>47625</xdr:rowOff>
        </xdr:from>
        <xdr:to>
          <xdr:col>13</xdr:col>
          <xdr:colOff>4029075</xdr:colOff>
          <xdr:row>1</xdr:row>
          <xdr:rowOff>457200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 Project</a:t>
              </a:r>
            </a:p>
            <a:p>
              <a:pPr algn="ctr" rtl="0">
                <a:defRPr sz="1000"/>
              </a:pPr>
              <a:endParaRPr lang="en-GB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2828925</xdr:colOff>
          <xdr:row>1</xdr:row>
          <xdr:rowOff>495300</xdr:rowOff>
        </xdr:from>
        <xdr:to>
          <xdr:col>13</xdr:col>
          <xdr:colOff>4029075</xdr:colOff>
          <xdr:row>2</xdr:row>
          <xdr:rowOff>333375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66675</xdr:rowOff>
        </xdr:from>
        <xdr:to>
          <xdr:col>9</xdr:col>
          <xdr:colOff>714375</xdr:colOff>
          <xdr:row>0</xdr:row>
          <xdr:rowOff>400050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123826</xdr:rowOff>
    </xdr:from>
    <xdr:to>
      <xdr:col>20</xdr:col>
      <xdr:colOff>323850</xdr:colOff>
      <xdr:row>35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36</xdr:row>
          <xdr:rowOff>47625</xdr:rowOff>
        </xdr:from>
        <xdr:to>
          <xdr:col>20</xdr:col>
          <xdr:colOff>314325</xdr:colOff>
          <xdr:row>37</xdr:row>
          <xdr:rowOff>95250</xdr:rowOff>
        </xdr:to>
        <xdr:sp macro="" textlink="">
          <xdr:nvSpPr>
            <xdr:cNvPr id="28673" name="Scroll Bar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2:I47" totalsRowShown="0" headerRowDxfId="348" dataDxfId="347">
  <autoFilter ref="A2:I47"/>
  <sortState ref="A3:I47">
    <sortCondition ref="A2:A47"/>
  </sortState>
  <tableColumns count="9">
    <tableColumn id="2" name="Project ID" dataDxfId="346"/>
    <tableColumn id="3" name="Project Details" dataDxfId="345"/>
    <tableColumn id="4" name="Change Request Description" dataDxfId="344"/>
    <tableColumn id="5" name="Summary of Impact _x000a_(Cost / Schedule / Quality )" dataDxfId="343"/>
    <tableColumn id="6" name="Reason for Change" dataDxfId="342"/>
    <tableColumn id="7" name="Submitted By" dataDxfId="341"/>
    <tableColumn id="8" name="Date Submitted" dataDxfId="340"/>
    <tableColumn id="10" name="Date Approved / Rejected" dataDxfId="339"/>
    <tableColumn id="11" name="Approval / Rejection comment" dataDxfId="33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30" totalsRowShown="0" headerRowDxfId="319" dataDxfId="320">
  <autoFilter ref="A1:C30"/>
  <tableColumns count="3">
    <tableColumn id="1" name="Project Managers" dataDxfId="323"/>
    <tableColumn id="2" name="FacOps Reps" dataDxfId="322"/>
    <tableColumn id="3" name="Sponsors" dataDxfId="32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L39" totalsRowShown="0" headerRowDxfId="337" dataDxfId="336">
  <autoFilter ref="A1:L39"/>
  <tableColumns count="12">
    <tableColumn id="1" name="Project ID" dataDxfId="335"/>
    <tableColumn id="2" name="Project Managers" dataDxfId="334"/>
    <tableColumn id="3" name="Column1" dataDxfId="333">
      <calculatedColumnFormula>IF(D2="","",CONCATENATE(LEFT(D2,54),"...."))</calculatedColumnFormula>
    </tableColumn>
    <tableColumn id="4" name="Project Description" dataDxfId="332"/>
    <tableColumn id="5" name="Pulled Project Manager" dataDxfId="331"/>
    <tableColumn id="6" name="Start date" dataDxfId="330">
      <calculatedColumnFormula>IF(VLOOKUP($A2,'Tracker Sheet'!$A$3:$BP$40,8,FALSE)&lt;&gt;"",VLOOKUP($A2,'Tracker Sheet'!$A$3:$BP$40,8,FALSE),IF(VLOOKUP($A2,'Tracker Sheet'!$A$3:$BP$40,13,FALSE)&lt;&gt;"",VLOOKUP($A2,'Tracker Sheet'!$A$3:$BP$40,13,FALSE),IF(VLOOKUP($A2,'Tracker Sheet'!$A$3:$BP$40,24,FALSE)&lt;&gt;"",VLOOKUP($A2,'Tracker Sheet'!$A$3:$BP$40,24,FALSE),IF(VLOOKUP($A2,'Tracker Sheet'!$A$3:$BP$40,35,FALSE)&lt;&gt;"",VLOOKUP($A2,'Tracker Sheet'!$A$3:$BP$40,35,FALSE),IF(VLOOKUP($A2,'Tracker Sheet'!$A$3:$BP$40,46,FALSE)&lt;&gt;"",VLOOKUP($A2,'Tracker Sheet'!$A$3:$BP$40,46,FALSE),"")))))</calculatedColumnFormula>
    </tableColumn>
    <tableColumn id="7" name="PulledCompletion" dataDxfId="329"/>
    <tableColumn id="8" name="Completion" dataDxfId="328"/>
    <tableColumn id="9" name="Days" dataDxfId="327">
      <calculatedColumnFormula>IF(K2&gt;=0,K2,0)</calculatedColumnFormula>
    </tableColumn>
    <tableColumn id="10" name="Today" dataDxfId="326"/>
    <tableColumn id="11" name="Pulled DaysColumn1" dataDxfId="325"/>
    <tableColumn id="12" name="Pulled DaysColumn2" dataDxfId="324">
      <calculatedColumnFormula>IFERROR(VLOOKUP($A2,'Tracker Sheet'!$A$3:$BZ$40,78,FALSE),"")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  <pageSetUpPr fitToPage="1"/>
  </sheetPr>
  <dimension ref="A1:U40"/>
  <sheetViews>
    <sheetView showGridLines="0" tabSelected="1" zoomScaleNormal="100" workbookViewId="0">
      <pane xSplit="2" ySplit="3" topLeftCell="C4" activePane="bottomRight" state="frozen"/>
      <selection pane="topRight" activeCell="I1" sqref="I1"/>
      <selection pane="bottomLeft" activeCell="A4" sqref="A4"/>
      <selection pane="bottomRight" activeCell="F10" sqref="F10"/>
    </sheetView>
  </sheetViews>
  <sheetFormatPr defaultRowHeight="45" customHeight="1" x14ac:dyDescent="0.2"/>
  <cols>
    <col min="1" max="1" width="7.21875" style="3" bestFit="1" customWidth="1"/>
    <col min="2" max="2" width="19.5546875" style="3" customWidth="1"/>
    <col min="3" max="3" width="8.33203125" style="31" customWidth="1"/>
    <col min="4" max="8" width="8.33203125" style="3" customWidth="1"/>
    <col min="9" max="9" width="1.6640625" customWidth="1"/>
    <col min="10" max="10" width="5.6640625" customWidth="1"/>
    <col min="11" max="11" width="1.33203125" customWidth="1"/>
    <col min="12" max="12" width="6.33203125" customWidth="1"/>
    <col min="13" max="13" width="1.33203125" style="3" customWidth="1"/>
    <col min="14" max="14" width="47.6640625" style="132" customWidth="1"/>
    <col min="15" max="15" width="7.5546875" style="145" customWidth="1"/>
    <col min="16" max="16384" width="8.88671875" style="3"/>
  </cols>
  <sheetData>
    <row r="1" spans="1:21" ht="35.25" customHeight="1" x14ac:dyDescent="0.2">
      <c r="N1" s="223" t="s">
        <v>340</v>
      </c>
      <c r="O1" s="369" t="s">
        <v>258</v>
      </c>
      <c r="P1" s="369"/>
    </row>
    <row r="2" spans="1:21" ht="45" customHeight="1" thickBot="1" x14ac:dyDescent="0.25">
      <c r="D2" s="24"/>
      <c r="E2" s="24"/>
      <c r="F2" s="24"/>
      <c r="G2" s="24"/>
      <c r="H2" s="25"/>
      <c r="O2" s="146" t="s">
        <v>248</v>
      </c>
      <c r="P2" s="137"/>
    </row>
    <row r="3" spans="1:21" ht="45" customHeight="1" thickTop="1" thickBot="1" x14ac:dyDescent="0.25">
      <c r="A3" s="147" t="s">
        <v>142</v>
      </c>
      <c r="B3" s="36" t="s">
        <v>27</v>
      </c>
      <c r="C3" s="149" t="s">
        <v>254</v>
      </c>
      <c r="D3" s="32" t="s">
        <v>134</v>
      </c>
      <c r="E3" s="33" t="s">
        <v>136</v>
      </c>
      <c r="F3" s="33" t="s">
        <v>137</v>
      </c>
      <c r="G3" s="34" t="s">
        <v>135</v>
      </c>
      <c r="H3" s="35" t="s">
        <v>29</v>
      </c>
      <c r="J3" s="136" t="s">
        <v>26</v>
      </c>
      <c r="K3" s="153"/>
      <c r="L3" s="153" t="s">
        <v>246</v>
      </c>
      <c r="M3" s="4"/>
      <c r="N3" s="131" t="s">
        <v>21</v>
      </c>
      <c r="O3" s="146" t="s">
        <v>247</v>
      </c>
      <c r="P3" s="133"/>
    </row>
    <row r="4" spans="1:21" s="27" customFormat="1" ht="56.25" customHeight="1" thickTop="1" thickBot="1" x14ac:dyDescent="0.25">
      <c r="A4" s="122" t="str">
        <f>IF(INDEX('Tracker Sheet'!E:E,3)="","",INDEX('Tracker Sheet'!E:E,3))</f>
        <v/>
      </c>
      <c r="B4" s="303" t="str">
        <f>IF(INDEX('Tracker Sheet'!C:C,3)="","",INDEX('Tracker Sheet'!C:C,3))</f>
        <v/>
      </c>
      <c r="C4" s="302" t="str">
        <f>IF(INDEX('Tracker Sheet'!K:K,3)="","",INDEX('Tracker Sheet'!K:K,3))</f>
        <v/>
      </c>
      <c r="D4" s="313"/>
      <c r="E4" s="301" t="str">
        <f ca="1">IF(INDEX('Tracker Sheet'!BS:BS,3)="Completed ",INDEX('Tracker Sheet'!BR:BR,3)&amp;INDEX('Tracker Sheet'!BT:BT,3),INDEX('Tracker Sheet'!BS:BS,3))</f>
        <v/>
      </c>
      <c r="F4" s="301" t="str">
        <f ca="1">IF(INDEX('Tracker Sheet'!BU:BU,3)="Completed ",INDEX('Tracker Sheet'!BU:BU,3)&amp;INDEX('Tracker Sheet'!BV:BV,3),INDEX('Tracker Sheet'!BU:BU,3))</f>
        <v/>
      </c>
      <c r="G4" s="301" t="str">
        <f ca="1">IF(INDEX('Tracker Sheet'!BW:BW,3)="Completed ",INDEX('Tracker Sheet'!BW:BW,3)&amp;INDEX('Tracker Sheet'!BX:BX,3),INDEX('Tracker Sheet'!BW:BW,3))</f>
        <v/>
      </c>
      <c r="H4" s="301" t="str">
        <f ca="1">INDEX('Tracker Sheet'!BY:BY,3)</f>
        <v/>
      </c>
      <c r="I4" s="26"/>
      <c r="J4" s="23"/>
      <c r="K4" s="156"/>
      <c r="L4" s="153"/>
      <c r="N4" s="413"/>
      <c r="O4" s="140"/>
      <c r="P4" s="138"/>
      <c r="U4" s="3"/>
    </row>
    <row r="5" spans="1:21" ht="56.25" customHeight="1" thickTop="1" thickBot="1" x14ac:dyDescent="0.25">
      <c r="A5" s="122" t="str">
        <f>IF(INDEX('Tracker Sheet'!E:E,4)="","",INDEX('Tracker Sheet'!E:E,4))</f>
        <v/>
      </c>
      <c r="B5" s="303" t="str">
        <f>IF(INDEX('Tracker Sheet'!C:C,4)="","",INDEX('Tracker Sheet'!C:C,4))</f>
        <v/>
      </c>
      <c r="C5" s="314" t="str">
        <f>IF(INDEX('Tracker Sheet'!K:K,4)="","",INDEX('Tracker Sheet'!K:K,4))</f>
        <v/>
      </c>
      <c r="D5" s="313" t="str">
        <f ca="1">IF(INDEX('Tracker Sheet'!BQ:BQ,4)="Completed ",INDEX('Tracker Sheet'!BQ:BQ,4)&amp;INDEX('Tracker Sheet'!BR:BR,4),INDEX('Tracker Sheet'!BQ:BQ,4))</f>
        <v/>
      </c>
      <c r="E5" s="313" t="str">
        <f ca="1">IF(INDEX('Tracker Sheet'!BS:BS,4)="Completed ",INDEX('Tracker Sheet'!BR:BR,4)&amp;INDEX('Tracker Sheet'!BT:BT,4),INDEX('Tracker Sheet'!BS:BS,4))</f>
        <v/>
      </c>
      <c r="F5" s="313" t="str">
        <f ca="1">IF(INDEX('Tracker Sheet'!BU:BU,4)="Completed ",INDEX('Tracker Sheet'!BU:BU,4)&amp;INDEX('Tracker Sheet'!BV:BV,4),INDEX('Tracker Sheet'!BU:BU,4))</f>
        <v/>
      </c>
      <c r="G5" s="313" t="str">
        <f ca="1">IF(INDEX('Tracker Sheet'!BW:BW,4)="Completed ",INDEX('Tracker Sheet'!BW:BW,4)&amp;INDEX('Tracker Sheet'!BX:BX,4),INDEX('Tracker Sheet'!BW:BW,4))</f>
        <v/>
      </c>
      <c r="H5" s="313" t="str">
        <f ca="1">INDEX('Tracker Sheet'!BY:BY,4)</f>
        <v/>
      </c>
      <c r="I5" s="213"/>
      <c r="J5" s="23"/>
      <c r="K5" s="156"/>
      <c r="L5" s="153"/>
      <c r="N5" s="413"/>
      <c r="O5" s="140"/>
      <c r="P5" s="139"/>
    </row>
    <row r="6" spans="1:21" ht="56.25" customHeight="1" thickTop="1" thickBot="1" x14ac:dyDescent="0.25">
      <c r="A6" s="122" t="str">
        <f>IF(INDEX('Tracker Sheet'!E:E,5)="","",INDEX('Tracker Sheet'!E:E,5))</f>
        <v/>
      </c>
      <c r="B6" s="303" t="str">
        <f>IF(INDEX('Tracker Sheet'!C:C,5)="","",INDEX('Tracker Sheet'!C:C,5))</f>
        <v/>
      </c>
      <c r="C6" s="314" t="str">
        <f>IF(INDEX('Tracker Sheet'!K:K,5)="","",INDEX('Tracker Sheet'!K:K,5))</f>
        <v/>
      </c>
      <c r="D6" s="313" t="str">
        <f ca="1">IF(INDEX('Tracker Sheet'!BQ:BQ,5)="Completed ",INDEX('Tracker Sheet'!BQ:BQ,5)&amp;INDEX('Tracker Sheet'!BR:BR,5),INDEX('Tracker Sheet'!BQ:BQ,5))</f>
        <v/>
      </c>
      <c r="E6" s="313" t="str">
        <f ca="1">IF(INDEX('Tracker Sheet'!BS:BS,5)="Completed ",INDEX('Tracker Sheet'!BR:BR,5)&amp;INDEX('Tracker Sheet'!BT:BT,5),INDEX('Tracker Sheet'!BS:BS,5))</f>
        <v/>
      </c>
      <c r="F6" s="313" t="str">
        <f ca="1">IF(INDEX('Tracker Sheet'!BU:BU,5)="Completed ",INDEX('Tracker Sheet'!BU:BU,5)&amp;INDEX('Tracker Sheet'!BV:BV,5),INDEX('Tracker Sheet'!BU:BU,5))</f>
        <v/>
      </c>
      <c r="G6" s="313" t="str">
        <f ca="1">IF(INDEX('Tracker Sheet'!BW:BW,5)="Completed ",INDEX('Tracker Sheet'!BW:BW,5)&amp;INDEX('Tracker Sheet'!BX:BX,5),INDEX('Tracker Sheet'!BW:BW,5))</f>
        <v/>
      </c>
      <c r="H6" s="313" t="str">
        <f ca="1">INDEX('Tracker Sheet'!BY:BY,5)</f>
        <v/>
      </c>
      <c r="J6" s="23"/>
      <c r="K6" s="156"/>
      <c r="L6" s="153"/>
      <c r="N6" s="413"/>
      <c r="O6" s="141"/>
    </row>
    <row r="7" spans="1:21" ht="56.25" customHeight="1" thickTop="1" thickBot="1" x14ac:dyDescent="0.25">
      <c r="A7" s="122" t="str">
        <f>IF(INDEX('Tracker Sheet'!E:E,6)="","",INDEX('Tracker Sheet'!E:E,6))</f>
        <v/>
      </c>
      <c r="B7" s="303" t="str">
        <f>IF(INDEX('Tracker Sheet'!C:C,6)="","",INDEX('Tracker Sheet'!C:C,6))</f>
        <v/>
      </c>
      <c r="C7" s="314" t="str">
        <f>IF(INDEX('Tracker Sheet'!K:K,6)="","",INDEX('Tracker Sheet'!K:K,6))</f>
        <v/>
      </c>
      <c r="D7" s="313" t="str">
        <f ca="1">IF(INDEX('Tracker Sheet'!BQ:BQ,6)="Completed ",INDEX('Tracker Sheet'!BQ:BQ,6)&amp;INDEX('Tracker Sheet'!BR:BR,6),INDEX('Tracker Sheet'!BQ:BQ,6))</f>
        <v/>
      </c>
      <c r="E7" s="313" t="str">
        <f ca="1">IF(INDEX('Tracker Sheet'!BS:BS,6)="Completed ",INDEX('Tracker Sheet'!BR:BR,6)&amp;INDEX('Tracker Sheet'!BT:BT,6),INDEX('Tracker Sheet'!BS:BS,6))</f>
        <v/>
      </c>
      <c r="F7" s="313" t="str">
        <f ca="1">IF(INDEX('Tracker Sheet'!BU:BU,6)="Completed ",INDEX('Tracker Sheet'!BU:BU,6)&amp;INDEX('Tracker Sheet'!BV:BV,6),INDEX('Tracker Sheet'!BU:BU,6))</f>
        <v/>
      </c>
      <c r="G7" s="313" t="str">
        <f ca="1">IF(INDEX('Tracker Sheet'!BW:BW,6)="Completed ",INDEX('Tracker Sheet'!BW:BW,6)&amp;INDEX('Tracker Sheet'!BX:BX,6),INDEX('Tracker Sheet'!BW:BW,6))</f>
        <v/>
      </c>
      <c r="H7" s="313" t="str">
        <f ca="1">INDEX('Tracker Sheet'!BY:BY,6)</f>
        <v/>
      </c>
      <c r="J7" s="23"/>
      <c r="K7" s="156"/>
      <c r="L7" s="153"/>
      <c r="N7" s="413"/>
      <c r="O7" s="140"/>
    </row>
    <row r="8" spans="1:21" ht="56.25" customHeight="1" thickTop="1" thickBot="1" x14ac:dyDescent="0.25">
      <c r="A8" s="122" t="str">
        <f>IF(INDEX('Tracker Sheet'!E:E,7)="","",INDEX('Tracker Sheet'!E:E,7))</f>
        <v/>
      </c>
      <c r="B8" s="303" t="str">
        <f>IF(INDEX('Tracker Sheet'!C:C,7)="","",INDEX('Tracker Sheet'!C:C,7))</f>
        <v/>
      </c>
      <c r="C8" s="314" t="str">
        <f>IF(INDEX('Tracker Sheet'!K:K,7)="","",INDEX('Tracker Sheet'!K:K,7))</f>
        <v/>
      </c>
      <c r="D8" s="313" t="str">
        <f ca="1">IF(INDEX('Tracker Sheet'!BQ:BQ,7)="Completed ",INDEX('Tracker Sheet'!BQ:BQ,7)&amp;INDEX('Tracker Sheet'!BR:BR,7),INDEX('Tracker Sheet'!BQ:BQ,7))</f>
        <v/>
      </c>
      <c r="E8" s="313" t="str">
        <f ca="1">IF(INDEX('Tracker Sheet'!BS:BS,7)="Completed ",INDEX('Tracker Sheet'!BR:BR,7)&amp;INDEX('Tracker Sheet'!BT:BT,7),INDEX('Tracker Sheet'!BS:BS,7))</f>
        <v/>
      </c>
      <c r="F8" s="313" t="str">
        <f ca="1">IF(INDEX('Tracker Sheet'!BU:BU,7)="Completed ",INDEX('Tracker Sheet'!BU:BU,7)&amp;INDEX('Tracker Sheet'!BV:BV,7),INDEX('Tracker Sheet'!BU:BU,7))</f>
        <v/>
      </c>
      <c r="G8" s="313" t="str">
        <f ca="1">IF(INDEX('Tracker Sheet'!BW:BW,7)="Completed ",INDEX('Tracker Sheet'!BW:BW,7)&amp;INDEX('Tracker Sheet'!BX:BX,7),INDEX('Tracker Sheet'!BW:BW,7))</f>
        <v/>
      </c>
      <c r="H8" s="313" t="str">
        <f ca="1">INDEX('Tracker Sheet'!BY:BY,7)</f>
        <v/>
      </c>
      <c r="J8" s="23"/>
      <c r="K8" s="156"/>
      <c r="L8" s="153"/>
      <c r="N8" s="413"/>
      <c r="O8" s="140"/>
    </row>
    <row r="9" spans="1:21" ht="56.25" customHeight="1" thickTop="1" thickBot="1" x14ac:dyDescent="0.25">
      <c r="A9" s="122" t="str">
        <f>IF(INDEX('Tracker Sheet'!E:E,8)="","",INDEX('Tracker Sheet'!E:E,8))</f>
        <v/>
      </c>
      <c r="B9" s="303" t="str">
        <f>IF(INDEX('Tracker Sheet'!C:C,8)="","",INDEX('Tracker Sheet'!C:C,8))</f>
        <v/>
      </c>
      <c r="C9" s="314" t="str">
        <f>IF(INDEX('Tracker Sheet'!K:K,8)="","",INDEX('Tracker Sheet'!K:K,8))</f>
        <v/>
      </c>
      <c r="D9" s="313" t="str">
        <f ca="1">IF(INDEX('Tracker Sheet'!BQ:BQ,8)="Completed ",INDEX('Tracker Sheet'!BQ:BQ,8)&amp;INDEX('Tracker Sheet'!BR:BR,8),INDEX('Tracker Sheet'!BQ:BQ,8))</f>
        <v/>
      </c>
      <c r="E9" s="313" t="str">
        <f ca="1">IF(INDEX('Tracker Sheet'!BS:BS,8)="Completed ",INDEX('Tracker Sheet'!BR:BR,8)&amp;INDEX('Tracker Sheet'!BT:BT,8),INDEX('Tracker Sheet'!BS:BS,8))</f>
        <v/>
      </c>
      <c r="F9" s="313" t="str">
        <f ca="1">IF(INDEX('Tracker Sheet'!BU:BU,8)="Completed ",INDEX('Tracker Sheet'!BU:BU,8)&amp;INDEX('Tracker Sheet'!BV:BV,8),INDEX('Tracker Sheet'!BU:BU,8))</f>
        <v/>
      </c>
      <c r="G9" s="313" t="str">
        <f ca="1">IF(INDEX('Tracker Sheet'!BW:BW,8)="Completed ",INDEX('Tracker Sheet'!BW:BW,8)&amp;INDEX('Tracker Sheet'!BX:BX,8),INDEX('Tracker Sheet'!BW:BW,8))</f>
        <v/>
      </c>
      <c r="H9" s="313" t="str">
        <f ca="1">INDEX('Tracker Sheet'!BY:BY,8)</f>
        <v/>
      </c>
      <c r="I9" s="213"/>
      <c r="J9" s="23"/>
      <c r="K9" s="156"/>
      <c r="L9" s="153"/>
      <c r="N9" s="413"/>
      <c r="O9" s="140"/>
    </row>
    <row r="10" spans="1:21" ht="56.25" customHeight="1" thickTop="1" thickBot="1" x14ac:dyDescent="0.25">
      <c r="A10" s="122" t="str">
        <f>IF(INDEX('Tracker Sheet'!E:E,9)="","",INDEX('Tracker Sheet'!E:E,9))</f>
        <v/>
      </c>
      <c r="B10" s="303" t="str">
        <f>IF(INDEX('Tracker Sheet'!C:C,9)="","",INDEX('Tracker Sheet'!C:C,9))</f>
        <v/>
      </c>
      <c r="C10" s="314" t="str">
        <f>IF(INDEX('Tracker Sheet'!K:K,9)="","",INDEX('Tracker Sheet'!K:K,9))</f>
        <v/>
      </c>
      <c r="D10" s="313" t="str">
        <f ca="1">IF(INDEX('Tracker Sheet'!BQ:BQ,9)="Completed ",INDEX('Tracker Sheet'!BQ:BQ,9)&amp;INDEX('Tracker Sheet'!BR:BR,9),INDEX('Tracker Sheet'!BQ:BQ,9))</f>
        <v/>
      </c>
      <c r="E10" s="313" t="str">
        <f ca="1">IF(INDEX('Tracker Sheet'!BS:BS,9)="Completed ",INDEX('Tracker Sheet'!BR:BR,9)&amp;INDEX('Tracker Sheet'!BT:BT,9),INDEX('Tracker Sheet'!BS:BS,9))</f>
        <v/>
      </c>
      <c r="F10" s="313" t="str">
        <f ca="1">IF(INDEX('Tracker Sheet'!BU:BU,9)="Completed ",INDEX('Tracker Sheet'!BU:BU,9)&amp;INDEX('Tracker Sheet'!BV:BV,9),INDEX('Tracker Sheet'!BU:BU,9))</f>
        <v/>
      </c>
      <c r="G10" s="313" t="str">
        <f ca="1">IF(INDEX('Tracker Sheet'!BW:BW,9)="Completed ",INDEX('Tracker Sheet'!BW:BW,9)&amp;INDEX('Tracker Sheet'!BX:BX,9),INDEX('Tracker Sheet'!BW:BW,9))</f>
        <v/>
      </c>
      <c r="H10" s="313" t="str">
        <f ca="1">INDEX('Tracker Sheet'!BY:BY,9)</f>
        <v/>
      </c>
      <c r="J10" s="23"/>
      <c r="K10" s="156"/>
      <c r="L10" s="153"/>
      <c r="N10" s="413"/>
      <c r="O10" s="140"/>
    </row>
    <row r="11" spans="1:21" ht="56.25" customHeight="1" thickTop="1" thickBot="1" x14ac:dyDescent="0.25">
      <c r="A11" s="122" t="str">
        <f>IF(INDEX('Tracker Sheet'!E:E,10)="","",INDEX('Tracker Sheet'!E:E,10))</f>
        <v/>
      </c>
      <c r="B11" s="303" t="str">
        <f>IF(INDEX('Tracker Sheet'!C:C,10)="","",INDEX('Tracker Sheet'!C:C,10))</f>
        <v/>
      </c>
      <c r="C11" s="314" t="str">
        <f>IF(INDEX('Tracker Sheet'!K:K,10)="","",INDEX('Tracker Sheet'!K:K,10))</f>
        <v/>
      </c>
      <c r="D11" s="313" t="str">
        <f ca="1">IF(INDEX('Tracker Sheet'!BQ:BQ,10)="Completed ",INDEX('Tracker Sheet'!BQ:BQ,10)&amp;INDEX('Tracker Sheet'!BR:BR,10),INDEX('Tracker Sheet'!BQ:BQ,10))</f>
        <v/>
      </c>
      <c r="E11" s="313" t="str">
        <f ca="1">IF(INDEX('Tracker Sheet'!BS:BS,10)="Completed ",INDEX('Tracker Sheet'!BR:BR,10)&amp;INDEX('Tracker Sheet'!BT:BT,10),INDEX('Tracker Sheet'!BS:BS,10))</f>
        <v/>
      </c>
      <c r="F11" s="313" t="str">
        <f ca="1">IF(INDEX('Tracker Sheet'!BU:BU,10)="Completed ",INDEX('Tracker Sheet'!BU:BU,10)&amp;INDEX('Tracker Sheet'!BV:BV,10),INDEX('Tracker Sheet'!BU:BU,10))</f>
        <v/>
      </c>
      <c r="G11" s="313" t="str">
        <f ca="1">IF(INDEX('Tracker Sheet'!BW:BW,10)="Completed ",INDEX('Tracker Sheet'!BW:BW,10)&amp;INDEX('Tracker Sheet'!BX:BX,10),INDEX('Tracker Sheet'!BW:BW,10))</f>
        <v/>
      </c>
      <c r="H11" s="313" t="str">
        <f ca="1">INDEX('Tracker Sheet'!BY:BY,10)</f>
        <v/>
      </c>
      <c r="J11" s="23"/>
      <c r="K11" s="156"/>
      <c r="L11" s="153"/>
      <c r="N11" s="413"/>
      <c r="O11" s="140"/>
      <c r="P11" s="234"/>
    </row>
    <row r="12" spans="1:21" ht="56.25" customHeight="1" thickTop="1" thickBot="1" x14ac:dyDescent="0.25">
      <c r="A12" s="122" t="str">
        <f>IF(INDEX('Tracker Sheet'!E:E,11)="","",INDEX('Tracker Sheet'!E:E,11))</f>
        <v/>
      </c>
      <c r="B12" s="303" t="str">
        <f>IF(INDEX('Tracker Sheet'!C:C,11)="","",INDEX('Tracker Sheet'!C:C,11))</f>
        <v/>
      </c>
      <c r="C12" s="314" t="str">
        <f>IF(INDEX('Tracker Sheet'!K:K,11)="","",INDEX('Tracker Sheet'!K:K,11))</f>
        <v/>
      </c>
      <c r="D12" s="313" t="str">
        <f ca="1">IF(INDEX('Tracker Sheet'!BQ:BQ,11)="Completed ",INDEX('Tracker Sheet'!BQ:BQ,11)&amp;INDEX('Tracker Sheet'!BR:BR,11),INDEX('Tracker Sheet'!BQ:BQ,11))</f>
        <v/>
      </c>
      <c r="E12" s="313" t="str">
        <f ca="1">IF(INDEX('Tracker Sheet'!BS:BS,11)="Completed ",INDEX('Tracker Sheet'!BR:BR,11)&amp;INDEX('Tracker Sheet'!BT:BT,11),INDEX('Tracker Sheet'!BS:BS,11))</f>
        <v/>
      </c>
      <c r="F12" s="313" t="str">
        <f ca="1">IF(INDEX('Tracker Sheet'!BU:BU,11)="Completed ",INDEX('Tracker Sheet'!BU:BU,11)&amp;INDEX('Tracker Sheet'!BV:BV,11),INDEX('Tracker Sheet'!BU:BU,11))</f>
        <v/>
      </c>
      <c r="G12" s="313" t="str">
        <f ca="1">IF(INDEX('Tracker Sheet'!BW:BW,11)="Completed ",INDEX('Tracker Sheet'!BW:BW,11)&amp;INDEX('Tracker Sheet'!BX:BX,11),INDEX('Tracker Sheet'!BW:BW,11))</f>
        <v/>
      </c>
      <c r="H12" s="313" t="str">
        <f ca="1">INDEX('Tracker Sheet'!BY:BY,11)</f>
        <v/>
      </c>
      <c r="J12" s="23"/>
      <c r="K12" s="156"/>
      <c r="L12" s="153"/>
      <c r="N12" s="413"/>
      <c r="O12" s="140"/>
    </row>
    <row r="13" spans="1:21" ht="56.25" customHeight="1" thickTop="1" thickBot="1" x14ac:dyDescent="0.25">
      <c r="A13" s="122" t="str">
        <f>IF(INDEX('Tracker Sheet'!E:E,12)="","",INDEX('Tracker Sheet'!E:E,12))</f>
        <v/>
      </c>
      <c r="B13" s="303" t="str">
        <f>IF(INDEX('Tracker Sheet'!C:C,12)="","",INDEX('Tracker Sheet'!C:C,12))</f>
        <v/>
      </c>
      <c r="C13" s="314" t="str">
        <f>IF(INDEX('Tracker Sheet'!K:K,12)="","",INDEX('Tracker Sheet'!K:K,12))</f>
        <v/>
      </c>
      <c r="D13" s="313" t="str">
        <f ca="1">IF(INDEX('Tracker Sheet'!BQ:BQ,12)="Completed ",INDEX('Tracker Sheet'!BQ:BQ,12)&amp;INDEX('Tracker Sheet'!BR:BR,12),INDEX('Tracker Sheet'!BQ:BQ,12))</f>
        <v/>
      </c>
      <c r="E13" s="313" t="str">
        <f ca="1">IF(INDEX('Tracker Sheet'!BS:BS,12)="Completed ",INDEX('Tracker Sheet'!BR:BR,12)&amp;INDEX('Tracker Sheet'!BT:BT,12),INDEX('Tracker Sheet'!BS:BS,12))</f>
        <v/>
      </c>
      <c r="F13" s="313" t="str">
        <f ca="1">IF(INDEX('Tracker Sheet'!BU:BU,12)="Completed ",INDEX('Tracker Sheet'!BU:BU,12)&amp;INDEX('Tracker Sheet'!BV:BV,12),INDEX('Tracker Sheet'!BU:BU,12))</f>
        <v/>
      </c>
      <c r="G13" s="313" t="str">
        <f ca="1">IF(INDEX('Tracker Sheet'!BW:BW,12)="Completed ",INDEX('Tracker Sheet'!BW:BW,12)&amp;INDEX('Tracker Sheet'!BX:BX,12),INDEX('Tracker Sheet'!BW:BW,12))</f>
        <v/>
      </c>
      <c r="H13" s="313" t="str">
        <f ca="1">INDEX('Tracker Sheet'!BY:BY,12)</f>
        <v/>
      </c>
      <c r="J13" s="23"/>
      <c r="K13" s="156"/>
      <c r="L13" s="153"/>
      <c r="N13" s="413"/>
      <c r="O13" s="140"/>
    </row>
    <row r="14" spans="1:21" ht="56.25" customHeight="1" thickTop="1" thickBot="1" x14ac:dyDescent="0.25">
      <c r="A14" s="122" t="str">
        <f>IF(INDEX('Tracker Sheet'!E:E,13)="","",INDEX('Tracker Sheet'!E:E,13))</f>
        <v/>
      </c>
      <c r="B14" s="303" t="str">
        <f>IF(INDEX('Tracker Sheet'!C:C,13)="","",INDEX('Tracker Sheet'!C:C,13))</f>
        <v/>
      </c>
      <c r="C14" s="314" t="str">
        <f>IF(INDEX('Tracker Sheet'!K:K,13)="","",INDEX('Tracker Sheet'!K:K,13))</f>
        <v/>
      </c>
      <c r="D14" s="313" t="str">
        <f ca="1">IF(INDEX('Tracker Sheet'!BQ:BQ,13)="Completed ",INDEX('Tracker Sheet'!BQ:BQ,13)&amp;INDEX('Tracker Sheet'!BR:BR,13),INDEX('Tracker Sheet'!BQ:BQ,13))</f>
        <v/>
      </c>
      <c r="E14" s="313" t="str">
        <f ca="1">IF(INDEX('Tracker Sheet'!BS:BS,13)="Completed ",INDEX('Tracker Sheet'!BR:BR,13)&amp;INDEX('Tracker Sheet'!BT:BT,13),INDEX('Tracker Sheet'!BS:BS,13))</f>
        <v/>
      </c>
      <c r="F14" s="313" t="str">
        <f ca="1">IF(INDEX('Tracker Sheet'!BU:BU,13)="Completed ",INDEX('Tracker Sheet'!BU:BU,13)&amp;INDEX('Tracker Sheet'!BV:BV,13),INDEX('Tracker Sheet'!BU:BU,13))</f>
        <v/>
      </c>
      <c r="G14" s="313" t="str">
        <f ca="1">IF(INDEX('Tracker Sheet'!BW:BW,13)="Completed ",INDEX('Tracker Sheet'!BW:BW,13)&amp;INDEX('Tracker Sheet'!BX:BX,13),INDEX('Tracker Sheet'!BW:BW,13))</f>
        <v/>
      </c>
      <c r="H14" s="313" t="str">
        <f ca="1">INDEX('Tracker Sheet'!BY:BY,13)</f>
        <v/>
      </c>
      <c r="I14" s="213"/>
      <c r="J14" s="23"/>
      <c r="K14" s="156"/>
      <c r="L14" s="153"/>
      <c r="N14" s="413"/>
      <c r="O14" s="140"/>
    </row>
    <row r="15" spans="1:21" ht="56.25" customHeight="1" thickTop="1" thickBot="1" x14ac:dyDescent="0.25">
      <c r="A15" s="122" t="str">
        <f>IF(INDEX('Tracker Sheet'!E:E,14)="","",INDEX('Tracker Sheet'!E:E,14))</f>
        <v/>
      </c>
      <c r="B15" s="303" t="str">
        <f>IF(INDEX('Tracker Sheet'!C:C,14)="","",INDEX('Tracker Sheet'!C:C,14))</f>
        <v/>
      </c>
      <c r="C15" s="314" t="str">
        <f>IF(INDEX('Tracker Sheet'!K:K,14)="","",INDEX('Tracker Sheet'!K:K,14))</f>
        <v/>
      </c>
      <c r="D15" s="313" t="str">
        <f ca="1">IF(INDEX('Tracker Sheet'!BQ:BQ,14)="Completed ",INDEX('Tracker Sheet'!BQ:BQ,14)&amp;INDEX('Tracker Sheet'!BR:BR,14),INDEX('Tracker Sheet'!BQ:BQ,14))</f>
        <v/>
      </c>
      <c r="E15" s="313" t="str">
        <f ca="1">IF(INDEX('Tracker Sheet'!BS:BS,14)="Completed ",INDEX('Tracker Sheet'!BR:BR,14)&amp;INDEX('Tracker Sheet'!BT:BT,14),INDEX('Tracker Sheet'!BS:BS,14))</f>
        <v/>
      </c>
      <c r="F15" s="313" t="str">
        <f ca="1">IF(INDEX('Tracker Sheet'!BU:BU,14)="Completed ",INDEX('Tracker Sheet'!BU:BU,14)&amp;INDEX('Tracker Sheet'!BV:BV,14),INDEX('Tracker Sheet'!BU:BU,14))</f>
        <v/>
      </c>
      <c r="G15" s="313" t="str">
        <f ca="1">IF(INDEX('Tracker Sheet'!BW:BW,14)="Completed ",INDEX('Tracker Sheet'!BW:BW,14)&amp;INDEX('Tracker Sheet'!BX:BX,14),INDEX('Tracker Sheet'!BW:BW,14))</f>
        <v/>
      </c>
      <c r="H15" s="313" t="str">
        <f ca="1">INDEX('Tracker Sheet'!BY:BY,14)</f>
        <v/>
      </c>
      <c r="J15" s="23"/>
      <c r="K15" s="156"/>
      <c r="L15" s="153"/>
      <c r="N15" s="413"/>
      <c r="O15" s="140"/>
    </row>
    <row r="16" spans="1:21" ht="56.25" customHeight="1" thickTop="1" thickBot="1" x14ac:dyDescent="0.25">
      <c r="A16" s="122" t="str">
        <f>IF(INDEX('Tracker Sheet'!E:E,15)="","",INDEX('Tracker Sheet'!E:E,15))</f>
        <v/>
      </c>
      <c r="B16" s="303" t="str">
        <f>IF(INDEX('Tracker Sheet'!C:C,15)="","",INDEX('Tracker Sheet'!C:C,15))</f>
        <v/>
      </c>
      <c r="C16" s="314" t="str">
        <f>IF(INDEX('Tracker Sheet'!K:K,15)="","",INDEX('Tracker Sheet'!K:K,15))</f>
        <v/>
      </c>
      <c r="D16" s="313" t="str">
        <f ca="1">IF(INDEX('Tracker Sheet'!BQ:BQ,15)="Completed ",INDEX('Tracker Sheet'!BQ:BQ,15)&amp;INDEX('Tracker Sheet'!BR:BR,15),INDEX('Tracker Sheet'!BQ:BQ,15))</f>
        <v/>
      </c>
      <c r="E16" s="313" t="str">
        <f ca="1">IF(INDEX('Tracker Sheet'!BS:BS,15)="Completed ",INDEX('Tracker Sheet'!BR:BR,15)&amp;INDEX('Tracker Sheet'!BT:BT,15),INDEX('Tracker Sheet'!BS:BS,15))</f>
        <v/>
      </c>
      <c r="F16" s="313" t="str">
        <f ca="1">IF(INDEX('Tracker Sheet'!BU:BU,15)="Completed ",INDEX('Tracker Sheet'!BU:BU,15)&amp;INDEX('Tracker Sheet'!BV:BV,15),INDEX('Tracker Sheet'!BU:BU,15))</f>
        <v/>
      </c>
      <c r="G16" s="313" t="str">
        <f ca="1">IF(INDEX('Tracker Sheet'!BW:BW,15)="Completed ",INDEX('Tracker Sheet'!BW:BW,15)&amp;INDEX('Tracker Sheet'!BX:BX,15),INDEX('Tracker Sheet'!BW:BW,15))</f>
        <v/>
      </c>
      <c r="H16" s="313" t="str">
        <f ca="1">INDEX('Tracker Sheet'!BY:BY,15)</f>
        <v/>
      </c>
      <c r="J16" s="23"/>
      <c r="K16" s="156"/>
      <c r="L16" s="153"/>
      <c r="N16" s="413"/>
      <c r="O16" s="140"/>
    </row>
    <row r="17" spans="1:15" ht="56.25" customHeight="1" thickTop="1" thickBot="1" x14ac:dyDescent="0.25">
      <c r="A17" s="122" t="str">
        <f>IF(INDEX('Tracker Sheet'!E:E,16)="","",INDEX('Tracker Sheet'!E:E,16))</f>
        <v/>
      </c>
      <c r="B17" s="303" t="str">
        <f>IF(INDEX('Tracker Sheet'!C:C,16)="","",INDEX('Tracker Sheet'!C:C,16))</f>
        <v/>
      </c>
      <c r="C17" s="314" t="str">
        <f>IF(INDEX('Tracker Sheet'!K:K,16)="","",INDEX('Tracker Sheet'!K:K,16))</f>
        <v/>
      </c>
      <c r="D17" s="313" t="str">
        <f ca="1">IF(INDEX('Tracker Sheet'!BQ:BQ,16)="Completed ",INDEX('Tracker Sheet'!BQ:BQ,16)&amp;INDEX('Tracker Sheet'!BR:BR,16),INDEX('Tracker Sheet'!BQ:BQ,16))</f>
        <v/>
      </c>
      <c r="E17" s="313" t="str">
        <f ca="1">IF(INDEX('Tracker Sheet'!BS:BS,16)="Completed ",INDEX('Tracker Sheet'!BR:BR,16)&amp;INDEX('Tracker Sheet'!BT:BT,16),INDEX('Tracker Sheet'!BS:BS,16))</f>
        <v/>
      </c>
      <c r="F17" s="313" t="str">
        <f ca="1">IF(INDEX('Tracker Sheet'!BU:BU,16)="Completed ",INDEX('Tracker Sheet'!BU:BU,16)&amp;INDEX('Tracker Sheet'!BV:BV,16),INDEX('Tracker Sheet'!BU:BU,16))</f>
        <v/>
      </c>
      <c r="G17" s="313" t="str">
        <f ca="1">IF(INDEX('Tracker Sheet'!BW:BW,16)="Completed ",INDEX('Tracker Sheet'!BW:BW,16)&amp;INDEX('Tracker Sheet'!BX:BX,16),INDEX('Tracker Sheet'!BW:BW,16))</f>
        <v/>
      </c>
      <c r="H17" s="313" t="str">
        <f ca="1">INDEX('Tracker Sheet'!BY:BY,16)</f>
        <v/>
      </c>
      <c r="J17" s="23"/>
      <c r="K17" s="156"/>
      <c r="L17" s="153"/>
      <c r="N17" s="413"/>
      <c r="O17" s="141"/>
    </row>
    <row r="18" spans="1:15" ht="56.25" customHeight="1" thickTop="1" thickBot="1" x14ac:dyDescent="0.25">
      <c r="A18" s="122" t="str">
        <f>IF(INDEX('Tracker Sheet'!E:E,17)="","",INDEX('Tracker Sheet'!E:E,17))</f>
        <v/>
      </c>
      <c r="B18" s="303" t="str">
        <f>IF(INDEX('Tracker Sheet'!C:C,17)="","",INDEX('Tracker Sheet'!C:C,17))</f>
        <v/>
      </c>
      <c r="C18" s="314" t="str">
        <f>IF(INDEX('Tracker Sheet'!K:K,17)="","",INDEX('Tracker Sheet'!K:K,17))</f>
        <v/>
      </c>
      <c r="D18" s="313" t="str">
        <f ca="1">IF(INDEX('Tracker Sheet'!BQ:BQ,17)="Completed ",INDEX('Tracker Sheet'!BQ:BQ,17)&amp;INDEX('Tracker Sheet'!BR:BR,17),INDEX('Tracker Sheet'!BQ:BQ,17))</f>
        <v/>
      </c>
      <c r="E18" s="313" t="str">
        <f ca="1">IF(INDEX('Tracker Sheet'!BS:BS,17)="Completed ",INDEX('Tracker Sheet'!BR:BR,17)&amp;INDEX('Tracker Sheet'!BT:BT,17),INDEX('Tracker Sheet'!BS:BS,17))</f>
        <v/>
      </c>
      <c r="F18" s="313" t="str">
        <f ca="1">IF(INDEX('Tracker Sheet'!BU:BU,17)="Completed ",INDEX('Tracker Sheet'!BU:BU,17)&amp;INDEX('Tracker Sheet'!BV:BV,17),INDEX('Tracker Sheet'!BU:BU,17))</f>
        <v/>
      </c>
      <c r="G18" s="313" t="str">
        <f ca="1">IF(INDEX('Tracker Sheet'!BW:BW,17)="Completed ",INDEX('Tracker Sheet'!BW:BW,17)&amp;INDEX('Tracker Sheet'!BX:BX,17),INDEX('Tracker Sheet'!BW:BW,17))</f>
        <v/>
      </c>
      <c r="H18" s="313" t="str">
        <f ca="1">INDEX('Tracker Sheet'!BY:BY,17)</f>
        <v/>
      </c>
      <c r="I18" s="213"/>
      <c r="J18" s="23"/>
      <c r="K18" s="156"/>
      <c r="L18" s="153"/>
      <c r="N18" s="413"/>
      <c r="O18" s="140"/>
    </row>
    <row r="19" spans="1:15" ht="56.25" customHeight="1" thickTop="1" thickBot="1" x14ac:dyDescent="0.25">
      <c r="A19" s="122" t="str">
        <f>IF(INDEX('Tracker Sheet'!E:E,18)="","",INDEX('Tracker Sheet'!E:E,18))</f>
        <v/>
      </c>
      <c r="B19" s="303" t="str">
        <f>IF(INDEX('Tracker Sheet'!C:C,18)="","",INDEX('Tracker Sheet'!C:C,18))</f>
        <v/>
      </c>
      <c r="C19" s="314" t="str">
        <f>IF(INDEX('Tracker Sheet'!K:K,18)="","",INDEX('Tracker Sheet'!K:K,18))</f>
        <v/>
      </c>
      <c r="D19" s="313" t="str">
        <f ca="1">IF(INDEX('Tracker Sheet'!BQ:BQ,18)="Completed ",INDEX('Tracker Sheet'!BQ:BQ,18)&amp;INDEX('Tracker Sheet'!BR:BR,18),INDEX('Tracker Sheet'!BQ:BQ,18))</f>
        <v/>
      </c>
      <c r="E19" s="313" t="str">
        <f ca="1">IF(INDEX('Tracker Sheet'!BS:BS,18)="Completed ",INDEX('Tracker Sheet'!BR:BR,18)&amp;INDEX('Tracker Sheet'!BT:BT,18),INDEX('Tracker Sheet'!BS:BS,18))</f>
        <v/>
      </c>
      <c r="F19" s="313" t="str">
        <f ca="1">IF(INDEX('Tracker Sheet'!BU:BU,18)="Completed ",INDEX('Tracker Sheet'!BU:BU,18)&amp;INDEX('Tracker Sheet'!BV:BV,18),INDEX('Tracker Sheet'!BU:BU,18))</f>
        <v/>
      </c>
      <c r="G19" s="313" t="str">
        <f ca="1">IF(INDEX('Tracker Sheet'!BW:BW,18)="Completed ",INDEX('Tracker Sheet'!BW:BW,18)&amp;INDEX('Tracker Sheet'!BX:BX,18),INDEX('Tracker Sheet'!BW:BW,18))</f>
        <v/>
      </c>
      <c r="H19" s="313" t="str">
        <f ca="1">INDEX('Tracker Sheet'!BY:BY,18)</f>
        <v/>
      </c>
      <c r="J19" s="23"/>
      <c r="K19" s="156"/>
      <c r="L19" s="153"/>
      <c r="N19" s="413"/>
      <c r="O19" s="140"/>
    </row>
    <row r="20" spans="1:15" ht="56.25" customHeight="1" thickTop="1" thickBot="1" x14ac:dyDescent="0.25">
      <c r="A20" s="122" t="str">
        <f>IF(INDEX('Tracker Sheet'!E:E,19)="","",INDEX('Tracker Sheet'!E:E,19))</f>
        <v/>
      </c>
      <c r="B20" s="303" t="str">
        <f>IF(INDEX('Tracker Sheet'!C:C,19)="","",INDEX('Tracker Sheet'!C:C,19))</f>
        <v/>
      </c>
      <c r="C20" s="314" t="str">
        <f>IF(INDEX('Tracker Sheet'!K:K,19)="","",INDEX('Tracker Sheet'!K:K,19))</f>
        <v/>
      </c>
      <c r="D20" s="313" t="str">
        <f ca="1">IF(INDEX('Tracker Sheet'!BQ:BQ,19)="Completed ",INDEX('Tracker Sheet'!BQ:BQ,19)&amp;INDEX('Tracker Sheet'!BR:BR,19),INDEX('Tracker Sheet'!BQ:BQ,19))</f>
        <v/>
      </c>
      <c r="E20" s="313" t="str">
        <f ca="1">IF(INDEX('Tracker Sheet'!BS:BS,19)="Completed ",INDEX('Tracker Sheet'!BR:BR,19)&amp;INDEX('Tracker Sheet'!BT:BT,19),INDEX('Tracker Sheet'!BS:BS,19))</f>
        <v/>
      </c>
      <c r="F20" s="313" t="str">
        <f ca="1">IF(INDEX('Tracker Sheet'!BU:BU,19)="Completed ",INDEX('Tracker Sheet'!BU:BU,19)&amp;INDEX('Tracker Sheet'!BV:BV,19),INDEX('Tracker Sheet'!BU:BU,19))</f>
        <v/>
      </c>
      <c r="G20" s="313" t="str">
        <f ca="1">IF(INDEX('Tracker Sheet'!BW:BW,19)="Completed ",INDEX('Tracker Sheet'!BW:BW,19)&amp;INDEX('Tracker Sheet'!BX:BX,19),INDEX('Tracker Sheet'!BW:BW,19))</f>
        <v/>
      </c>
      <c r="H20" s="313" t="str">
        <f ca="1">INDEX('Tracker Sheet'!BY:BY,19)</f>
        <v/>
      </c>
      <c r="J20" s="23"/>
      <c r="K20" s="156"/>
      <c r="L20" s="153"/>
      <c r="N20" s="413"/>
      <c r="O20" s="140"/>
    </row>
    <row r="21" spans="1:15" ht="56.25" customHeight="1" thickTop="1" thickBot="1" x14ac:dyDescent="0.25">
      <c r="A21" s="122" t="str">
        <f>IF(INDEX('Tracker Sheet'!E:E,20)="","",INDEX('Tracker Sheet'!E:E,20))</f>
        <v/>
      </c>
      <c r="B21" s="303" t="str">
        <f>IF(INDEX('Tracker Sheet'!C:C,20)="","",INDEX('Tracker Sheet'!C:C,20))</f>
        <v/>
      </c>
      <c r="C21" s="314" t="str">
        <f>IF(INDEX('Tracker Sheet'!K:K,20)="","",INDEX('Tracker Sheet'!K:K,20))</f>
        <v/>
      </c>
      <c r="D21" s="313" t="str">
        <f ca="1">IF(INDEX('Tracker Sheet'!BQ:BQ,20)="Completed ",INDEX('Tracker Sheet'!BQ:BQ,20)&amp;INDEX('Tracker Sheet'!BR:BR,20),INDEX('Tracker Sheet'!BQ:BQ,20))</f>
        <v/>
      </c>
      <c r="E21" s="313" t="str">
        <f ca="1">IF(INDEX('Tracker Sheet'!BS:BS,20)="Completed ",INDEX('Tracker Sheet'!BR:BR,20)&amp;INDEX('Tracker Sheet'!BT:BT,20),INDEX('Tracker Sheet'!BS:BS,20))</f>
        <v/>
      </c>
      <c r="F21" s="313" t="str">
        <f ca="1">IF(INDEX('Tracker Sheet'!BU:BU,20)="Completed ",INDEX('Tracker Sheet'!BU:BU,20)&amp;INDEX('Tracker Sheet'!BV:BV,20),INDEX('Tracker Sheet'!BU:BU,20))</f>
        <v/>
      </c>
      <c r="G21" s="313" t="str">
        <f ca="1">IF(INDEX('Tracker Sheet'!BW:BW,20)="Completed ",INDEX('Tracker Sheet'!BW:BW,20)&amp;INDEX('Tracker Sheet'!BX:BX,20),INDEX('Tracker Sheet'!BW:BW,20))</f>
        <v/>
      </c>
      <c r="H21" s="313" t="str">
        <f ca="1">INDEX('Tracker Sheet'!BY:BY,20)</f>
        <v/>
      </c>
      <c r="J21" s="155"/>
      <c r="K21" s="156"/>
      <c r="L21" s="153"/>
      <c r="N21" s="413"/>
      <c r="O21" s="140"/>
    </row>
    <row r="22" spans="1:15" ht="56.25" customHeight="1" thickTop="1" thickBot="1" x14ac:dyDescent="0.25">
      <c r="A22" s="122" t="str">
        <f>IF(INDEX('Tracker Sheet'!E:E,21)="","",INDEX('Tracker Sheet'!E:E,21))</f>
        <v/>
      </c>
      <c r="B22" s="303" t="str">
        <f>IF(INDEX('Tracker Sheet'!C:C,21)="","",INDEX('Tracker Sheet'!C:C,21))</f>
        <v/>
      </c>
      <c r="C22" s="314" t="str">
        <f>IF(INDEX('Tracker Sheet'!K:K,21)="","",INDEX('Tracker Sheet'!K:K,21))</f>
        <v/>
      </c>
      <c r="D22" s="313" t="str">
        <f ca="1">IF(INDEX('Tracker Sheet'!BQ:BQ,21)="Completed ",INDEX('Tracker Sheet'!BQ:BQ,21)&amp;INDEX('Tracker Sheet'!BR:BR,21),INDEX('Tracker Sheet'!BQ:BQ,21))</f>
        <v/>
      </c>
      <c r="E22" s="313" t="str">
        <f ca="1">IF(INDEX('Tracker Sheet'!BS:BS,21)="Completed ",INDEX('Tracker Sheet'!BR:BR,21)&amp;INDEX('Tracker Sheet'!BT:BT,21),INDEX('Tracker Sheet'!BS:BS,21))</f>
        <v/>
      </c>
      <c r="F22" s="313" t="str">
        <f ca="1">IF(INDEX('Tracker Sheet'!BU:BU,21)="Completed ",INDEX('Tracker Sheet'!BU:BU,21)&amp;INDEX('Tracker Sheet'!BV:BV,21),INDEX('Tracker Sheet'!BU:BU,21))</f>
        <v/>
      </c>
      <c r="G22" s="313" t="str">
        <f ca="1">IF(INDEX('Tracker Sheet'!BW:BW,21)="Completed ",INDEX('Tracker Sheet'!BW:BW,21)&amp;INDEX('Tracker Sheet'!BX:BX,21),INDEX('Tracker Sheet'!BW:BW,21))</f>
        <v/>
      </c>
      <c r="H22" s="313" t="str">
        <f ca="1">INDEX('Tracker Sheet'!BY:BY,21)</f>
        <v/>
      </c>
      <c r="J22" s="155"/>
      <c r="K22" s="156"/>
      <c r="L22" s="153"/>
      <c r="N22" s="415"/>
      <c r="O22" s="142"/>
    </row>
    <row r="23" spans="1:15" ht="56.25" customHeight="1" thickTop="1" thickBot="1" x14ac:dyDescent="0.25">
      <c r="A23" s="122" t="str">
        <f>IF(INDEX('Tracker Sheet'!E:E,22)="","",INDEX('Tracker Sheet'!E:E,22))</f>
        <v/>
      </c>
      <c r="B23" s="303" t="str">
        <f>IF(INDEX('Tracker Sheet'!C:C,22)="","",INDEX('Tracker Sheet'!C:C,22))</f>
        <v/>
      </c>
      <c r="C23" s="314" t="str">
        <f>IF(INDEX('Tracker Sheet'!K:K,22)="","",INDEX('Tracker Sheet'!K:K,22))</f>
        <v/>
      </c>
      <c r="D23" s="313" t="str">
        <f ca="1">IF(INDEX('Tracker Sheet'!BQ:BQ,22)="Completed ",INDEX('Tracker Sheet'!BQ:BQ,22)&amp;INDEX('Tracker Sheet'!BR:BR,22),INDEX('Tracker Sheet'!BQ:BQ,22))</f>
        <v/>
      </c>
      <c r="E23" s="313" t="str">
        <f ca="1">IF(INDEX('Tracker Sheet'!BS:BS,22)="Completed ",INDEX('Tracker Sheet'!BR:BR,22)&amp;INDEX('Tracker Sheet'!BT:BT,22),INDEX('Tracker Sheet'!BS:BS,22))</f>
        <v/>
      </c>
      <c r="F23" s="313" t="str">
        <f ca="1">IF(INDEX('Tracker Sheet'!BU:BU,22)="Completed ",INDEX('Tracker Sheet'!BU:BU,22)&amp;INDEX('Tracker Sheet'!BV:BV,22),INDEX('Tracker Sheet'!BU:BU,22))</f>
        <v/>
      </c>
      <c r="G23" s="313" t="str">
        <f ca="1">IF(INDEX('Tracker Sheet'!BW:BW,22)="Completed ",INDEX('Tracker Sheet'!BW:BW,22)&amp;INDEX('Tracker Sheet'!BX:BX,22),INDEX('Tracker Sheet'!BW:BW,22))</f>
        <v/>
      </c>
      <c r="H23" s="313" t="str">
        <f ca="1">INDEX('Tracker Sheet'!BY:BY,22)</f>
        <v/>
      </c>
      <c r="J23" s="155"/>
      <c r="K23" s="156"/>
      <c r="L23" s="153"/>
      <c r="N23" s="415"/>
      <c r="O23" s="143"/>
    </row>
    <row r="24" spans="1:15" ht="56.25" customHeight="1" thickTop="1" thickBot="1" x14ac:dyDescent="0.25">
      <c r="A24" s="122" t="str">
        <f>IF(INDEX('Tracker Sheet'!E:E,23)="","",INDEX('Tracker Sheet'!E:E,23))</f>
        <v/>
      </c>
      <c r="B24" s="303" t="str">
        <f>IF(INDEX('Tracker Sheet'!C:C,23)="","",INDEX('Tracker Sheet'!C:C,23))</f>
        <v/>
      </c>
      <c r="C24" s="314" t="str">
        <f>IF(INDEX('Tracker Sheet'!K:K,23)="","",INDEX('Tracker Sheet'!K:K,23))</f>
        <v/>
      </c>
      <c r="D24" s="313" t="str">
        <f ca="1">IF(INDEX('Tracker Sheet'!BQ:BQ,23)="Completed ",INDEX('Tracker Sheet'!BQ:BQ,23)&amp;INDEX('Tracker Sheet'!BR:BR,23),INDEX('Tracker Sheet'!BQ:BQ,23))</f>
        <v/>
      </c>
      <c r="E24" s="313" t="str">
        <f ca="1">IF(INDEX('Tracker Sheet'!BS:BS,23)="Completed ",INDEX('Tracker Sheet'!BR:BR,23)&amp;INDEX('Tracker Sheet'!BT:BT,23),INDEX('Tracker Sheet'!BS:BS,23))</f>
        <v/>
      </c>
      <c r="F24" s="313" t="str">
        <f ca="1">IF(INDEX('Tracker Sheet'!BU:BU,23)="Completed ",INDEX('Tracker Sheet'!BU:BU,23)&amp;INDEX('Tracker Sheet'!BV:BV,23),INDEX('Tracker Sheet'!BU:BU,23))</f>
        <v/>
      </c>
      <c r="G24" s="313" t="str">
        <f ca="1">IF(INDEX('Tracker Sheet'!BW:BW,23)="Completed ",INDEX('Tracker Sheet'!BW:BW,23)&amp;INDEX('Tracker Sheet'!BX:BX,23),INDEX('Tracker Sheet'!BW:BW,23))</f>
        <v/>
      </c>
      <c r="H24" s="313" t="str">
        <f ca="1">INDEX('Tracker Sheet'!BY:BY,23)</f>
        <v/>
      </c>
      <c r="J24" s="155"/>
      <c r="K24" s="156"/>
      <c r="L24" s="153"/>
      <c r="N24" s="415"/>
      <c r="O24" s="142"/>
    </row>
    <row r="25" spans="1:15" ht="56.25" customHeight="1" thickTop="1" thickBot="1" x14ac:dyDescent="0.25">
      <c r="A25" s="122" t="str">
        <f>IF(INDEX('Tracker Sheet'!E:E,24)="","",INDEX('Tracker Sheet'!E:E,24))</f>
        <v/>
      </c>
      <c r="B25" s="303" t="str">
        <f>IF(INDEX('Tracker Sheet'!C:C,24)="","",INDEX('Tracker Sheet'!C:C,24))</f>
        <v/>
      </c>
      <c r="C25" s="314" t="str">
        <f>IF(INDEX('Tracker Sheet'!K:K,24)="","",INDEX('Tracker Sheet'!K:K,24))</f>
        <v/>
      </c>
      <c r="D25" s="313" t="str">
        <f ca="1">IF(INDEX('Tracker Sheet'!BQ:BQ,24)="Completed ",INDEX('Tracker Sheet'!BQ:BQ,24)&amp;INDEX('Tracker Sheet'!BR:BR,24),INDEX('Tracker Sheet'!BQ:BQ,24))</f>
        <v/>
      </c>
      <c r="E25" s="313" t="str">
        <f ca="1">IF(INDEX('Tracker Sheet'!BS:BS,24)="Completed ",INDEX('Tracker Sheet'!BR:BR,24)&amp;INDEX('Tracker Sheet'!BT:BT,24),INDEX('Tracker Sheet'!BS:BS,24))</f>
        <v/>
      </c>
      <c r="F25" s="313" t="str">
        <f ca="1">IF(INDEX('Tracker Sheet'!BU:BU,24)="Completed ",INDEX('Tracker Sheet'!BU:BU,24)&amp;INDEX('Tracker Sheet'!BV:BV,24),INDEX('Tracker Sheet'!BU:BU,24))</f>
        <v/>
      </c>
      <c r="G25" s="313" t="str">
        <f ca="1">IF(INDEX('Tracker Sheet'!BW:BW,24)="Completed ",INDEX('Tracker Sheet'!BW:BW,24)&amp;INDEX('Tracker Sheet'!BX:BX,24),INDEX('Tracker Sheet'!BW:BW,24))</f>
        <v/>
      </c>
      <c r="H25" s="313" t="str">
        <f ca="1">INDEX('Tracker Sheet'!BY:BY,24)</f>
        <v/>
      </c>
      <c r="J25" s="155"/>
      <c r="K25" s="156"/>
      <c r="L25" s="153"/>
      <c r="N25" s="415"/>
      <c r="O25" s="142"/>
    </row>
    <row r="26" spans="1:15" ht="56.25" customHeight="1" thickTop="1" thickBot="1" x14ac:dyDescent="0.25">
      <c r="A26" s="122" t="str">
        <f>IF(INDEX('Tracker Sheet'!E:E,25)="","",INDEX('Tracker Sheet'!E:E,25))</f>
        <v/>
      </c>
      <c r="B26" s="303" t="str">
        <f>IF(INDEX('Tracker Sheet'!C:C,25)="","",INDEX('Tracker Sheet'!C:C,25))</f>
        <v/>
      </c>
      <c r="C26" s="314" t="str">
        <f>IF(INDEX('Tracker Sheet'!K:K,25)="","",INDEX('Tracker Sheet'!K:K,25))</f>
        <v/>
      </c>
      <c r="D26" s="313" t="str">
        <f ca="1">IF(INDEX('Tracker Sheet'!BQ:BQ,25)="Completed ",INDEX('Tracker Sheet'!BQ:BQ,25)&amp;INDEX('Tracker Sheet'!BR:BR,25),INDEX('Tracker Sheet'!BQ:BQ,25))</f>
        <v/>
      </c>
      <c r="E26" s="313" t="str">
        <f ca="1">IF(INDEX('Tracker Sheet'!BS:BS,25)="Completed ",INDEX('Tracker Sheet'!BR:BR,25)&amp;INDEX('Tracker Sheet'!BT:BT,25),INDEX('Tracker Sheet'!BS:BS,25))</f>
        <v/>
      </c>
      <c r="F26" s="313" t="str">
        <f ca="1">IF(INDEX('Tracker Sheet'!BU:BU,25)="Completed ",INDEX('Tracker Sheet'!BU:BU,25)&amp;INDEX('Tracker Sheet'!BV:BV,25),INDEX('Tracker Sheet'!BU:BU,25))</f>
        <v/>
      </c>
      <c r="G26" s="313" t="str">
        <f ca="1">IF(INDEX('Tracker Sheet'!BW:BW,25)="Completed ",INDEX('Tracker Sheet'!BW:BW,25)&amp;INDEX('Tracker Sheet'!BX:BX,25),INDEX('Tracker Sheet'!BW:BW,25))</f>
        <v/>
      </c>
      <c r="H26" s="313" t="str">
        <f ca="1">INDEX('Tracker Sheet'!BY:BY,25)</f>
        <v/>
      </c>
      <c r="J26" s="155"/>
      <c r="K26" s="156"/>
      <c r="L26" s="153"/>
      <c r="N26" s="415"/>
      <c r="O26" s="144"/>
    </row>
    <row r="27" spans="1:15" ht="56.25" customHeight="1" thickTop="1" thickBot="1" x14ac:dyDescent="0.25">
      <c r="A27" s="122" t="str">
        <f>IF(INDEX('Tracker Sheet'!E:E,26)="","",INDEX('Tracker Sheet'!E:E,26))</f>
        <v/>
      </c>
      <c r="B27" s="303" t="str">
        <f>IF(INDEX('Tracker Sheet'!C:C,26)="","",INDEX('Tracker Sheet'!C:C,26))</f>
        <v/>
      </c>
      <c r="C27" s="314" t="str">
        <f>IF(INDEX('Tracker Sheet'!K:K,26)="","",INDEX('Tracker Sheet'!K:K,26))</f>
        <v/>
      </c>
      <c r="D27" s="313" t="str">
        <f ca="1">IF(INDEX('Tracker Sheet'!BQ:BQ,26)="Completed ",INDEX('Tracker Sheet'!BQ:BQ,26)&amp;INDEX('Tracker Sheet'!BR:BR,26),INDEX('Tracker Sheet'!BQ:BQ,26))</f>
        <v/>
      </c>
      <c r="E27" s="313" t="str">
        <f ca="1">IF(INDEX('Tracker Sheet'!BS:BS,26)="Completed ",INDEX('Tracker Sheet'!BR:BR,26)&amp;INDEX('Tracker Sheet'!BT:BT,26),INDEX('Tracker Sheet'!BS:BS,26))</f>
        <v/>
      </c>
      <c r="F27" s="313" t="str">
        <f ca="1">IF(INDEX('Tracker Sheet'!BU:BU,26)="Completed ",INDEX('Tracker Sheet'!BU:BU,26)&amp;INDEX('Tracker Sheet'!BV:BV,26),INDEX('Tracker Sheet'!BU:BU,26))</f>
        <v/>
      </c>
      <c r="G27" s="313" t="str">
        <f ca="1">IF(INDEX('Tracker Sheet'!BW:BW,26)="Completed ",INDEX('Tracker Sheet'!BW:BW,26)&amp;INDEX('Tracker Sheet'!BX:BX,26),INDEX('Tracker Sheet'!BW:BW,26))</f>
        <v/>
      </c>
      <c r="H27" s="313" t="str">
        <f ca="1">INDEX('Tracker Sheet'!BY:BY,26)</f>
        <v/>
      </c>
      <c r="J27" s="155"/>
      <c r="K27" s="156"/>
      <c r="L27" s="153"/>
      <c r="N27" s="415"/>
      <c r="O27" s="144"/>
    </row>
    <row r="28" spans="1:15" ht="56.25" customHeight="1" thickTop="1" thickBot="1" x14ac:dyDescent="0.25">
      <c r="A28" s="122" t="str">
        <f>IF(INDEX('Tracker Sheet'!E:E,27)="","",INDEX('Tracker Sheet'!E:E,27))</f>
        <v/>
      </c>
      <c r="B28" s="303" t="str">
        <f>IF(INDEX('Tracker Sheet'!C:C,27)="","",INDEX('Tracker Sheet'!C:C,27))</f>
        <v/>
      </c>
      <c r="C28" s="314" t="str">
        <f>IF(INDEX('Tracker Sheet'!K:K,27)="","",INDEX('Tracker Sheet'!K:K,27))</f>
        <v/>
      </c>
      <c r="D28" s="313" t="str">
        <f ca="1">IF(INDEX('Tracker Sheet'!BQ:BQ,27)="Completed ",INDEX('Tracker Sheet'!BQ:BQ,27)&amp;INDEX('Tracker Sheet'!BR:BR,27),INDEX('Tracker Sheet'!BQ:BQ,27))</f>
        <v/>
      </c>
      <c r="E28" s="313" t="str">
        <f ca="1">IF(INDEX('Tracker Sheet'!BS:BS,27)="Completed ",INDEX('Tracker Sheet'!BR:BR,27)&amp;INDEX('Tracker Sheet'!BT:BT,27),INDEX('Tracker Sheet'!BS:BS,27))</f>
        <v/>
      </c>
      <c r="F28" s="313" t="str">
        <f ca="1">IF(INDEX('Tracker Sheet'!BU:BU,27)="Completed ",INDEX('Tracker Sheet'!BU:BU,27)&amp;INDEX('Tracker Sheet'!BV:BV,27),INDEX('Tracker Sheet'!BU:BU,27))</f>
        <v/>
      </c>
      <c r="G28" s="313" t="str">
        <f ca="1">IF(INDEX('Tracker Sheet'!BW:BW,27)="Completed ",INDEX('Tracker Sheet'!BW:BW,27)&amp;INDEX('Tracker Sheet'!BX:BX,27),INDEX('Tracker Sheet'!BW:BW,27))</f>
        <v/>
      </c>
      <c r="H28" s="313" t="str">
        <f ca="1">INDEX('Tracker Sheet'!BY:BY,27)</f>
        <v/>
      </c>
      <c r="J28" s="155"/>
      <c r="K28" s="156"/>
      <c r="L28" s="153"/>
      <c r="N28" s="415"/>
      <c r="O28" s="144"/>
    </row>
    <row r="29" spans="1:15" ht="56.25" customHeight="1" thickTop="1" thickBot="1" x14ac:dyDescent="0.25">
      <c r="A29" s="122" t="str">
        <f>IF(INDEX('Tracker Sheet'!E:E,28)="","",INDEX('Tracker Sheet'!E:E,28))</f>
        <v/>
      </c>
      <c r="B29" s="303" t="str">
        <f>IF(INDEX('Tracker Sheet'!C:C,28)="","",INDEX('Tracker Sheet'!C:C,28))</f>
        <v/>
      </c>
      <c r="C29" s="314" t="str">
        <f>IF(INDEX('Tracker Sheet'!K:K,28)="","",INDEX('Tracker Sheet'!K:K,28))</f>
        <v/>
      </c>
      <c r="D29" s="313" t="str">
        <f ca="1">IF(INDEX('Tracker Sheet'!BQ:BQ,28)="Completed ",INDEX('Tracker Sheet'!BQ:BQ,28)&amp;INDEX('Tracker Sheet'!BR:BR,28),INDEX('Tracker Sheet'!BQ:BQ,28))</f>
        <v/>
      </c>
      <c r="E29" s="313" t="str">
        <f ca="1">IF(INDEX('Tracker Sheet'!BS:BS,28)="Completed ",INDEX('Tracker Sheet'!BR:BR,28)&amp;INDEX('Tracker Sheet'!BT:BT,28),INDEX('Tracker Sheet'!BS:BS,28))</f>
        <v/>
      </c>
      <c r="F29" s="313" t="str">
        <f ca="1">IF(INDEX('Tracker Sheet'!BU:BU,28)="Completed ",INDEX('Tracker Sheet'!BU:BU,28)&amp;INDEX('Tracker Sheet'!BV:BV,28),INDEX('Tracker Sheet'!BU:BU,28))</f>
        <v/>
      </c>
      <c r="G29" s="313" t="str">
        <f ca="1">IF(INDEX('Tracker Sheet'!BW:BW,28)="Completed ",INDEX('Tracker Sheet'!BW:BW,28)&amp;INDEX('Tracker Sheet'!BX:BX,28),INDEX('Tracker Sheet'!BW:BW,28))</f>
        <v/>
      </c>
      <c r="H29" s="313" t="str">
        <f ca="1">INDEX('Tracker Sheet'!BY:BY,28)</f>
        <v/>
      </c>
      <c r="J29" s="155"/>
      <c r="K29" s="156"/>
      <c r="L29" s="153"/>
      <c r="N29" s="415"/>
      <c r="O29" s="144"/>
    </row>
    <row r="30" spans="1:15" ht="56.25" customHeight="1" thickTop="1" thickBot="1" x14ac:dyDescent="0.25">
      <c r="A30" s="122" t="str">
        <f>IF(INDEX('Tracker Sheet'!E:E,29)="","",INDEX('Tracker Sheet'!E:E,29))</f>
        <v/>
      </c>
      <c r="B30" s="303" t="str">
        <f>IF(INDEX('Tracker Sheet'!C:C,29)="","",INDEX('Tracker Sheet'!C:C,29))</f>
        <v/>
      </c>
      <c r="C30" s="314" t="str">
        <f>IF(INDEX('Tracker Sheet'!K:K,29)="","",INDEX('Tracker Sheet'!K:K,29))</f>
        <v/>
      </c>
      <c r="D30" s="313" t="str">
        <f ca="1">IF(INDEX('Tracker Sheet'!BQ:BQ,29)="Completed ",INDEX('Tracker Sheet'!BQ:BQ,29)&amp;INDEX('Tracker Sheet'!BR:BR,29),INDEX('Tracker Sheet'!BQ:BQ,29))</f>
        <v/>
      </c>
      <c r="E30" s="313" t="str">
        <f ca="1">IF(INDEX('Tracker Sheet'!BS:BS,29)="Completed ",INDEX('Tracker Sheet'!BR:BR,29)&amp;INDEX('Tracker Sheet'!BT:BT,29),INDEX('Tracker Sheet'!BS:BS,29))</f>
        <v/>
      </c>
      <c r="F30" s="313" t="str">
        <f ca="1">IF(INDEX('Tracker Sheet'!BU:BU,29)="Completed ",INDEX('Tracker Sheet'!BU:BU,29)&amp;INDEX('Tracker Sheet'!BV:BV,29),INDEX('Tracker Sheet'!BU:BU,29))</f>
        <v/>
      </c>
      <c r="G30" s="313" t="str">
        <f ca="1">IF(INDEX('Tracker Sheet'!BW:BW,29)="Completed ",INDEX('Tracker Sheet'!BW:BW,29)&amp;INDEX('Tracker Sheet'!BX:BX,29),INDEX('Tracker Sheet'!BW:BW,29))</f>
        <v/>
      </c>
      <c r="H30" s="313" t="str">
        <f ca="1">INDEX('Tracker Sheet'!BY:BY,29)</f>
        <v/>
      </c>
      <c r="J30" s="155"/>
      <c r="K30" s="156"/>
      <c r="L30" s="153"/>
      <c r="N30" s="415"/>
      <c r="O30" s="144"/>
    </row>
    <row r="31" spans="1:15" ht="56.25" customHeight="1" thickTop="1" thickBot="1" x14ac:dyDescent="0.25">
      <c r="A31" s="122" t="str">
        <f>IF(INDEX('Tracker Sheet'!E:E,30)="","",INDEX('Tracker Sheet'!E:E,30))</f>
        <v/>
      </c>
      <c r="B31" s="303" t="str">
        <f>IF(INDEX('Tracker Sheet'!C:C,30)="","",INDEX('Tracker Sheet'!C:C,30))</f>
        <v/>
      </c>
      <c r="C31" s="314" t="str">
        <f>IF(INDEX('Tracker Sheet'!K:K,30)="","",INDEX('Tracker Sheet'!K:K,30))</f>
        <v/>
      </c>
      <c r="D31" s="313" t="str">
        <f ca="1">IF(INDEX('Tracker Sheet'!BQ:BQ,30)="Completed ",INDEX('Tracker Sheet'!BQ:BQ,30)&amp;INDEX('Tracker Sheet'!BR:BR,30),INDEX('Tracker Sheet'!BQ:BQ,30))</f>
        <v/>
      </c>
      <c r="E31" s="313" t="str">
        <f ca="1">IF(INDEX('Tracker Sheet'!BS:BS,30)="Completed ",INDEX('Tracker Sheet'!BR:BR,30)&amp;INDEX('Tracker Sheet'!BT:BT,30),INDEX('Tracker Sheet'!BS:BS,30))</f>
        <v/>
      </c>
      <c r="F31" s="313" t="str">
        <f ca="1">IF(INDEX('Tracker Sheet'!BU:BU,30)="Completed ",INDEX('Tracker Sheet'!BU:BU,30)&amp;INDEX('Tracker Sheet'!BV:BV,30),INDEX('Tracker Sheet'!BU:BU,30))</f>
        <v/>
      </c>
      <c r="G31" s="313" t="str">
        <f ca="1">IF(INDEX('Tracker Sheet'!BW:BW,30)="Completed ",INDEX('Tracker Sheet'!BW:BW,30)&amp;INDEX('Tracker Sheet'!BX:BX,30),INDEX('Tracker Sheet'!BW:BW,30))</f>
        <v/>
      </c>
      <c r="H31" s="313" t="str">
        <f ca="1">INDEX('Tracker Sheet'!BY:BY,30)</f>
        <v/>
      </c>
      <c r="J31" s="155"/>
      <c r="K31" s="156"/>
      <c r="L31" s="153"/>
      <c r="N31" s="415"/>
      <c r="O31" s="144"/>
    </row>
    <row r="32" spans="1:15" ht="56.25" customHeight="1" thickTop="1" thickBot="1" x14ac:dyDescent="0.25">
      <c r="A32" s="122" t="str">
        <f>IF(INDEX('Tracker Sheet'!E:E,31)="","",INDEX('Tracker Sheet'!E:E,31))</f>
        <v/>
      </c>
      <c r="B32" s="303" t="str">
        <f>IF(INDEX('Tracker Sheet'!C:C,31)="","",INDEX('Tracker Sheet'!C:C,31))</f>
        <v/>
      </c>
      <c r="C32" s="314" t="str">
        <f>IF(INDEX('Tracker Sheet'!K:K,31)="","",INDEX('Tracker Sheet'!K:K,31))</f>
        <v/>
      </c>
      <c r="D32" s="313" t="str">
        <f ca="1">IF(INDEX('Tracker Sheet'!BQ:BQ,31)="Completed ",INDEX('Tracker Sheet'!BQ:BQ,31)&amp;INDEX('Tracker Sheet'!BR:BR,31),INDEX('Tracker Sheet'!BQ:BQ,31))</f>
        <v/>
      </c>
      <c r="E32" s="313" t="str">
        <f ca="1">IF(INDEX('Tracker Sheet'!BS:BS,31)="Completed ",INDEX('Tracker Sheet'!BR:BR,31)&amp;INDEX('Tracker Sheet'!BT:BT,31),INDEX('Tracker Sheet'!BS:BS,31))</f>
        <v/>
      </c>
      <c r="F32" s="313" t="str">
        <f ca="1">IF(INDEX('Tracker Sheet'!BU:BU,31)="Completed ",INDEX('Tracker Sheet'!BU:BU,31)&amp;INDEX('Tracker Sheet'!BV:BV,31),INDEX('Tracker Sheet'!BU:BU,31))</f>
        <v/>
      </c>
      <c r="G32" s="313" t="str">
        <f ca="1">IF(INDEX('Tracker Sheet'!BW:BW,31)="Completed ",INDEX('Tracker Sheet'!BW:BW,31)&amp;INDEX('Tracker Sheet'!BX:BX,31),INDEX('Tracker Sheet'!BW:BW,31))</f>
        <v/>
      </c>
      <c r="H32" s="313" t="str">
        <f ca="1">INDEX('Tracker Sheet'!BY:BY,31)</f>
        <v/>
      </c>
      <c r="J32" s="155"/>
      <c r="K32" s="156"/>
      <c r="L32" s="153"/>
      <c r="N32" s="415"/>
      <c r="O32" s="144"/>
    </row>
    <row r="33" spans="1:15" ht="56.25" customHeight="1" thickTop="1" thickBot="1" x14ac:dyDescent="0.25">
      <c r="A33" s="122" t="str">
        <f>IF(INDEX('Tracker Sheet'!E:E,32)="","",INDEX('Tracker Sheet'!E:E,32))</f>
        <v/>
      </c>
      <c r="B33" s="303" t="str">
        <f>IF(INDEX('Tracker Sheet'!C:C,32)="","",INDEX('Tracker Sheet'!C:C,32))</f>
        <v/>
      </c>
      <c r="C33" s="314" t="str">
        <f>IF(INDEX('Tracker Sheet'!K:K,32)="","",INDEX('Tracker Sheet'!K:K,32))</f>
        <v/>
      </c>
      <c r="D33" s="313" t="str">
        <f ca="1">IF(INDEX('Tracker Sheet'!BQ:BQ,32)="Completed ",INDEX('Tracker Sheet'!BQ:BQ,32)&amp;INDEX('Tracker Sheet'!BR:BR,32),INDEX('Tracker Sheet'!BQ:BQ,32))</f>
        <v/>
      </c>
      <c r="E33" s="313" t="str">
        <f ca="1">IF(INDEX('Tracker Sheet'!BS:BS,32)="Completed ",INDEX('Tracker Sheet'!BR:BR,32)&amp;INDEX('Tracker Sheet'!BT:BT,32),INDEX('Tracker Sheet'!BS:BS,32))</f>
        <v/>
      </c>
      <c r="F33" s="313" t="str">
        <f ca="1">IF(INDEX('Tracker Sheet'!BU:BU,32)="Completed ",INDEX('Tracker Sheet'!BU:BU,32)&amp;INDEX('Tracker Sheet'!BV:BV,32),INDEX('Tracker Sheet'!BU:BU,32))</f>
        <v/>
      </c>
      <c r="G33" s="313" t="str">
        <f ca="1">IF(INDEX('Tracker Sheet'!BW:BW,32)="Completed ",INDEX('Tracker Sheet'!BW:BW,32)&amp;INDEX('Tracker Sheet'!BX:BX,32),INDEX('Tracker Sheet'!BW:BW,32))</f>
        <v/>
      </c>
      <c r="H33" s="313" t="str">
        <f ca="1">INDEX('Tracker Sheet'!BY:BY,32)</f>
        <v/>
      </c>
      <c r="J33" s="155"/>
      <c r="K33" s="156"/>
      <c r="L33" s="153"/>
      <c r="N33" s="415"/>
      <c r="O33" s="144"/>
    </row>
    <row r="34" spans="1:15" ht="56.25" customHeight="1" thickTop="1" thickBot="1" x14ac:dyDescent="0.25">
      <c r="A34" s="122" t="str">
        <f>IF(INDEX('Tracker Sheet'!E:E,33)="","",INDEX('Tracker Sheet'!E:E,33))</f>
        <v/>
      </c>
      <c r="B34" s="303" t="str">
        <f>IF(INDEX('Tracker Sheet'!C:C,33)="","",INDEX('Tracker Sheet'!C:C,33))</f>
        <v/>
      </c>
      <c r="C34" s="314" t="str">
        <f>IF(INDEX('Tracker Sheet'!K:K,33)="","",INDEX('Tracker Sheet'!K:K,33))</f>
        <v/>
      </c>
      <c r="D34" s="313" t="str">
        <f ca="1">IF(INDEX('Tracker Sheet'!BQ:BQ,33)="Completed ",INDEX('Tracker Sheet'!BQ:BQ,33)&amp;INDEX('Tracker Sheet'!BR:BR,33),INDEX('Tracker Sheet'!BQ:BQ,33))</f>
        <v/>
      </c>
      <c r="E34" s="313" t="str">
        <f ca="1">IF(INDEX('Tracker Sheet'!BS:BS,33)="Completed ",INDEX('Tracker Sheet'!BR:BR,33)&amp;INDEX('Tracker Sheet'!BT:BT,33),INDEX('Tracker Sheet'!BS:BS,33))</f>
        <v/>
      </c>
      <c r="F34" s="313" t="str">
        <f ca="1">IF(INDEX('Tracker Sheet'!BU:BU,33)="Completed ",INDEX('Tracker Sheet'!BU:BU,33)&amp;INDEX('Tracker Sheet'!BV:BV,33),INDEX('Tracker Sheet'!BU:BU,33))</f>
        <v/>
      </c>
      <c r="G34" s="313" t="str">
        <f ca="1">IF(INDEX('Tracker Sheet'!BW:BW,33)="Completed ",INDEX('Tracker Sheet'!BW:BW,33)&amp;INDEX('Tracker Sheet'!BX:BX,33),INDEX('Tracker Sheet'!BW:BW,33))</f>
        <v/>
      </c>
      <c r="H34" s="313" t="str">
        <f ca="1">INDEX('Tracker Sheet'!BY:BY,33)</f>
        <v/>
      </c>
      <c r="J34" s="155"/>
      <c r="K34" s="156"/>
      <c r="L34" s="153"/>
      <c r="N34" s="414"/>
      <c r="O34" s="144"/>
    </row>
    <row r="35" spans="1:15" ht="56.25" customHeight="1" thickTop="1" thickBot="1" x14ac:dyDescent="0.25">
      <c r="A35" s="122" t="str">
        <f>IF(INDEX('Tracker Sheet'!E:E,34)="","",INDEX('Tracker Sheet'!E:E,34))</f>
        <v/>
      </c>
      <c r="B35" s="303" t="str">
        <f>IF(INDEX('Tracker Sheet'!C:C,34)="","",INDEX('Tracker Sheet'!C:C,34))</f>
        <v/>
      </c>
      <c r="C35" s="314" t="str">
        <f>IF(INDEX('Tracker Sheet'!K:K,34)="","",INDEX('Tracker Sheet'!K:K,34))</f>
        <v/>
      </c>
      <c r="D35" s="313" t="str">
        <f ca="1">IF(INDEX('Tracker Sheet'!BQ:BQ,34)="Completed ",INDEX('Tracker Sheet'!BQ:BQ,34)&amp;INDEX('Tracker Sheet'!BR:BR,34),INDEX('Tracker Sheet'!BQ:BQ,34))</f>
        <v/>
      </c>
      <c r="E35" s="313" t="str">
        <f ca="1">IF(INDEX('Tracker Sheet'!BS:BS,34)="Completed ",INDEX('Tracker Sheet'!BR:BR,34)&amp;INDEX('Tracker Sheet'!BT:BT,34),INDEX('Tracker Sheet'!BS:BS,34))</f>
        <v/>
      </c>
      <c r="F35" s="313" t="str">
        <f ca="1">IF(INDEX('Tracker Sheet'!BU:BU,34)="Completed ",INDEX('Tracker Sheet'!BU:BU,34)&amp;INDEX('Tracker Sheet'!BV:BV,34),INDEX('Tracker Sheet'!BU:BU,34))</f>
        <v/>
      </c>
      <c r="G35" s="313" t="str">
        <f ca="1">IF(INDEX('Tracker Sheet'!BW:BW,34)="Completed ",INDEX('Tracker Sheet'!BW:BW,34)&amp;INDEX('Tracker Sheet'!BX:BX,34),INDEX('Tracker Sheet'!BW:BW,34))</f>
        <v/>
      </c>
      <c r="H35" s="313" t="str">
        <f ca="1">INDEX('Tracker Sheet'!BY:BY,34)</f>
        <v/>
      </c>
      <c r="J35" s="155"/>
      <c r="K35" s="156"/>
      <c r="L35" s="153"/>
      <c r="N35" s="414"/>
      <c r="O35" s="144"/>
    </row>
    <row r="36" spans="1:15" ht="56.25" customHeight="1" thickTop="1" thickBot="1" x14ac:dyDescent="0.25">
      <c r="A36" s="122"/>
      <c r="B36" s="303"/>
      <c r="C36" s="314"/>
      <c r="D36" s="313"/>
      <c r="E36" s="313"/>
      <c r="F36" s="313"/>
      <c r="G36" s="313"/>
      <c r="H36" s="313"/>
      <c r="J36" s="23"/>
      <c r="K36" s="156"/>
      <c r="L36" s="153"/>
      <c r="N36" s="414"/>
      <c r="O36" s="144"/>
    </row>
    <row r="37" spans="1:15" ht="56.25" customHeight="1" thickTop="1" thickBot="1" x14ac:dyDescent="0.25">
      <c r="A37" s="122"/>
      <c r="B37" s="303"/>
      <c r="C37" s="314"/>
      <c r="D37" s="313"/>
      <c r="E37" s="313"/>
      <c r="F37" s="313"/>
      <c r="G37" s="313"/>
      <c r="H37" s="313"/>
      <c r="I37" s="160"/>
      <c r="J37" s="154"/>
      <c r="K37" s="156"/>
      <c r="L37" s="153"/>
      <c r="N37" s="414"/>
      <c r="O37" s="144"/>
    </row>
    <row r="38" spans="1:15" ht="45" customHeight="1" thickTop="1" thickBot="1" x14ac:dyDescent="0.25">
      <c r="A38" s="122"/>
      <c r="B38" s="303"/>
      <c r="C38" s="314"/>
      <c r="D38" s="313"/>
      <c r="E38" s="313"/>
      <c r="F38" s="313"/>
      <c r="G38" s="313"/>
      <c r="H38" s="313"/>
    </row>
    <row r="39" spans="1:15" ht="45" customHeight="1" thickTop="1" thickBot="1" x14ac:dyDescent="0.25">
      <c r="A39" s="122"/>
      <c r="B39" s="303"/>
      <c r="C39" s="314"/>
      <c r="D39" s="313"/>
      <c r="E39" s="313"/>
      <c r="F39" s="313"/>
      <c r="G39" s="313"/>
      <c r="H39" s="313"/>
    </row>
    <row r="40" spans="1:15" ht="45" customHeight="1" thickTop="1" thickBot="1" x14ac:dyDescent="0.25">
      <c r="A40" s="122"/>
      <c r="B40" s="303"/>
      <c r="C40" s="314"/>
      <c r="D40" s="313"/>
      <c r="E40" s="313"/>
      <c r="F40" s="313"/>
      <c r="G40" s="313"/>
      <c r="H40" s="313"/>
    </row>
  </sheetData>
  <sheetProtection autoFilter="0"/>
  <autoFilter ref="A3:N37">
    <filterColumn colId="8" hiddenButton="1"/>
    <filterColumn colId="10" hiddenButton="1"/>
    <filterColumn colId="12" hiddenButton="1"/>
  </autoFilter>
  <mergeCells count="1">
    <mergeCell ref="O1:P1"/>
  </mergeCells>
  <conditionalFormatting sqref="L4:L37">
    <cfRule type="cellIs" dxfId="318" priority="1" operator="equal">
      <formula>"YES"</formula>
    </cfRule>
  </conditionalFormatting>
  <pageMargins left="0.23622047244094491" right="0.23622047244094491" top="0.74803149606299213" bottom="0.74803149606299213" header="0.31496062992125984" footer="0.31496062992125984"/>
  <pageSetup paperSize="9" scale="7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tect">
                <anchor moveWithCells="1" sizeWithCells="1">
                  <from>
                    <xdr:col>13</xdr:col>
                    <xdr:colOff>1609725</xdr:colOff>
                    <xdr:row>0</xdr:row>
                    <xdr:rowOff>57150</xdr:rowOff>
                  </from>
                  <to>
                    <xdr:col>13</xdr:col>
                    <xdr:colOff>2809875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Protect">
                <anchor moveWithCells="1" sizeWithCells="1">
                  <from>
                    <xdr:col>13</xdr:col>
                    <xdr:colOff>1609725</xdr:colOff>
                    <xdr:row>1</xdr:row>
                    <xdr:rowOff>47625</xdr:rowOff>
                  </from>
                  <to>
                    <xdr:col>13</xdr:col>
                    <xdr:colOff>2809875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serForm1Button_Click">
                <anchor moveWithCells="1" sizeWithCells="1">
                  <from>
                    <xdr:col>13</xdr:col>
                    <xdr:colOff>2828925</xdr:colOff>
                    <xdr:row>0</xdr:row>
                    <xdr:rowOff>57150</xdr:rowOff>
                  </from>
                  <to>
                    <xdr:col>13</xdr:col>
                    <xdr:colOff>4029075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serForm2Button_Click">
                <anchor moveWithCells="1" sizeWithCells="1">
                  <from>
                    <xdr:col>13</xdr:col>
                    <xdr:colOff>2838450</xdr:colOff>
                    <xdr:row>1</xdr:row>
                    <xdr:rowOff>47625</xdr:rowOff>
                  </from>
                  <to>
                    <xdr:col>13</xdr:col>
                    <xdr:colOff>4029075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UserForm3Button_Click">
                <anchor moveWithCells="1" sizeWithCells="1">
                  <from>
                    <xdr:col>13</xdr:col>
                    <xdr:colOff>2828925</xdr:colOff>
                    <xdr:row>1</xdr:row>
                    <xdr:rowOff>495300</xdr:rowOff>
                  </from>
                  <to>
                    <xdr:col>13</xdr:col>
                    <xdr:colOff>4029075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4" id="{036B08CB-FEB7-492D-946D-983172441BC1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525" id="{31556AED-2AC1-410D-82A6-657B88BB1B13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14:cfRule type="expression" priority="526" id="{24055086-8754-4986-909A-85CC1F466275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m:sqref>H4 H6</xm:sqref>
        </x14:conditionalFormatting>
        <x14:conditionalFormatting xmlns:xm="http://schemas.microsoft.com/office/excel/2006/main">
          <x14:cfRule type="expression" priority="527" id="{91741DB8-19AD-43EA-B87A-66591987B775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528" id="{FD1EBD51-0494-4855-9E16-0EB320AFFEAF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14:cfRule type="expression" priority="529" id="{473E3F57-2AA4-4D8C-9CF1-B31165D9E5B3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m:sqref>G4 G6</xm:sqref>
        </x14:conditionalFormatting>
        <x14:conditionalFormatting xmlns:xm="http://schemas.microsoft.com/office/excel/2006/main">
          <x14:cfRule type="expression" priority="530" id="{271D4246-A353-4A32-8743-5723B9934D92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531" id="{12CF4D19-6AE3-4DCA-92C0-0D03AEFF3958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532" id="{DF39F356-D20F-441F-86D7-CB108D84B98D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F4 F6</xm:sqref>
        </x14:conditionalFormatting>
        <x14:conditionalFormatting xmlns:xm="http://schemas.microsoft.com/office/excel/2006/main">
          <x14:cfRule type="expression" priority="533" id="{B09B09AB-512C-4169-8193-7CA4D0BF61DC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534" id="{34B587AD-5032-456B-ACE9-06A2C20713B0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535" id="{BC2C3E5A-AE0F-4684-8599-229C794A1E28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E4 E6</xm:sqref>
        </x14:conditionalFormatting>
        <x14:conditionalFormatting xmlns:xm="http://schemas.microsoft.com/office/excel/2006/main">
          <x14:cfRule type="expression" priority="536" id="{1F55ABDB-6BED-4B41-A1B1-4D108C45C26F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537" id="{51EE5977-EEF5-4D62-A096-C6B25EB690BF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538" id="{E365E65D-AA0D-41AF-AB30-FC002EFD0535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D4 D6</xm:sqref>
        </x14:conditionalFormatting>
        <x14:conditionalFormatting xmlns:xm="http://schemas.microsoft.com/office/excel/2006/main">
          <x14:cfRule type="expression" priority="539" id="{A07D8F78-9BA0-498C-BB9C-269D5E060D43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540" id="{ED05606C-7CF6-413B-83BE-9FD49FE9E77E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C4 C6</xm:sqref>
        </x14:conditionalFormatting>
        <x14:conditionalFormatting xmlns:xm="http://schemas.microsoft.com/office/excel/2006/main">
          <x14:cfRule type="expression" priority="628" id="{036B08CB-FEB7-492D-946D-983172441BC1}">
            <xm:f>'Tracker Sheet'!$BL6="A"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29" id="{31556AED-2AC1-410D-82A6-657B88BB1B13}">
            <xm:f>'Tracker Sheet'!$BL6="R"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14:cfRule type="expression" priority="630" id="{24055086-8754-4986-909A-85CC1F466275}">
            <xm:f>'Tracker Sheet'!$BL6="G"</xm:f>
            <x14:dxf>
              <fill>
                <patternFill>
                  <bgColor rgb="FF77BE77"/>
                </patternFill>
              </fill>
            </x14:dxf>
          </x14:cfRule>
          <xm:sqref>H7:H37</xm:sqref>
        </x14:conditionalFormatting>
        <x14:conditionalFormatting xmlns:xm="http://schemas.microsoft.com/office/excel/2006/main">
          <x14:cfRule type="expression" priority="634" id="{91741DB8-19AD-43EA-B87A-66591987B775}">
            <xm:f>'Tracker Sheet'!$BD6="A"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35" id="{FD1EBD51-0494-4855-9E16-0EB320AFFEAF}">
            <xm:f>'Tracker Sheet'!$BD6="R"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14:cfRule type="expression" priority="636" id="{473E3F57-2AA4-4D8C-9CF1-B31165D9E5B3}">
            <xm:f>'Tracker Sheet'!$BD6="G"</xm:f>
            <x14:dxf>
              <fill>
                <patternFill>
                  <bgColor rgb="FF77BE77"/>
                </patternFill>
              </fill>
            </x14:dxf>
          </x14:cfRule>
          <xm:sqref>G7:G37</xm:sqref>
        </x14:conditionalFormatting>
        <x14:conditionalFormatting xmlns:xm="http://schemas.microsoft.com/office/excel/2006/main">
          <x14:cfRule type="expression" priority="640" id="{271D4246-A353-4A32-8743-5723B9934D92}">
            <xm:f>'Tracker Sheet'!$AS6="A"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41" id="{12CF4D19-6AE3-4DCA-92C0-0D03AEFF3958}">
            <xm:f>'Tracker Sheet'!$AS6="G"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42" id="{DF39F356-D20F-441F-86D7-CB108D84B98D}">
            <xm:f>'Tracker Sheet'!$AS6="R"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F7:F37</xm:sqref>
        </x14:conditionalFormatting>
        <x14:conditionalFormatting xmlns:xm="http://schemas.microsoft.com/office/excel/2006/main">
          <x14:cfRule type="expression" priority="646" id="{B09B09AB-512C-4169-8193-7CA4D0BF61DC}">
            <xm:f>'Tracker Sheet'!$AH6="A"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47" id="{34B587AD-5032-456B-ACE9-06A2C20713B0}">
            <xm:f>'Tracker Sheet'!$AH6="G"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48" id="{BC2C3E5A-AE0F-4684-8599-229C794A1E28}">
            <xm:f>'Tracker Sheet'!$AH6="R"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E7:E37</xm:sqref>
        </x14:conditionalFormatting>
        <x14:conditionalFormatting xmlns:xm="http://schemas.microsoft.com/office/excel/2006/main">
          <x14:cfRule type="expression" priority="652" id="{1F55ABDB-6BED-4B41-A1B1-4D108C45C26F}">
            <xm:f>'Tracker Sheet'!$W6="A"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53" id="{51EE5977-EEF5-4D62-A096-C6B25EB690BF}">
            <xm:f>'Tracker Sheet'!$W6="G"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54" id="{E365E65D-AA0D-41AF-AB30-FC002EFD0535}">
            <xm:f>'Tracker Sheet'!$W6="R"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D7:D37</xm:sqref>
        </x14:conditionalFormatting>
        <x14:conditionalFormatting xmlns:xm="http://schemas.microsoft.com/office/excel/2006/main">
          <x14:cfRule type="expression" priority="657" id="{A07D8F78-9BA0-498C-BB9C-269D5E060D43}">
            <xm:f>'Tracker Sheet'!$L6="G"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58" id="{ED05606C-7CF6-413B-83BE-9FD49FE9E77E}">
            <xm:f>'Tracker Sheet'!$L6="R"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C7:C37</xm:sqref>
        </x14:conditionalFormatting>
        <x14:conditionalFormatting xmlns:xm="http://schemas.microsoft.com/office/excel/2006/main">
          <x14:cfRule type="expression" priority="659" id="{036B08CB-FEB7-492D-946D-983172441BC1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60" id="{31556AED-2AC1-410D-82A6-657B88BB1B13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14:cfRule type="expression" priority="661" id="{24055086-8754-4986-909A-85CC1F466275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662" id="{91741DB8-19AD-43EA-B87A-66591987B775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63" id="{FD1EBD51-0494-4855-9E16-0EB320AFFEAF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14:cfRule type="expression" priority="664" id="{473E3F57-2AA4-4D8C-9CF1-B31165D9E5B3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665" id="{271D4246-A353-4A32-8743-5723B9934D92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66" id="{12CF4D19-6AE3-4DCA-92C0-0D03AEFF3958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67" id="{DF39F356-D20F-441F-86D7-CB108D84B98D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668" id="{B09B09AB-512C-4169-8193-7CA4D0BF61DC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69" id="{34B587AD-5032-456B-ACE9-06A2C20713B0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70" id="{BC2C3E5A-AE0F-4684-8599-229C794A1E28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671" id="{1F55ABDB-6BED-4B41-A1B1-4D108C45C26F}">
            <xm:f>'Tracker Sheet'!#REF!="A"</xm:f>
            <x14:dxf>
              <fill>
                <patternFill>
                  <bgColor rgb="FFFFB347"/>
                </patternFill>
              </fill>
            </x14:dxf>
          </x14:cfRule>
          <x14:cfRule type="expression" priority="672" id="{51EE5977-EEF5-4D62-A096-C6B25EB690BF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73" id="{E365E65D-AA0D-41AF-AB30-FC002EFD0535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674" id="{A07D8F78-9BA0-498C-BB9C-269D5E060D43}">
            <xm:f>'Tracker Sheet'!#REF!="G"</xm:f>
            <x14:dxf>
              <fill>
                <patternFill>
                  <bgColor rgb="FF77BE77"/>
                </patternFill>
              </fill>
            </x14:dxf>
          </x14:cfRule>
          <x14:cfRule type="expression" priority="675" id="{ED05606C-7CF6-413B-83BE-9FD49FE9E77E}">
            <xm:f>'Tracker Sheet'!#REF!="R"</xm:f>
            <x14:dxf>
              <font>
                <color theme="0"/>
              </font>
              <fill>
                <patternFill>
                  <bgColor rgb="FFC23B22"/>
                </patternFill>
              </fill>
            </x14:dxf>
          </x14:cfRule>
          <xm:sqref>C5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CA44"/>
  <sheetViews>
    <sheetView zoomScaleNormal="100" workbookViewId="0">
      <pane xSplit="7" ySplit="2" topLeftCell="J3" activePane="bottomRight" state="frozen"/>
      <selection pane="topRight" activeCell="G1" sqref="G1"/>
      <selection pane="bottomLeft" activeCell="A3" sqref="A3"/>
      <selection pane="bottomRight" activeCell="A3" sqref="A3:E5"/>
    </sheetView>
  </sheetViews>
  <sheetFormatPr defaultRowHeight="15" outlineLevelCol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11.109375" style="26" bestFit="1" customWidth="1"/>
    <col min="7" max="7" width="10" style="26" bestFit="1" customWidth="1"/>
    <col min="8" max="10" width="10" style="26" customWidth="1"/>
    <col min="11" max="11" width="10" style="26" hidden="1" customWidth="1" outlineLevel="1"/>
    <col min="12" max="12" width="7.21875" style="26" hidden="1" customWidth="1" outlineLevel="1"/>
    <col min="13" max="13" width="7.77734375" style="26" customWidth="1" collapsed="1"/>
    <col min="14" max="17" width="7.77734375" style="26" customWidth="1"/>
    <col min="18" max="18" width="9.77734375" style="26" bestFit="1" customWidth="1"/>
    <col min="19" max="19" width="7.77734375" style="26" customWidth="1"/>
    <col min="20" max="22" width="8.88671875" style="26" hidden="1" customWidth="1" outlineLevel="1"/>
    <col min="23" max="23" width="5.77734375" style="26" customWidth="1" collapsed="1"/>
    <col min="24" max="30" width="7.77734375" style="26" customWidth="1"/>
    <col min="31" max="33" width="8.88671875" style="26" hidden="1" customWidth="1" outlineLevel="1"/>
    <col min="34" max="34" width="5.77734375" style="26" customWidth="1" collapsed="1"/>
    <col min="35" max="41" width="7.77734375" style="26" customWidth="1"/>
    <col min="42" max="44" width="8.88671875" style="26" hidden="1" customWidth="1" outlineLevel="1"/>
    <col min="45" max="45" width="5.77734375" style="26" customWidth="1" collapsed="1"/>
    <col min="46" max="50" width="7.77734375" style="26" customWidth="1"/>
    <col min="51" max="51" width="12.33203125" style="26" customWidth="1"/>
    <col min="52" max="52" width="7.77734375" style="26" customWidth="1"/>
    <col min="53" max="55" width="8.88671875" style="26" hidden="1" customWidth="1" outlineLevel="1"/>
    <col min="56" max="56" width="5.77734375" style="26" customWidth="1" collapsed="1"/>
    <col min="57" max="57" width="8.33203125" style="353" customWidth="1"/>
    <col min="58" max="58" width="9.77734375" style="354" bestFit="1" customWidth="1"/>
    <col min="59" max="59" width="8.33203125" style="355" customWidth="1"/>
    <col min="60" max="60" width="10.44140625" style="26" hidden="1" customWidth="1" outlineLevel="1"/>
    <col min="61" max="61" width="7.77734375" style="26" hidden="1" customWidth="1" outlineLevel="1"/>
    <col min="62" max="63" width="8.88671875" style="26" hidden="1" customWidth="1" outlineLevel="1"/>
    <col min="64" max="64" width="5.77734375" style="26" customWidth="1" collapsed="1"/>
    <col min="65" max="65" width="28.77734375" style="26" customWidth="1"/>
    <col min="66" max="66" width="51.6640625" style="128" customWidth="1"/>
    <col min="67" max="67" width="17" style="26" customWidth="1"/>
    <col min="68" max="68" width="17.44140625" style="26" customWidth="1"/>
    <col min="69" max="77" width="8.88671875" style="26" hidden="1" customWidth="1" outlineLevel="1"/>
    <col min="78" max="78" width="9.88671875" style="26" hidden="1" customWidth="1" outlineLevel="1"/>
    <col min="79" max="79" width="8.88671875" style="26" collapsed="1"/>
    <col min="80" max="16384" width="8.88671875" style="26"/>
  </cols>
  <sheetData>
    <row r="1" spans="1:78" ht="15" customHeight="1" x14ac:dyDescent="0.2">
      <c r="A1" s="372" t="s">
        <v>11</v>
      </c>
      <c r="B1" s="373"/>
      <c r="C1" s="373"/>
      <c r="D1" s="373"/>
      <c r="E1" s="373"/>
      <c r="F1" s="373"/>
      <c r="G1" s="373"/>
      <c r="H1" s="388" t="s">
        <v>249</v>
      </c>
      <c r="I1" s="389"/>
      <c r="J1" s="390"/>
      <c r="K1" s="168" t="s">
        <v>325</v>
      </c>
      <c r="L1" s="169"/>
      <c r="M1" s="383" t="s">
        <v>6</v>
      </c>
      <c r="N1" s="383"/>
      <c r="O1" s="383"/>
      <c r="P1" s="383"/>
      <c r="Q1" s="383"/>
      <c r="R1" s="383"/>
      <c r="S1" s="383"/>
      <c r="T1" s="383"/>
      <c r="U1" s="383"/>
      <c r="V1" s="383"/>
      <c r="W1" s="384"/>
      <c r="X1" s="385" t="s">
        <v>131</v>
      </c>
      <c r="Y1" s="386"/>
      <c r="Z1" s="386"/>
      <c r="AA1" s="386"/>
      <c r="AB1" s="386"/>
      <c r="AC1" s="386"/>
      <c r="AD1" s="386"/>
      <c r="AE1" s="386"/>
      <c r="AF1" s="386"/>
      <c r="AG1" s="386"/>
      <c r="AH1" s="387"/>
      <c r="AI1" s="380" t="s">
        <v>130</v>
      </c>
      <c r="AJ1" s="381"/>
      <c r="AK1" s="381"/>
      <c r="AL1" s="381"/>
      <c r="AM1" s="381"/>
      <c r="AN1" s="381"/>
      <c r="AO1" s="381"/>
      <c r="AP1" s="381"/>
      <c r="AQ1" s="381"/>
      <c r="AR1" s="381"/>
      <c r="AS1" s="382"/>
      <c r="AT1" s="374" t="s">
        <v>5</v>
      </c>
      <c r="AU1" s="375"/>
      <c r="AV1" s="375"/>
      <c r="AW1" s="375"/>
      <c r="AX1" s="375"/>
      <c r="AY1" s="375"/>
      <c r="AZ1" s="375"/>
      <c r="BA1" s="375"/>
      <c r="BB1" s="375"/>
      <c r="BC1" s="375"/>
      <c r="BD1" s="376"/>
      <c r="BE1" s="377" t="s">
        <v>7</v>
      </c>
      <c r="BF1" s="377"/>
      <c r="BG1" s="377"/>
      <c r="BH1" s="377"/>
      <c r="BI1" s="377"/>
      <c r="BJ1" s="377"/>
      <c r="BK1" s="377"/>
      <c r="BL1" s="377"/>
      <c r="BM1" s="378" t="s">
        <v>14</v>
      </c>
      <c r="BN1" s="379"/>
      <c r="BO1" s="371" t="s">
        <v>93</v>
      </c>
      <c r="BP1" s="371"/>
      <c r="BQ1" s="370" t="s">
        <v>138</v>
      </c>
      <c r="BR1" s="370"/>
      <c r="BS1" s="370"/>
      <c r="BT1" s="370"/>
      <c r="BU1" s="370"/>
      <c r="BV1" s="370"/>
      <c r="BW1" s="370"/>
      <c r="BX1" s="370"/>
      <c r="BY1" s="370"/>
      <c r="BZ1" s="370"/>
    </row>
    <row r="2" spans="1:78" ht="45" x14ac:dyDescent="0.2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207</v>
      </c>
      <c r="G2" s="43" t="s">
        <v>19</v>
      </c>
      <c r="H2" s="165" t="s">
        <v>317</v>
      </c>
      <c r="I2" s="166" t="s">
        <v>318</v>
      </c>
      <c r="J2" s="167" t="s">
        <v>252</v>
      </c>
      <c r="K2" s="166"/>
      <c r="L2" s="167" t="s">
        <v>255</v>
      </c>
      <c r="M2" s="22" t="s">
        <v>22</v>
      </c>
      <c r="N2" s="22" t="s">
        <v>23</v>
      </c>
      <c r="O2" s="22" t="s">
        <v>1</v>
      </c>
      <c r="P2" s="22" t="s">
        <v>0</v>
      </c>
      <c r="Q2" s="22" t="s">
        <v>24</v>
      </c>
      <c r="R2" s="22" t="s">
        <v>92</v>
      </c>
      <c r="S2" s="22" t="s">
        <v>96</v>
      </c>
      <c r="T2" s="22" t="s">
        <v>23</v>
      </c>
      <c r="U2" s="22" t="s">
        <v>0</v>
      </c>
      <c r="V2" s="22" t="s">
        <v>24</v>
      </c>
      <c r="W2" s="41" t="s">
        <v>3</v>
      </c>
      <c r="X2" s="40" t="s">
        <v>22</v>
      </c>
      <c r="Y2" s="22" t="s">
        <v>23</v>
      </c>
      <c r="Z2" s="22" t="s">
        <v>1</v>
      </c>
      <c r="AA2" s="22" t="s">
        <v>0</v>
      </c>
      <c r="AB2" s="22" t="s">
        <v>24</v>
      </c>
      <c r="AC2" s="22" t="s">
        <v>205</v>
      </c>
      <c r="AD2" s="22" t="s">
        <v>12</v>
      </c>
      <c r="AE2" s="22" t="s">
        <v>23</v>
      </c>
      <c r="AF2" s="22" t="s">
        <v>0</v>
      </c>
      <c r="AG2" s="22" t="s">
        <v>24</v>
      </c>
      <c r="AH2" s="41" t="s">
        <v>3</v>
      </c>
      <c r="AI2" s="40" t="s">
        <v>22</v>
      </c>
      <c r="AJ2" s="22" t="s">
        <v>23</v>
      </c>
      <c r="AK2" s="22" t="s">
        <v>1</v>
      </c>
      <c r="AL2" s="22" t="s">
        <v>0</v>
      </c>
      <c r="AM2" s="22" t="s">
        <v>24</v>
      </c>
      <c r="AN2" s="22" t="s">
        <v>4</v>
      </c>
      <c r="AO2" s="22" t="s">
        <v>12</v>
      </c>
      <c r="AP2" s="22" t="s">
        <v>23</v>
      </c>
      <c r="AQ2" s="22" t="s">
        <v>0</v>
      </c>
      <c r="AR2" s="22" t="s">
        <v>24</v>
      </c>
      <c r="AS2" s="41" t="s">
        <v>3</v>
      </c>
      <c r="AT2" s="46" t="s">
        <v>22</v>
      </c>
      <c r="AU2" s="47" t="s">
        <v>23</v>
      </c>
      <c r="AV2" s="47" t="s">
        <v>1</v>
      </c>
      <c r="AW2" s="47" t="s">
        <v>0</v>
      </c>
      <c r="AX2" s="47" t="s">
        <v>245</v>
      </c>
      <c r="AY2" s="47" t="s">
        <v>2</v>
      </c>
      <c r="AZ2" s="47" t="s">
        <v>13</v>
      </c>
      <c r="BA2" s="47" t="s">
        <v>23</v>
      </c>
      <c r="BB2" s="47" t="s">
        <v>0</v>
      </c>
      <c r="BC2" s="47" t="s">
        <v>24</v>
      </c>
      <c r="BD2" s="30" t="s">
        <v>3</v>
      </c>
      <c r="BE2" s="350" t="s">
        <v>25</v>
      </c>
      <c r="BF2" s="351" t="s">
        <v>91</v>
      </c>
      <c r="BG2" s="352" t="s">
        <v>204</v>
      </c>
      <c r="BH2" s="15" t="s">
        <v>90</v>
      </c>
      <c r="BI2" s="15" t="s">
        <v>242</v>
      </c>
      <c r="BJ2" s="16"/>
      <c r="BK2" s="16"/>
      <c r="BL2" s="13" t="s">
        <v>3</v>
      </c>
      <c r="BM2" s="17" t="s">
        <v>15</v>
      </c>
      <c r="BN2" s="17" t="s">
        <v>16</v>
      </c>
      <c r="BO2" s="14" t="s">
        <v>17</v>
      </c>
      <c r="BP2" s="14" t="s">
        <v>21</v>
      </c>
      <c r="BQ2" s="38" t="s">
        <v>97</v>
      </c>
      <c r="BR2" s="38" t="s">
        <v>99</v>
      </c>
      <c r="BS2" s="38" t="s">
        <v>133</v>
      </c>
      <c r="BT2" s="38" t="s">
        <v>99</v>
      </c>
      <c r="BU2" s="38" t="s">
        <v>132</v>
      </c>
      <c r="BV2" s="38" t="s">
        <v>99</v>
      </c>
      <c r="BW2" s="38" t="s">
        <v>98</v>
      </c>
      <c r="BX2" s="38" t="s">
        <v>99</v>
      </c>
      <c r="BY2" s="38" t="s">
        <v>29</v>
      </c>
      <c r="BZ2" s="38" t="s">
        <v>339</v>
      </c>
    </row>
    <row r="3" spans="1:78" x14ac:dyDescent="0.2">
      <c r="A3" s="325"/>
      <c r="B3" s="321"/>
      <c r="C3" s="321"/>
      <c r="D3" s="320"/>
      <c r="E3" s="320"/>
      <c r="F3" s="320"/>
      <c r="G3" s="266"/>
      <c r="H3" s="269"/>
      <c r="I3" s="348" t="str">
        <f t="shared" ref="I3:I20" si="0">IF(H3="","",DATE(YEAR(H3),MONTH(H3)+1,DAY(H3)))</f>
        <v/>
      </c>
      <c r="J3" s="349"/>
      <c r="K3" s="346" t="str">
        <f t="shared" ref="K3:K21" si="1">IF(H3="","",IF(J3="","Board Date"&amp;CHAR(10)&amp;TEXT(I3,"dd/mm/yyyy"),"Completed"&amp;CHAR(10)&amp;TEXT(J3,"dd/mm/yyyy")))</f>
        <v/>
      </c>
      <c r="L3" s="330" t="str">
        <f t="shared" ref="L3:L21" ca="1" si="2">IF(AND(J3="",I3=""),"",IF(AND(J3="",I3&lt;TODAY()),"R","G"))</f>
        <v/>
      </c>
      <c r="M3" s="345"/>
      <c r="N3" s="343"/>
      <c r="O3" s="328"/>
      <c r="P3" s="344"/>
      <c r="Q3" s="343"/>
      <c r="R3" s="322"/>
      <c r="S3" s="322"/>
      <c r="T3" s="329" t="str">
        <f t="shared" ref="T3" si="3">IFERROR(IF(1-(N3-M3)/(O3-M3)&gt;0.9,"G",IF(1-(N3-M3)/(O3-M3)&gt;0.85,"A","R")),"")</f>
        <v/>
      </c>
      <c r="U3" s="329" t="str">
        <f t="shared" ref="U3" si="4">IF(P3="","",IF((O3-M3)/(P3-M3)&gt;0.9,"G",(IF((O3-M3)/(P3-M3)&gt;0.85,"A","R"))))</f>
        <v/>
      </c>
      <c r="V3" s="329" t="str">
        <f t="shared" ref="V3" si="5">IF(Q3="","",IF((O3-M3)/(Q3-M3)&gt;0.9,"G",(IF((O3-M3)/(Q3-M3)&gt;0.85,"A","R"))))</f>
        <v/>
      </c>
      <c r="W3" s="330" t="str">
        <f t="shared" ref="W3" si="6">IF(V3="",IF(U3="",T3,U3),V3)</f>
        <v/>
      </c>
      <c r="X3" s="327"/>
      <c r="Y3" s="343"/>
      <c r="Z3" s="328"/>
      <c r="AA3" s="343"/>
      <c r="AB3" s="343"/>
      <c r="AC3" s="328"/>
      <c r="AD3" s="328"/>
      <c r="AE3" s="329" t="str">
        <f t="shared" ref="AE3" si="7">IFERROR(IF(1-(Y3-X3)/(Z3-X3)&gt;0.9,"G",IF(1-(Y3-X3)/(Z3-X3)&gt;0.85,"A","R")),"")</f>
        <v/>
      </c>
      <c r="AF3" s="329" t="str">
        <f t="shared" ref="AF3" si="8">IF(AA3="","",IF((Z3-X3)/(AA3-X3)&gt;0.9,"G",(IF((Z3-X3)/(AA3-X3)&gt;0.85,"A","R"))))</f>
        <v/>
      </c>
      <c r="AG3" s="329" t="str">
        <f t="shared" ref="AG3" si="9">IF(AB3="","",IF((Z3-X3)/(AB3-X3)&gt;0.9,"G",(IF((Z3-X3)/(AB3-X3)&gt;0.85,"A","R"))))</f>
        <v/>
      </c>
      <c r="AH3" s="330" t="str">
        <f t="shared" ref="AH3" si="10">IF(AG3="",IF(AF3="",AE3,AF3),AG3)</f>
        <v/>
      </c>
      <c r="AI3" s="327"/>
      <c r="AJ3" s="343"/>
      <c r="AK3" s="328"/>
      <c r="AL3" s="343"/>
      <c r="AM3" s="343"/>
      <c r="AN3" s="328"/>
      <c r="AO3" s="328"/>
      <c r="AP3" s="329" t="str">
        <f t="shared" ref="AP3:AP21" si="11">IFERROR(IF(1-(AJ3-AI3)/(AK3-AI3)&gt;0.9,"G",IF(1-(AJ3-AI3)/(AK3-AI3)&gt;0.85,"A","R")),"")</f>
        <v/>
      </c>
      <c r="AQ3" s="329" t="str">
        <f t="shared" ref="AQ3:AQ21" si="12">IF(AL3="","",IF((AK3-AI3)/(AL3-AI3)&gt;0.9,"G",(IF((AK3-AI3)/(AL3-AI3)&gt;0.85,"A","R"))))</f>
        <v/>
      </c>
      <c r="AR3" s="329" t="str">
        <f t="shared" ref="AR3:AR21" si="13">IF(AM3="","",IF((AK3-AI3)/(AM3-AI3)&gt;0.9,"G",(IF((AK3-AI3)/(AM3-AI3)&gt;0.85,"A","R"))))</f>
        <v/>
      </c>
      <c r="AS3" s="330" t="str">
        <f t="shared" ref="AS3:AS21" si="14">IF(AR3="",IF(AQ3="",AP3,AQ3),AR3)</f>
        <v/>
      </c>
      <c r="AT3" s="331"/>
      <c r="AU3" s="344"/>
      <c r="AV3" s="332"/>
      <c r="AW3" s="344"/>
      <c r="AX3" s="344"/>
      <c r="AY3" s="326" t="str">
        <f t="shared" ref="AY3" si="15">IF(AX3="","",DATE(YEAR(AX3),MONTH(AX3)+3,DAY(AX3)))</f>
        <v/>
      </c>
      <c r="AZ3" s="326"/>
      <c r="BA3" s="333" t="str">
        <f>IFERROR(IF(1-(AU3-AT3)/(AV3-AT3)&gt;0.9,"G",IF(1-(AU3-AT3)/(AV3-AT3)&gt;0.85,"A","R")),"")</f>
        <v/>
      </c>
      <c r="BB3" s="333" t="str">
        <f>IF(AW3="","",IF((AV3-AT3)/(AW3-AT3)&gt;0.9,"G",(IF((AV3-AT3)/(AW3-AT3)&gt;0.85,"A","R"))))</f>
        <v/>
      </c>
      <c r="BC3" s="333" t="str">
        <f>IF(AX3="","",IF((AV3-AT3)/(AX3-AT3)&gt;0.9,"G",(IF((AV3-AT3)/(AX3-AT3)&gt;0.85,"A","R"))))</f>
        <v/>
      </c>
      <c r="BD3" s="334" t="str">
        <f t="shared" ref="BD3:BD21" si="16">IF(BC3="",IF(BB3="",BA3,BB3),BC3)</f>
        <v/>
      </c>
      <c r="BE3" s="335"/>
      <c r="BF3" s="336"/>
      <c r="BG3" s="337"/>
      <c r="BH3" s="338"/>
      <c r="BI3" s="336"/>
      <c r="BJ3" s="339" t="e">
        <f t="shared" ref="BJ3:BJ21" si="17">(BF3-BE3)/BE3</f>
        <v>#DIV/0!</v>
      </c>
      <c r="BK3" s="339" t="e">
        <f t="shared" ref="BK3:BK21" si="18">(BG3-BE3)/BE3</f>
        <v>#DIV/0!</v>
      </c>
      <c r="BL3" s="340" t="str">
        <f t="shared" ref="BL3" si="19">IF(BE3="","",IF(AND(BJ3&lt;0.025,BK3&lt;0.025),"G",IF(OR(BJ3&gt;0.05,BK3&gt;0.05),"R",IF(AND(BJ3&gt;0.025,BK3&gt;0.025),"A","G"))))</f>
        <v/>
      </c>
      <c r="BM3" s="318"/>
      <c r="BN3" s="319"/>
      <c r="BO3" s="341" t="str">
        <f>IF(AND(BL3="",BD3="",AS3="",W3=""),"",IF(AND(BL3="G",BD3="G",AS3="G",W3="G"),"G",IF(OR(BL3="R",BD3="R",AS3="R",W3="R"),"R",VLOOKUP(CONCATENATE(W3,AS3,BD3,BL3),'Rag Coding'!A:B,2,FALSE))))</f>
        <v/>
      </c>
      <c r="BP3" s="323" t="e">
        <f>'Dashboard Page'!#REF!</f>
        <v>#REF!</v>
      </c>
      <c r="BQ3" s="324" t="str">
        <f ca="1">IF(M3="","",IF(V3&lt;&gt;"","Completed ",IF(AND(U3&lt;&gt;"",P3&gt;TODAY()),"Forecast Completion on "&amp;DAY(P3)&amp;"-"&amp;MONTH(P3)&amp;"-"&amp;YEAR(P3)&amp;CHAR(10)&amp;IF(P3-O3&gt;0,(P3-O3)&amp;" day(s) late",(IF(P3-O3=0,"on time",(O3-P3)&amp;" day(s) early"))),IF(P3&lt;TODAY(),"Forecast Completion in the past, please update","Baseline Complete"))))</f>
        <v/>
      </c>
      <c r="BR3" s="324" t="str">
        <f ca="1">IF(BQ3="Completed ",IF(Q3-O3&gt;0,Q3-O3&amp;" day(s) late",(IF(Q3-O3=0,"on time",O3-Q3&amp;" day(s) early"))),"")</f>
        <v/>
      </c>
      <c r="BS3" s="324" t="str">
        <f ca="1">IF(X3="","",IF(AG3&lt;&gt;"","Completed ",IF(AND(AF3&lt;&gt;"",AA3&gt;TODAY()),"Forecast Completion on "&amp;DAY(AA3)&amp;"-"&amp;MONTH(AA3)&amp;"-"&amp;YEAR(AA3)&amp;CHAR(10)&amp;IF(AA3-Z3&gt;0,(AA3-Z3)&amp;" day(s) late",(IF(AA3-Z3=0,"on time",(Z3-AA3)&amp;" day(s) early"))),IF(AA3&lt;TODAY(),"Forecast Completion in the past, please update","Baseline Complete"))))</f>
        <v/>
      </c>
      <c r="BT3" s="324" t="str">
        <f ca="1">IF(BS3="Completed ",IF(AB3-Z3&gt;0,AB3-Z3&amp;" day(s) late",(IF(AB3-Z3=0,"on time",Z3-AB3&amp;" day(s) early"))),"")</f>
        <v/>
      </c>
      <c r="BU3" s="324" t="str">
        <f ca="1">IF(AI3="","",IF(AR3&lt;&gt;"","Completed ",IF(AND(AQ3&lt;&gt;"",AL3&gt;TODAY()),"Forecast Completion on "&amp;DAY(AL3)&amp;"-"&amp;MONTH(AL3)&amp;"-"&amp;YEAR(AL3)&amp;CHAR(10)&amp;IF(AL3-AK3&gt;0,(AL3-AK3)&amp;" day(s) late",(IF(AL3-AK3=0,"on time",(AK3-AL3)&amp;" day(s) early"))),IF(AL3&lt;TODAY(),"Forecast Completion in the past, please update","Baseline Complete"))))</f>
        <v/>
      </c>
      <c r="BV3" s="324" t="str">
        <f ca="1">IF(BU3="Completed ",IF(AM3-AK3&gt;0,AM3-AK3&amp;" day(s) late",(IF(AM3-AK3=0,"on time",AK3-AM3&amp;" day(s) early"))),"")</f>
        <v/>
      </c>
      <c r="BW3" s="324" t="str">
        <f ca="1">IF(AT3="","",IF(BC3&lt;&gt;"","Completed ",IF(AND(BB3&lt;&gt;"",AW3&gt;TODAY()),"Forecast Completion on "&amp;DAY(AW3)&amp;"-"&amp;MONTH(AW3)&amp;"-"&amp;YEAR(AW3)&amp;CHAR(10)&amp;IF(AW3-AV3&gt;0,(AW3-AV3)&amp;" day(s) late",(IF(AW3-AV3=0,"on time",(AV3-AW3)&amp;" day(s) early"))),IF(AW3&lt;TODAY(),"Forecast Completion in the past, please update","Baseline Complete"))))</f>
        <v/>
      </c>
      <c r="BX3" s="324" t="str">
        <f ca="1">IF(BW3="Completed ",IF(AX3-AV3&gt;0,AX3-AV3&amp;" day(s) late",(IF(AX3-AV3=0,"on time",AV3-AX3&amp;" day(s) early"))),"")</f>
        <v/>
      </c>
      <c r="BY3" s="324" t="str">
        <f t="shared" ref="BY3" ca="1" si="20">IF(BW3="Completed ",IF(BF3-BE3&gt;0,"Over budget by £"&amp;(BF3-BE3),"Under budget by £"&amp;BE3-BF3),IF(BF3="","","Current Forecast Spend £"&amp;BF3))</f>
        <v/>
      </c>
      <c r="BZ3" s="324" t="str">
        <f>IF(COUNTA(AT3:AX3),"Stage Gate 5",IF(COUNTA(AI3:AM3),"Stage Gate 4", IF(COUNTA(X3:AB3),"Stage Gate 3",  IF(COUNTA(M3:Q3),"Stage Gate 2", "Stage Gate 1"))))</f>
        <v>Stage Gate 1</v>
      </c>
    </row>
    <row r="4" spans="1:78" x14ac:dyDescent="0.2">
      <c r="A4" s="325"/>
      <c r="B4" s="321"/>
      <c r="C4" s="321"/>
      <c r="D4" s="320"/>
      <c r="E4" s="320"/>
      <c r="F4" s="320"/>
      <c r="G4" s="266"/>
      <c r="H4" s="269"/>
      <c r="I4" s="348" t="str">
        <f t="shared" si="0"/>
        <v/>
      </c>
      <c r="J4" s="349"/>
      <c r="K4" s="346" t="str">
        <f t="shared" si="1"/>
        <v/>
      </c>
      <c r="L4" s="330" t="str">
        <f t="shared" ca="1" si="2"/>
        <v/>
      </c>
      <c r="M4" s="345"/>
      <c r="N4" s="343"/>
      <c r="O4" s="328"/>
      <c r="P4" s="344"/>
      <c r="Q4" s="343"/>
      <c r="R4" s="322"/>
      <c r="S4" s="322"/>
      <c r="T4" s="329" t="str">
        <f t="shared" ref="T4:T5" si="21">IFERROR(IF(1-(N4-M4)/(O4-M4)&gt;0.9,"G",IF(1-(N4-M4)/(O4-M4)&gt;0.85,"A","R")),"")</f>
        <v/>
      </c>
      <c r="U4" s="329" t="str">
        <f t="shared" ref="U4:U5" si="22">IF(P4="","",IF((O4-M4)/(P4-M4)&gt;0.9,"G",(IF((O4-M4)/(P4-M4)&gt;0.85,"A","R"))))</f>
        <v/>
      </c>
      <c r="V4" s="329" t="str">
        <f t="shared" ref="V4:V5" si="23">IF(Q4="","",IF((O4-M4)/(Q4-M4)&gt;0.9,"G",(IF((O4-M4)/(Q4-M4)&gt;0.85,"A","R"))))</f>
        <v/>
      </c>
      <c r="W4" s="330" t="str">
        <f t="shared" ref="W4:W5" si="24">IF(V4="",IF(U4="",T4,U4),V4)</f>
        <v/>
      </c>
      <c r="X4" s="327"/>
      <c r="Y4" s="343"/>
      <c r="Z4" s="328"/>
      <c r="AA4" s="343"/>
      <c r="AB4" s="343"/>
      <c r="AC4" s="328"/>
      <c r="AD4" s="328"/>
      <c r="AE4" s="329" t="str">
        <f t="shared" ref="AE4:AE5" si="25">IFERROR(IF(1-(Y4-X4)/(Z4-X4)&gt;0.9,"G",IF(1-(Y4-X4)/(Z4-X4)&gt;0.85,"A","R")),"")</f>
        <v/>
      </c>
      <c r="AF4" s="329" t="str">
        <f t="shared" ref="AF4:AF5" si="26">IF(AA4="","",IF((Z4-X4)/(AA4-X4)&gt;0.9,"G",(IF((Z4-X4)/(AA4-X4)&gt;0.85,"A","R"))))</f>
        <v/>
      </c>
      <c r="AG4" s="329" t="str">
        <f t="shared" ref="AG4:AG5" si="27">IF(AB4="","",IF((Z4-X4)/(AB4-X4)&gt;0.9,"G",(IF((Z4-X4)/(AB4-X4)&gt;0.85,"A","R"))))</f>
        <v/>
      </c>
      <c r="AH4" s="330" t="str">
        <f t="shared" ref="AH4:AH5" si="28">IF(AG4="",IF(AF4="",AE4,AF4),AG4)</f>
        <v/>
      </c>
      <c r="AI4" s="327"/>
      <c r="AJ4" s="343"/>
      <c r="AK4" s="328"/>
      <c r="AL4" s="343"/>
      <c r="AM4" s="343"/>
      <c r="AN4" s="328"/>
      <c r="AO4" s="328"/>
      <c r="AP4" s="329" t="str">
        <f t="shared" si="11"/>
        <v/>
      </c>
      <c r="AQ4" s="329" t="str">
        <f t="shared" si="12"/>
        <v/>
      </c>
      <c r="AR4" s="329" t="str">
        <f t="shared" si="13"/>
        <v/>
      </c>
      <c r="AS4" s="330" t="str">
        <f t="shared" si="14"/>
        <v/>
      </c>
      <c r="AT4" s="331"/>
      <c r="AU4" s="344"/>
      <c r="AV4" s="332"/>
      <c r="AW4" s="344"/>
      <c r="AX4" s="344"/>
      <c r="AY4" s="326" t="str">
        <f t="shared" ref="AY4:AY5" si="29">IF(AX4="","",DATE(YEAR(AX4),MONTH(AX4)+3,DAY(AX4)))</f>
        <v/>
      </c>
      <c r="AZ4" s="326"/>
      <c r="BA4" s="333" t="str">
        <f>IFERROR(IF(1-(AU4-AT4)/(AV4-AT4)&gt;0.9,"G",IF(1-(AU4-AT4)/(AV4-AT4)&gt;0.85,"A","R")),"")</f>
        <v/>
      </c>
      <c r="BB4" s="333" t="str">
        <f>IF(AW4="","",IF((AV4-AT4)/(AW4-AT4)&gt;0.9,"G",(IF((AV4-AT4)/(AW4-AT4)&gt;0.85,"A","R"))))</f>
        <v/>
      </c>
      <c r="BC4" s="333" t="str">
        <f>IF(AX4="","",IF((AV4-AT4)/(AX4-AT4)&gt;0.9,"G",(IF((AV4-AT4)/(AX4-AT4)&gt;0.85,"A","R"))))</f>
        <v/>
      </c>
      <c r="BD4" s="334" t="str">
        <f t="shared" si="16"/>
        <v/>
      </c>
      <c r="BE4" s="335"/>
      <c r="BF4" s="336"/>
      <c r="BG4" s="337"/>
      <c r="BH4" s="338"/>
      <c r="BI4" s="336"/>
      <c r="BJ4" s="339" t="e">
        <f t="shared" si="17"/>
        <v>#DIV/0!</v>
      </c>
      <c r="BK4" s="339" t="e">
        <f t="shared" si="18"/>
        <v>#DIV/0!</v>
      </c>
      <c r="BL4" s="340" t="str">
        <f t="shared" ref="BL4:BL5" si="30">IF(BE4="","",IF(AND(BJ4&lt;0.025,BK4&lt;0.025),"G",IF(OR(BJ4&gt;0.05,BK4&gt;0.05),"R",IF(AND(BJ4&gt;0.025,BK4&gt;0.025),"A","G"))))</f>
        <v/>
      </c>
      <c r="BM4" s="318"/>
      <c r="BN4" s="319"/>
      <c r="BO4" s="341" t="str">
        <f>IF(AND(BL4="",BD4="",AS4="",W4=""),"",IF(AND(BL4="G",BD4="G",AS4="G",W4="G"),"G",IF(OR(BL4="R",BD4="R",AS4="R",W4="R"),"R",VLOOKUP(CONCATENATE(W4,AS4,BD4,BL4),'Rag Coding'!A:B,2,FALSE))))</f>
        <v/>
      </c>
      <c r="BP4" s="323" t="e">
        <f>'Dashboard Page'!#REF!</f>
        <v>#REF!</v>
      </c>
      <c r="BQ4" s="324" t="str">
        <f ca="1">IF(M4="","",IF(V4&lt;&gt;"","Completed ",IF(AND(U4&lt;&gt;"",P4&gt;TODAY()),"Forecast Completion on "&amp;DAY(P4)&amp;"-"&amp;MONTH(P4)&amp;"-"&amp;YEAR(P4)&amp;CHAR(10)&amp;IF(P4-O4&gt;0,(P4-O4)&amp;" day(s) late",(IF(P4-O4=0,"on time",(O4-P4)&amp;" day(s) early"))),IF(P4&lt;TODAY(),"Forecast Completion in the past, please update","Baseline Complete"))))</f>
        <v/>
      </c>
      <c r="BR4" s="324" t="str">
        <f ca="1">IF(BQ4="Completed ",IF(Q4-O4&gt;0,Q4-O4&amp;" day(s) late",(IF(Q4-O4=0,"on time",O4-Q4&amp;" day(s) early"))),"")</f>
        <v/>
      </c>
      <c r="BS4" s="324" t="str">
        <f ca="1">IF(X4="","",IF(AG4&lt;&gt;"","Completed ",IF(AND(AF4&lt;&gt;"",AA4&gt;TODAY()),"Forecast Completion on "&amp;DAY(AA4)&amp;"-"&amp;MONTH(AA4)&amp;"-"&amp;YEAR(AA4)&amp;CHAR(10)&amp;IF(AA4-Z4&gt;0,(AA4-Z4)&amp;" day(s) late",(IF(AA4-Z4=0,"on time",(Z4-AA4)&amp;" day(s) early"))),IF(AA4&lt;TODAY(),"Forecast Completion in the past, please update","Baseline Complete"))))</f>
        <v/>
      </c>
      <c r="BT4" s="324" t="str">
        <f ca="1">IF(BS4="Completed ",IF(AB4-Z4&gt;0,AB4-Z4&amp;" day(s) late",(IF(AB4-Z4=0,"on time",Z4-AB4&amp;" day(s) early"))),"")</f>
        <v/>
      </c>
      <c r="BU4" s="324" t="str">
        <f ca="1">IF(AI4="","",IF(AR4&lt;&gt;"","Completed ",IF(AND(AQ4&lt;&gt;"",AL4&gt;TODAY()),"Forecast Completion on "&amp;DAY(AL4)&amp;"-"&amp;MONTH(AL4)&amp;"-"&amp;YEAR(AL4)&amp;CHAR(10)&amp;IF(AL4-AK4&gt;0,(AL4-AK4)&amp;" day(s) late",(IF(AL4-AK4=0,"on time",(AK4-AL4)&amp;" day(s) early"))),IF(AL4&lt;TODAY(),"Forecast Completion in the past, please update","Baseline Complete"))))</f>
        <v/>
      </c>
      <c r="BV4" s="324" t="str">
        <f ca="1">IF(BU4="Completed ",IF(AM4-AK4&gt;0,AM4-AK4&amp;" day(s) late",(IF(AM4-AK4=0,"on time",AK4-AM4&amp;" day(s) early"))),"")</f>
        <v/>
      </c>
      <c r="BW4" s="324" t="str">
        <f ca="1">IF(AT4="","",IF(BC4&lt;&gt;"","Completed ",IF(AND(BB4&lt;&gt;"",AW4&gt;TODAY()),"Forecast Completion on "&amp;DAY(AW4)&amp;"-"&amp;MONTH(AW4)&amp;"-"&amp;YEAR(AW4)&amp;CHAR(10)&amp;IF(AW4-AV4&gt;0,(AW4-AV4)&amp;" day(s) late",(IF(AW4-AV4=0,"on time",(AV4-AW4)&amp;" day(s) early"))),IF(AW4&lt;TODAY(),"Forecast Completion in the past, please update","Baseline Complete"))))</f>
        <v/>
      </c>
      <c r="BX4" s="324" t="str">
        <f ca="1">IF(BW4="Completed ",IF(AX4-AV4&gt;0,AX4-AV4&amp;" day(s) late",(IF(AX4-AV4=0,"on time",AV4-AX4&amp;" day(s) early"))),"")</f>
        <v/>
      </c>
      <c r="BY4" s="324" t="str">
        <f t="shared" ref="BY4:BY5" ca="1" si="31">IF(BW4="Completed ",IF(BF4-BE4&gt;0,"Over budget by £"&amp;(BF4-BE4),"Under budget by £"&amp;BE4-BF4),IF(BF4="","","Current Forecast Spend £"&amp;BF4))</f>
        <v/>
      </c>
      <c r="BZ4" s="324" t="str">
        <f>IF(COUNTA(AT4:AX4),"Stage Gate 5",IF(COUNTA(AI4:AM4),"Stage Gate 4", IF(COUNTA(X4:AB4),"Stage Gate 3",  IF(COUNTA(M4:Q4),"Stage Gate 2", "Stage Gate 1"))))</f>
        <v>Stage Gate 1</v>
      </c>
    </row>
    <row r="5" spans="1:78" x14ac:dyDescent="0.2">
      <c r="A5" s="325"/>
      <c r="B5" s="321"/>
      <c r="C5" s="321"/>
      <c r="D5" s="320"/>
      <c r="E5" s="320"/>
      <c r="F5" s="320"/>
      <c r="G5" s="266"/>
      <c r="H5" s="269"/>
      <c r="I5" s="348" t="str">
        <f t="shared" si="0"/>
        <v/>
      </c>
      <c r="J5" s="349"/>
      <c r="K5" s="346" t="str">
        <f t="shared" si="1"/>
        <v/>
      </c>
      <c r="L5" s="330" t="str">
        <f t="shared" ca="1" si="2"/>
        <v/>
      </c>
      <c r="M5" s="345"/>
      <c r="N5" s="343"/>
      <c r="O5" s="328"/>
      <c r="P5" s="344"/>
      <c r="Q5" s="343"/>
      <c r="R5" s="322"/>
      <c r="S5" s="322"/>
      <c r="T5" s="329" t="str">
        <f t="shared" si="21"/>
        <v/>
      </c>
      <c r="U5" s="329" t="str">
        <f t="shared" si="22"/>
        <v/>
      </c>
      <c r="V5" s="329" t="str">
        <f t="shared" si="23"/>
        <v/>
      </c>
      <c r="W5" s="330" t="str">
        <f t="shared" si="24"/>
        <v/>
      </c>
      <c r="X5" s="327"/>
      <c r="Y5" s="343"/>
      <c r="Z5" s="328"/>
      <c r="AA5" s="343"/>
      <c r="AB5" s="343"/>
      <c r="AC5" s="328"/>
      <c r="AD5" s="328"/>
      <c r="AE5" s="329" t="str">
        <f t="shared" si="25"/>
        <v/>
      </c>
      <c r="AF5" s="329" t="str">
        <f t="shared" si="26"/>
        <v/>
      </c>
      <c r="AG5" s="329" t="str">
        <f t="shared" si="27"/>
        <v/>
      </c>
      <c r="AH5" s="330" t="str">
        <f t="shared" si="28"/>
        <v/>
      </c>
      <c r="AI5" s="327"/>
      <c r="AJ5" s="343"/>
      <c r="AK5" s="328"/>
      <c r="AL5" s="343"/>
      <c r="AM5" s="343"/>
      <c r="AN5" s="328"/>
      <c r="AO5" s="328"/>
      <c r="AP5" s="329" t="str">
        <f t="shared" si="11"/>
        <v/>
      </c>
      <c r="AQ5" s="329" t="str">
        <f t="shared" si="12"/>
        <v/>
      </c>
      <c r="AR5" s="329" t="str">
        <f t="shared" si="13"/>
        <v/>
      </c>
      <c r="AS5" s="330" t="str">
        <f t="shared" si="14"/>
        <v/>
      </c>
      <c r="AT5" s="331"/>
      <c r="AU5" s="344"/>
      <c r="AV5" s="332"/>
      <c r="AW5" s="344"/>
      <c r="AX5" s="344"/>
      <c r="AY5" s="326" t="str">
        <f t="shared" si="29"/>
        <v/>
      </c>
      <c r="AZ5" s="326"/>
      <c r="BA5" s="333" t="str">
        <f>IFERROR(IF(1-(AU5-AT5)/(AV5-AT5)&gt;0.9,"G",IF(1-(AU5-AT5)/(AV5-AT5)&gt;0.85,"A","R")),"")</f>
        <v/>
      </c>
      <c r="BB5" s="333" t="str">
        <f>IF(AW5="","",IF((AV5-AT5)/(AW5-AT5)&gt;0.9,"G",(IF((AV5-AT5)/(AW5-AT5)&gt;0.85,"A","R"))))</f>
        <v/>
      </c>
      <c r="BC5" s="333" t="str">
        <f>IF(AX5="","",IF((AV5-AT5)/(AX5-AT5)&gt;0.9,"G",(IF((AV5-AT5)/(AX5-AT5)&gt;0.85,"A","R"))))</f>
        <v/>
      </c>
      <c r="BD5" s="334" t="str">
        <f t="shared" si="16"/>
        <v/>
      </c>
      <c r="BE5" s="335"/>
      <c r="BF5" s="336"/>
      <c r="BG5" s="337"/>
      <c r="BH5" s="338"/>
      <c r="BI5" s="336"/>
      <c r="BJ5" s="339" t="e">
        <f t="shared" si="17"/>
        <v>#DIV/0!</v>
      </c>
      <c r="BK5" s="339" t="e">
        <f t="shared" si="18"/>
        <v>#DIV/0!</v>
      </c>
      <c r="BL5" s="340" t="str">
        <f t="shared" si="30"/>
        <v/>
      </c>
      <c r="BM5" s="318"/>
      <c r="BN5" s="319"/>
      <c r="BO5" s="341" t="str">
        <f>IF(AND(BL5="",BD5="",AS5="",W5=""),"",IF(AND(BL5="G",BD5="G",AS5="G",W5="G"),"G",IF(OR(BL5="R",BD5="R",AS5="R",W5="R"),"R",VLOOKUP(CONCATENATE(W5,AS5,BD5,BL5),'Rag Coding'!A:B,2,FALSE))))</f>
        <v/>
      </c>
      <c r="BP5" s="323" t="e">
        <f>'Dashboard Page'!#REF!</f>
        <v>#REF!</v>
      </c>
      <c r="BQ5" s="324" t="str">
        <f ca="1">IF(M5="","",IF(V5&lt;&gt;"","Completed ",IF(AND(U5&lt;&gt;"",P5&gt;TODAY()),"Forecast Completion on "&amp;DAY(P5)&amp;"-"&amp;MONTH(P5)&amp;"-"&amp;YEAR(P5)&amp;CHAR(10)&amp;IF(P5-O5&gt;0,(P5-O5)&amp;" day(s) late",(IF(P5-O5=0,"on time",(O5-P5)&amp;" day(s) early"))),IF(P5&lt;TODAY(),"Forecast Completion in the past, please update","Baseline Complete"))))</f>
        <v/>
      </c>
      <c r="BR5" s="324" t="str">
        <f ca="1">IF(BQ5="Completed ",IF(Q5-O5&gt;0,Q5-O5&amp;" day(s) late",(IF(Q5-O5=0,"on time",O5-Q5&amp;" day(s) early"))),"")</f>
        <v/>
      </c>
      <c r="BS5" s="324" t="str">
        <f ca="1">IF(X5="","",IF(AG5&lt;&gt;"","Completed ",IF(AND(AF5&lt;&gt;"",AA5&gt;TODAY()),"Forecast Completion on "&amp;DAY(AA5)&amp;"-"&amp;MONTH(AA5)&amp;"-"&amp;YEAR(AA5)&amp;CHAR(10)&amp;IF(AA5-Z5&gt;0,(AA5-Z5)&amp;" day(s) late",(IF(AA5-Z5=0,"on time",(Z5-AA5)&amp;" day(s) early"))),IF(AA5&lt;TODAY(),"Forecast Completion in the past, please update","Baseline Complete"))))</f>
        <v/>
      </c>
      <c r="BT5" s="324" t="str">
        <f ca="1">IF(BS5="Completed ",IF(AB5-Z5&gt;0,AB5-Z5&amp;" day(s) late",(IF(AB5-Z5=0,"on time",Z5-AB5&amp;" day(s) early"))),"")</f>
        <v/>
      </c>
      <c r="BU5" s="324" t="str">
        <f ca="1">IF(AI5="","",IF(AR5&lt;&gt;"","Completed ",IF(AND(AQ5&lt;&gt;"",AL5&gt;TODAY()),"Forecast Completion on "&amp;DAY(AL5)&amp;"-"&amp;MONTH(AL5)&amp;"-"&amp;YEAR(AL5)&amp;CHAR(10)&amp;IF(AL5-AK5&gt;0,(AL5-AK5)&amp;" day(s) late",(IF(AL5-AK5=0,"on time",(AK5-AL5)&amp;" day(s) early"))),IF(AL5&lt;TODAY(),"Forecast Completion in the past, please update","Baseline Complete"))))</f>
        <v/>
      </c>
      <c r="BV5" s="324" t="str">
        <f ca="1">IF(BU5="Completed ",IF(AM5-AK5&gt;0,AM5-AK5&amp;" day(s) late",(IF(AM5-AK5=0,"on time",AK5-AM5&amp;" day(s) early"))),"")</f>
        <v/>
      </c>
      <c r="BW5" s="324" t="str">
        <f ca="1">IF(AT5="","",IF(BC5&lt;&gt;"","Completed ",IF(AND(BB5&lt;&gt;"",AW5&gt;TODAY()),"Forecast Completion on "&amp;DAY(AW5)&amp;"-"&amp;MONTH(AW5)&amp;"-"&amp;YEAR(AW5)&amp;CHAR(10)&amp;IF(AW5-AV5&gt;0,(AW5-AV5)&amp;" day(s) late",(IF(AW5-AV5=0,"on time",(AV5-AW5)&amp;" day(s) early"))),IF(AW5&lt;TODAY(),"Forecast Completion in the past, please update","Baseline Complete"))))</f>
        <v/>
      </c>
      <c r="BX5" s="324" t="str">
        <f ca="1">IF(BW5="Completed ",IF(AX5-AV5&gt;0,AX5-AV5&amp;" day(s) late",(IF(AX5-AV5=0,"on time",AV5-AX5&amp;" day(s) early"))),"")</f>
        <v/>
      </c>
      <c r="BY5" s="324" t="str">
        <f t="shared" ca="1" si="31"/>
        <v/>
      </c>
      <c r="BZ5" s="324" t="str">
        <f>IF(COUNTA(AT5:AX5),"Stage Gate 5",IF(COUNTA(AI5:AM5),"Stage Gate 4", IF(COUNTA(X5:AB5),"Stage Gate 3",  IF(COUNTA(M5:Q5),"Stage Gate 2", "Stage Gate 1"))))</f>
        <v>Stage Gate 1</v>
      </c>
    </row>
    <row r="6" spans="1:78" x14ac:dyDescent="0.2">
      <c r="A6" s="224"/>
      <c r="B6" s="21"/>
      <c r="C6" s="21"/>
      <c r="D6" s="20"/>
      <c r="E6" s="20"/>
      <c r="F6" s="100"/>
      <c r="G6" s="100"/>
      <c r="H6" s="227"/>
      <c r="I6" s="225" t="str">
        <f t="shared" si="0"/>
        <v/>
      </c>
      <c r="J6" s="226"/>
      <c r="K6" s="162" t="str">
        <f t="shared" si="1"/>
        <v/>
      </c>
      <c r="L6" s="54" t="str">
        <f t="shared" ca="1" si="2"/>
        <v/>
      </c>
      <c r="M6" s="148"/>
      <c r="N6" s="120"/>
      <c r="O6" s="52"/>
      <c r="P6" s="121"/>
      <c r="Q6" s="120"/>
      <c r="R6" s="28"/>
      <c r="S6" s="28"/>
      <c r="T6" s="53" t="str">
        <f t="shared" ref="T6:T40" si="32">IFERROR(IF(1-(N6-M6)/(O6-M6)&gt;0.9,"G",IF(1-(N6-M6)/(O6-M6)&gt;0.85,"A","R")),"")</f>
        <v/>
      </c>
      <c r="U6" s="53" t="str">
        <f t="shared" ref="U6:U40" si="33">IF(P6="","",IF((O6-M6)/(P6-M6)&gt;0.9,"G",(IF((O6-M6)/(P6-M6)&gt;0.85,"A","R"))))</f>
        <v/>
      </c>
      <c r="V6" s="53" t="str">
        <f t="shared" ref="V6:V40" si="34">IF(Q6="","",IF((O6-M6)/(Q6-M6)&gt;0.9,"G",(IF((O6-M6)/(Q6-M6)&gt;0.85,"A","R"))))</f>
        <v/>
      </c>
      <c r="W6" s="54" t="str">
        <f>IF(M6="N/A","B",IF(V6="",IF(U6="",T6,U6),V6))</f>
        <v/>
      </c>
      <c r="X6" s="51"/>
      <c r="Y6" s="120"/>
      <c r="Z6" s="52"/>
      <c r="AA6" s="120"/>
      <c r="AB6" s="120"/>
      <c r="AC6" s="52"/>
      <c r="AD6" s="52"/>
      <c r="AE6" s="53" t="str">
        <f t="shared" ref="AE6:AE40" si="35">IFERROR(IF(1-(Y6-X6)/(Z6-X6)&gt;0.9,"G",IF(1-(Y6-X6)/(Z6-X6)&gt;0.85,"A","R")),"")</f>
        <v/>
      </c>
      <c r="AF6" s="53" t="str">
        <f t="shared" ref="AF6:AF40" si="36">IF(AA6="","",IF((Z6-X6)/(AA6-X6)&gt;0.9,"G",(IF((Z6-X6)/(AA6-X6)&gt;0.85,"A","R"))))</f>
        <v/>
      </c>
      <c r="AG6" s="53" t="str">
        <f t="shared" ref="AG6:AG40" si="37">IF(AB6="","",IF((Z6-X6)/(AB6-X6)&gt;0.9,"G",(IF((Z6-X6)/(AB6-X6)&gt;0.85,"A","R"))))</f>
        <v/>
      </c>
      <c r="AH6" s="54" t="str">
        <f t="shared" ref="AH6:AH40" si="38">IF(AG6="",IF(AF6="",AE6,AF6),AG6)</f>
        <v/>
      </c>
      <c r="AI6" s="51"/>
      <c r="AJ6" s="120"/>
      <c r="AK6" s="52"/>
      <c r="AL6" s="120"/>
      <c r="AM6" s="120"/>
      <c r="AN6" s="52"/>
      <c r="AO6" s="52"/>
      <c r="AP6" s="53" t="str">
        <f t="shared" si="11"/>
        <v/>
      </c>
      <c r="AQ6" s="53" t="str">
        <f t="shared" si="12"/>
        <v/>
      </c>
      <c r="AR6" s="53" t="str">
        <f t="shared" si="13"/>
        <v/>
      </c>
      <c r="AS6" s="54" t="str">
        <f t="shared" si="14"/>
        <v/>
      </c>
      <c r="AT6" s="55"/>
      <c r="AU6" s="121"/>
      <c r="AV6" s="56"/>
      <c r="AW6" s="121"/>
      <c r="AX6" s="121"/>
      <c r="AY6" s="45" t="str">
        <f t="shared" ref="AY6:AY40" si="39">IF(AX6="","",DATE(YEAR(AX6),MONTH(AX6)+3,DAY(AX6)))</f>
        <v/>
      </c>
      <c r="AZ6" s="45"/>
      <c r="BA6" s="57" t="str">
        <f>IFERROR(IF(1-(AU6-AT6)/(AV6-AT6)&gt;0.9,"G",IF(1-(AU6-AT6)/(AV6-AT6)&gt;0.85,"A","R")),"")</f>
        <v/>
      </c>
      <c r="BB6" s="57" t="str">
        <f>IF(AW6="","",IF((AV6-AT6)/(AW6-AT6)&gt;0.9,"G",(IF((AV6-AT6)/(AW6-AT6)&gt;0.85,"A","R"))))</f>
        <v/>
      </c>
      <c r="BC6" s="57" t="str">
        <f>IF(AX6="","",IF((AV6-AT6)/(AX6-AT6)&gt;0.9,"G",(IF((AV6-AT6)/(AX6-AT6)&gt;0.85,"A","R"))))</f>
        <v/>
      </c>
      <c r="BD6" s="58" t="str">
        <f t="shared" si="16"/>
        <v/>
      </c>
      <c r="BE6" s="335"/>
      <c r="BF6" s="336"/>
      <c r="BG6" s="337"/>
      <c r="BH6" s="62"/>
      <c r="BI6" s="60"/>
      <c r="BJ6" s="63" t="e">
        <f t="shared" si="17"/>
        <v>#DIV/0!</v>
      </c>
      <c r="BK6" s="63" t="e">
        <f t="shared" si="18"/>
        <v>#DIV/0!</v>
      </c>
      <c r="BL6" s="64" t="str">
        <f t="shared" ref="BL6:BL40" si="40">IF(BE6="","",IF(AND(BJ6&lt;0.025,BK6&lt;0.025),"G",IF(OR(BJ6&gt;0.05,BK6&gt;0.05),"R",IF(AND(BJ6&gt;0.025,BK6&gt;0.025),"A","G"))))</f>
        <v/>
      </c>
      <c r="BM6" s="130"/>
      <c r="BN6" s="129"/>
      <c r="BO6" s="65" t="str">
        <f>IF(AND(BL6="",BD6="",AS6="",W6=""),"",IF(AND(BL6="G",BD6="G",AS6="G",W6="G"),"G",IF(OR(BL6="R",BD6="R",AS6="R",W6="R"),"R",VLOOKUP(CONCATENATE(W6,AS6,BD6,BL6),'Rag Coding'!A:B,2,FALSE))))</f>
        <v/>
      </c>
      <c r="BP6" s="37">
        <f>'Dashboard Page'!N7</f>
        <v>0</v>
      </c>
      <c r="BQ6" s="39" t="str">
        <f ca="1">IF(M6="","",IF(V6&lt;&gt;"","Completed ",IF(AND(U6&lt;&gt;"",P6&gt;TODAY()),"Forecast Completion on "&amp;DAY(P6)&amp;"-"&amp;MONTH(P6)&amp;"-"&amp;YEAR(P6)&amp;CHAR(10)&amp;IF(P6-O6&gt;0,(P6-O6)&amp;" day(s) late",(IF(P6-O6=0,"on time",(O6-P6)&amp;" day(s) early"))),IF(P6&lt;TODAY(),"Forecast Completion in the past, please update","Baseline Complete"))))</f>
        <v/>
      </c>
      <c r="BR6" s="39" t="str">
        <f ca="1">IF(BQ6="Completed ",IF(Q6-O6&gt;0,Q6-O6&amp;" day(s) late",(IF(Q6-O6=0,"on time",O6-Q6&amp;" day(s) early"))),"")</f>
        <v/>
      </c>
      <c r="BS6" s="39" t="str">
        <f ca="1">IF(X6="","",IF(AG6&lt;&gt;"","Completed ",IF(AND(AF6&lt;&gt;"",AA6&gt;TODAY()),"Forecast Completion on "&amp;DAY(AA6)&amp;"-"&amp;MONTH(AA6)&amp;"-"&amp;YEAR(AA6)&amp;CHAR(10)&amp;IF(AA6-Z6&gt;0,(AA6-Z6)&amp;" day(s) late",(IF(AA6-Z6=0,"on time",(Z6-AA6)&amp;" day(s) early"))),IF(AA6&lt;TODAY(),"Forecast Completion in the past, please update","Baseline Complete"))))</f>
        <v/>
      </c>
      <c r="BT6" s="39" t="str">
        <f ca="1">IF(BS6="Completed ",IF(AB6-Z6&gt;0,AB6-Z6&amp;" day(s) late",(IF(AB6-Z6=0,"on time",Z6-AB6&amp;" day(s) early"))),"")</f>
        <v/>
      </c>
      <c r="BU6" s="39" t="str">
        <f ca="1">IF(AI6="","",IF(AR6&lt;&gt;"","Completed ",IF(AND(AQ6&lt;&gt;"",AL6&gt;TODAY()),"Forecast Completion on "&amp;DAY(AL6)&amp;"-"&amp;MONTH(AL6)&amp;"-"&amp;YEAR(AL6)&amp;CHAR(10)&amp;IF(AL6-AK6&gt;0,(AL6-AK6)&amp;" day(s) late",(IF(AL6-AK6=0,"on time",(AK6-AL6)&amp;" day(s) early"))),IF(AL6&lt;TODAY(),"Forecast Completion in the past, please update","Baseline Complete"))))</f>
        <v/>
      </c>
      <c r="BV6" s="39" t="str">
        <f ca="1">IF(BU6="Completed ",IF(AM6-AK6&gt;0,AM6-AK6&amp;" day(s) late",(IF(AM6-AK6=0,"on time",AK6-AM6&amp;" day(s) early"))),"")</f>
        <v/>
      </c>
      <c r="BW6" s="39" t="str">
        <f ca="1">IF(AT6="","",IF(BC6&lt;&gt;"","Completed ",IF(AND(BB6&lt;&gt;"",AW6&gt;TODAY()),"Forecast Completion on "&amp;DAY(AW6)&amp;"-"&amp;MONTH(AW6)&amp;"-"&amp;YEAR(AW6)&amp;CHAR(10)&amp;IF(AW6-AV6&gt;0,(AW6-AV6)&amp;" day(s) late",(IF(AW6-AV6=0,"on time",(AV6-AW6)&amp;" day(s) early"))),IF(AW6&lt;TODAY(),"Forecast Completion in the past, please update","Baseline Complete"))))</f>
        <v/>
      </c>
      <c r="BX6" s="39" t="str">
        <f ca="1">IF(BW6="Completed ",IF(AX6-AV6&gt;0,AX6-AV6&amp;" day(s) late",(IF(AX6-AV6=0,"on time",AV6-AX6&amp;" day(s) early"))),"")</f>
        <v/>
      </c>
      <c r="BY6" s="39" t="str">
        <f t="shared" ref="BY6:BY40" ca="1" si="41">IF(BW6="Completed ",IF(BF6-BE6&gt;0,"Over budget by £"&amp;(BF6-BE6),"Under budget by £"&amp;BE6-BF6),IF(BF6="","","Current Forecast Spend £"&amp;BF6))</f>
        <v/>
      </c>
      <c r="BZ6" s="39" t="str">
        <f>IF(COUNTA(AT6:AX6),"Stage Gate 5",IF(COUNTA(AI6:AM6),"Stage Gate 4", IF(COUNTA(X6:AB6),"Stage Gate 3",  IF(COUNTA(M6:Q6),"Stage Gate 2", "Stage Gate 1"))))</f>
        <v>Stage Gate 1</v>
      </c>
    </row>
    <row r="7" spans="1:78" x14ac:dyDescent="0.2">
      <c r="A7" s="224"/>
      <c r="B7" s="21"/>
      <c r="C7" s="21"/>
      <c r="D7" s="20"/>
      <c r="E7" s="20"/>
      <c r="F7" s="100"/>
      <c r="G7" s="100"/>
      <c r="H7" s="227"/>
      <c r="I7" s="225" t="str">
        <f t="shared" si="0"/>
        <v/>
      </c>
      <c r="J7" s="226"/>
      <c r="K7" s="162" t="str">
        <f t="shared" si="1"/>
        <v/>
      </c>
      <c r="L7" s="54" t="str">
        <f t="shared" ca="1" si="2"/>
        <v/>
      </c>
      <c r="M7" s="148"/>
      <c r="N7" s="120"/>
      <c r="O7" s="52"/>
      <c r="P7" s="121"/>
      <c r="Q7" s="120"/>
      <c r="R7" s="28"/>
      <c r="S7" s="28"/>
      <c r="T7" s="53" t="str">
        <f t="shared" si="32"/>
        <v/>
      </c>
      <c r="U7" s="53" t="str">
        <f t="shared" si="33"/>
        <v/>
      </c>
      <c r="V7" s="53" t="str">
        <f t="shared" si="34"/>
        <v/>
      </c>
      <c r="W7" s="54" t="str">
        <f>IF(M7="N/A","B",IF(V7="",IF(U7="",T7,U7),V7))</f>
        <v/>
      </c>
      <c r="X7" s="51"/>
      <c r="Y7" s="120"/>
      <c r="Z7" s="52"/>
      <c r="AA7" s="120"/>
      <c r="AB7" s="120"/>
      <c r="AC7" s="52"/>
      <c r="AD7" s="52"/>
      <c r="AE7" s="53" t="str">
        <f t="shared" si="35"/>
        <v/>
      </c>
      <c r="AF7" s="53" t="str">
        <f t="shared" si="36"/>
        <v/>
      </c>
      <c r="AG7" s="53" t="str">
        <f t="shared" si="37"/>
        <v/>
      </c>
      <c r="AH7" s="54" t="str">
        <f t="shared" si="38"/>
        <v/>
      </c>
      <c r="AI7" s="51"/>
      <c r="AJ7" s="120"/>
      <c r="AK7" s="52"/>
      <c r="AL7" s="120"/>
      <c r="AM7" s="120"/>
      <c r="AN7" s="52"/>
      <c r="AO7" s="52"/>
      <c r="AP7" s="53" t="str">
        <f t="shared" si="11"/>
        <v/>
      </c>
      <c r="AQ7" s="53" t="str">
        <f t="shared" si="12"/>
        <v/>
      </c>
      <c r="AR7" s="53" t="str">
        <f t="shared" si="13"/>
        <v/>
      </c>
      <c r="AS7" s="54" t="str">
        <f t="shared" si="14"/>
        <v/>
      </c>
      <c r="AT7" s="55"/>
      <c r="AU7" s="121"/>
      <c r="AV7" s="56"/>
      <c r="AW7" s="121"/>
      <c r="AX7" s="121"/>
      <c r="AY7" s="45" t="str">
        <f t="shared" si="39"/>
        <v/>
      </c>
      <c r="AZ7" s="45"/>
      <c r="BA7" s="57" t="str">
        <f>IFERROR(IF(1-(AU7-AT7)/(AV7-AT7)&gt;0.9,"G",IF(1-(AU7-AT7)/(AV7-AT7)&gt;0.85,"A","R")),"")</f>
        <v/>
      </c>
      <c r="BB7" s="57" t="str">
        <f>IF(AW7="","",IF((AV7-AT7)/(AW7-AT7)&gt;0.9,"G",(IF((AV7-AT7)/(AW7-AT7)&gt;0.85,"A","R"))))</f>
        <v/>
      </c>
      <c r="BC7" s="57" t="str">
        <f>IF(AX7="","",IF((AV7-AT7)/(AX7-AT7)&gt;0.9,"G",(IF((AV7-AT7)/(AX7-AT7)&gt;0.85,"A","R"))))</f>
        <v/>
      </c>
      <c r="BD7" s="58" t="str">
        <f t="shared" si="16"/>
        <v/>
      </c>
      <c r="BE7" s="335"/>
      <c r="BF7" s="336"/>
      <c r="BG7" s="337"/>
      <c r="BH7" s="62"/>
      <c r="BI7" s="60"/>
      <c r="BJ7" s="63" t="e">
        <f t="shared" si="17"/>
        <v>#DIV/0!</v>
      </c>
      <c r="BK7" s="63" t="e">
        <f t="shared" si="18"/>
        <v>#DIV/0!</v>
      </c>
      <c r="BL7" s="64" t="str">
        <f t="shared" si="40"/>
        <v/>
      </c>
      <c r="BM7" s="130"/>
      <c r="BN7" s="129"/>
      <c r="BO7" s="65" t="str">
        <f>IF(AND(BL7="",BD7="",AS7="",W7=""),"",IF(AND(BL7="G",BD7="G",AS7="G",W7="G"),"G",IF(OR(BL7="R",BD7="R",AS7="R",W7="R"),"R",VLOOKUP(CONCATENATE(W7,AS7,BD7,BL7),'Rag Coding'!A:B,2,FALSE))))</f>
        <v/>
      </c>
      <c r="BP7" s="37">
        <f>'Dashboard Page'!N8</f>
        <v>0</v>
      </c>
      <c r="BQ7" s="39" t="str">
        <f ca="1">IF(M7="","",IF(V7&lt;&gt;"","Completed ",IF(AND(U7&lt;&gt;"",P7&gt;TODAY()),"Forecast Completion on "&amp;DAY(P7)&amp;"-"&amp;MONTH(P7)&amp;"-"&amp;YEAR(P7)&amp;CHAR(10)&amp;IF(P7-O7&gt;0,(P7-O7)&amp;" day(s) late",(IF(P7-O7=0,"on time",(O7-P7)&amp;" day(s) early"))),IF(P7&lt;TODAY(),"Forecast Completion in the past, please update","Baseline Complete"))))</f>
        <v/>
      </c>
      <c r="BR7" s="39" t="str">
        <f ca="1">IF(BQ7="Completed ",IF(Q7-O7&gt;0,Q7-O7&amp;" day(s) late",(IF(Q7-O7=0,"on time",O7-Q7&amp;" day(s) early"))),"")</f>
        <v/>
      </c>
      <c r="BS7" s="39" t="str">
        <f ca="1">IF(X7="","",IF(AG7&lt;&gt;"","Completed ",IF(AND(AF7&lt;&gt;"",AA7&gt;TODAY()),"Forecast Completion on "&amp;DAY(AA7)&amp;"-"&amp;MONTH(AA7)&amp;"-"&amp;YEAR(AA7)&amp;CHAR(10)&amp;IF(AA7-Z7&gt;0,(AA7-Z7)&amp;" day(s) late",(IF(AA7-Z7=0,"on time",(Z7-AA7)&amp;" day(s) early"))),IF(AA7&lt;TODAY(),"Forecast Completion in the past, please update","Baseline Complete"))))</f>
        <v/>
      </c>
      <c r="BT7" s="39" t="str">
        <f ca="1">IF(BS7="Completed ",IF(AB7-Z7&gt;0,AB7-Z7&amp;" day(s) late",(IF(AB7-Z7=0,"on time",Z7-AB7&amp;" day(s) early"))),"")</f>
        <v/>
      </c>
      <c r="BU7" s="39" t="str">
        <f ca="1">IF(AI7="","",IF(AR7&lt;&gt;"","Completed ",IF(AND(AQ7&lt;&gt;"",AL7&gt;TODAY()),"Forecast Completion on "&amp;DAY(AL7)&amp;"-"&amp;MONTH(AL7)&amp;"-"&amp;YEAR(AL7)&amp;CHAR(10)&amp;IF(AL7-AK7&gt;0,(AL7-AK7)&amp;" day(s) late",(IF(AL7-AK7=0,"on time",(AK7-AL7)&amp;" day(s) early"))),IF(AL7&lt;TODAY(),"Forecast Completion in the past, please update","Baseline Complete"))))</f>
        <v/>
      </c>
      <c r="BV7" s="39" t="str">
        <f ca="1">IF(BU7="Completed ",IF(AM7-AK7&gt;0,AM7-AK7&amp;" day(s) late",(IF(AM7-AK7=0,"on time",AK7-AM7&amp;" day(s) early"))),"")</f>
        <v/>
      </c>
      <c r="BW7" s="39" t="str">
        <f ca="1">IF(AT7="","",IF(BC7&lt;&gt;"","Completed ",IF(AND(BB7&lt;&gt;"",AW7&gt;TODAY()),"Forecast Completion on "&amp;DAY(AW7)&amp;"-"&amp;MONTH(AW7)&amp;"-"&amp;YEAR(AW7)&amp;CHAR(10)&amp;IF(AW7-AV7&gt;0,(AW7-AV7)&amp;" day(s) late",(IF(AW7-AV7=0,"on time",(AV7-AW7)&amp;" day(s) early"))),IF(AW7&lt;TODAY(),"Forecast Completion in the past, please update","Baseline Complete"))))</f>
        <v/>
      </c>
      <c r="BX7" s="39" t="str">
        <f ca="1">IF(BW7="Completed ",IF(AX7-AV7&gt;0,AX7-AV7&amp;" day(s) late",(IF(AX7-AV7=0,"on time",AV7-AX7&amp;" day(s) early"))),"")</f>
        <v/>
      </c>
      <c r="BY7" s="39" t="str">
        <f t="shared" ca="1" si="41"/>
        <v/>
      </c>
      <c r="BZ7" s="39" t="str">
        <f>IF(COUNTA(AT7:AX7),"Stage Gate 5",IF(COUNTA(AI7:AM7),"Stage Gate 4", IF(COUNTA(X7:AB7),"Stage Gate 3",  IF(COUNTA(M7:Q7),"Stage Gate 2", "Stage Gate 1"))))</f>
        <v>Stage Gate 1</v>
      </c>
    </row>
    <row r="8" spans="1:78" x14ac:dyDescent="0.2">
      <c r="A8" s="224"/>
      <c r="B8" s="21"/>
      <c r="C8" s="21"/>
      <c r="D8" s="20"/>
      <c r="E8" s="20"/>
      <c r="F8" s="100"/>
      <c r="G8" s="100"/>
      <c r="H8" s="227"/>
      <c r="I8" s="225" t="str">
        <f t="shared" si="0"/>
        <v/>
      </c>
      <c r="J8" s="226"/>
      <c r="K8" s="162" t="str">
        <f t="shared" si="1"/>
        <v/>
      </c>
      <c r="L8" s="54" t="str">
        <f t="shared" ca="1" si="2"/>
        <v/>
      </c>
      <c r="M8" s="148"/>
      <c r="N8" s="120"/>
      <c r="O8" s="52"/>
      <c r="P8" s="121"/>
      <c r="Q8" s="120"/>
      <c r="R8" s="28"/>
      <c r="S8" s="28"/>
      <c r="T8" s="53" t="str">
        <f t="shared" si="32"/>
        <v/>
      </c>
      <c r="U8" s="53" t="str">
        <f t="shared" si="33"/>
        <v/>
      </c>
      <c r="V8" s="53" t="str">
        <f t="shared" si="34"/>
        <v/>
      </c>
      <c r="W8" s="54" t="str">
        <f t="shared" ref="W8:W40" si="42">IF(V8="",IF(U8="",T8,U8),V8)</f>
        <v/>
      </c>
      <c r="X8" s="51"/>
      <c r="Y8" s="120"/>
      <c r="Z8" s="52"/>
      <c r="AA8" s="120"/>
      <c r="AB8" s="120"/>
      <c r="AC8" s="52"/>
      <c r="AD8" s="52"/>
      <c r="AE8" s="53" t="str">
        <f t="shared" si="35"/>
        <v/>
      </c>
      <c r="AF8" s="53" t="str">
        <f t="shared" si="36"/>
        <v/>
      </c>
      <c r="AG8" s="53" t="str">
        <f t="shared" si="37"/>
        <v/>
      </c>
      <c r="AH8" s="54" t="str">
        <f t="shared" si="38"/>
        <v/>
      </c>
      <c r="AI8" s="51"/>
      <c r="AJ8" s="120"/>
      <c r="AK8" s="52"/>
      <c r="AL8" s="120"/>
      <c r="AM8" s="120"/>
      <c r="AN8" s="52"/>
      <c r="AO8" s="52"/>
      <c r="AP8" s="53" t="str">
        <f t="shared" si="11"/>
        <v/>
      </c>
      <c r="AQ8" s="53" t="str">
        <f t="shared" si="12"/>
        <v/>
      </c>
      <c r="AR8" s="53" t="str">
        <f t="shared" si="13"/>
        <v/>
      </c>
      <c r="AS8" s="54" t="str">
        <f t="shared" si="14"/>
        <v/>
      </c>
      <c r="AT8" s="55"/>
      <c r="AU8" s="121"/>
      <c r="AV8" s="56"/>
      <c r="AW8" s="121"/>
      <c r="AX8" s="121"/>
      <c r="AY8" s="45" t="str">
        <f t="shared" si="39"/>
        <v/>
      </c>
      <c r="AZ8" s="45"/>
      <c r="BA8" s="57" t="str">
        <f>IFERROR(IF(1-(AU8-AT8)/(AV8-AT8)&gt;0.9,"G",IF(1-(AU8-AT8)/(AV8-AT8)&gt;0.85,"A","R")),"")</f>
        <v/>
      </c>
      <c r="BB8" s="57" t="str">
        <f>IF(AW8="","",IF((AV8-AT8)/(AW8-AT8)&gt;0.9,"G",(IF((AV8-AT8)/(AW8-AT8)&gt;0.85,"A","R"))))</f>
        <v/>
      </c>
      <c r="BC8" s="57" t="str">
        <f>IF(AX8="","",IF((AV8-AT8)/(AX8-AT8)&gt;0.9,"G",(IF((AV8-AT8)/(AX8-AT8)&gt;0.85,"A","R"))))</f>
        <v/>
      </c>
      <c r="BD8" s="58" t="str">
        <f t="shared" si="16"/>
        <v/>
      </c>
      <c r="BE8" s="335"/>
      <c r="BF8" s="336"/>
      <c r="BG8" s="337"/>
      <c r="BH8" s="62"/>
      <c r="BI8" s="60"/>
      <c r="BJ8" s="63" t="e">
        <f t="shared" si="17"/>
        <v>#DIV/0!</v>
      </c>
      <c r="BK8" s="63" t="e">
        <f t="shared" si="18"/>
        <v>#DIV/0!</v>
      </c>
      <c r="BL8" s="64" t="str">
        <f t="shared" si="40"/>
        <v/>
      </c>
      <c r="BM8" s="130"/>
      <c r="BN8" s="129"/>
      <c r="BO8" s="65" t="str">
        <f>IF(AND(BL8="",BD8="",AS8="",W8=""),"",IF(AND(BL8="G",BD8="G",AS8="G",W8="G"),"G",IF(OR(BL8="R",BD8="R",AS8="R",W8="R"),"R",VLOOKUP(CONCATENATE(W8,AS8,BD8,BL8),'Rag Coding'!A:B,2,FALSE))))</f>
        <v/>
      </c>
      <c r="BP8" s="37">
        <f>'Dashboard Page'!N9</f>
        <v>0</v>
      </c>
      <c r="BQ8" s="39" t="str">
        <f ca="1">IF(M8="","",IF(V8&lt;&gt;"","Completed ",IF(AND(U8&lt;&gt;"",P8&gt;TODAY()),"Forecast Completion on "&amp;DAY(P8)&amp;"-"&amp;MONTH(P8)&amp;"-"&amp;YEAR(P8)&amp;CHAR(10)&amp;IF(P8-O8&gt;0,(P8-O8)&amp;" day(s) late",(IF(P8-O8=0,"on time",(O8-P8)&amp;" day(s) early"))),IF(P8&lt;TODAY(),"Forecast Completion in the past, please update","Baseline Complete"))))</f>
        <v/>
      </c>
      <c r="BR8" s="39" t="str">
        <f ca="1">IF(BQ8="Completed ",IF(Q8-O8&gt;0,Q8-O8&amp;" day(s) late",(IF(Q8-O8=0,"on time",O8-Q8&amp;" day(s) early"))),"")</f>
        <v/>
      </c>
      <c r="BS8" s="39" t="str">
        <f ca="1">IF(X8="","",IF(AG8&lt;&gt;"","Completed ",IF(AND(AF8&lt;&gt;"",AA8&gt;TODAY()),"Forecast Completion on "&amp;DAY(AA8)&amp;"-"&amp;MONTH(AA8)&amp;"-"&amp;YEAR(AA8)&amp;CHAR(10)&amp;IF(AA8-Z8&gt;0,(AA8-Z8)&amp;" day(s) late",(IF(AA8-Z8=0,"on time",(Z8-AA8)&amp;" day(s) early"))),IF(AA8&lt;TODAY(),"Forecast Completion in the past, please update","Baseline Complete"))))</f>
        <v/>
      </c>
      <c r="BT8" s="39" t="str">
        <f ca="1">IF(BS8="Completed ",IF(AB8-Z8&gt;0,AB8-Z8&amp;" day(s) late",(IF(AB8-Z8=0,"on time",Z8-AB8&amp;" day(s) early"))),"")</f>
        <v/>
      </c>
      <c r="BU8" s="39" t="str">
        <f ca="1">IF(AI8="","",IF(AR8&lt;&gt;"","Completed ",IF(AND(AQ8&lt;&gt;"",AL8&gt;TODAY()),"Forecast Completion on "&amp;DAY(AL8)&amp;"-"&amp;MONTH(AL8)&amp;"-"&amp;YEAR(AL8)&amp;CHAR(10)&amp;IF(AL8-AK8&gt;0,(AL8-AK8)&amp;" day(s) late",(IF(AL8-AK8=0,"on time",(AK8-AL8)&amp;" day(s) early"))),IF(AL8&lt;TODAY(),"Forecast Completion in the past, please update","Baseline Complete"))))</f>
        <v/>
      </c>
      <c r="BV8" s="39" t="str">
        <f ca="1">IF(BU8="Completed ",IF(AM8-AK8&gt;0,AM8-AK8&amp;" day(s) late",(IF(AM8-AK8=0,"on time",AK8-AM8&amp;" day(s) early"))),"")</f>
        <v/>
      </c>
      <c r="BW8" s="39" t="str">
        <f ca="1">IF(AT8="","",IF(BC8&lt;&gt;"","Completed ",IF(AND(BB8&lt;&gt;"",AW8&gt;TODAY()),"Forecast Completion on "&amp;DAY(AW8)&amp;"-"&amp;MONTH(AW8)&amp;"-"&amp;YEAR(AW8)&amp;CHAR(10)&amp;IF(AW8-AV8&gt;0,(AW8-AV8)&amp;" day(s) late",(IF(AW8-AV8=0,"on time",(AV8-AW8)&amp;" day(s) early"))),IF(AW8&lt;TODAY(),"Forecast Completion in the past, please update","Baseline Complete"))))</f>
        <v/>
      </c>
      <c r="BX8" s="39" t="str">
        <f ca="1">IF(BW8="Completed ",IF(AX8-AV8&gt;0,AX8-AV8&amp;" day(s) late",(IF(AX8-AV8=0,"on time",AV8-AX8&amp;" day(s) early"))),"")</f>
        <v/>
      </c>
      <c r="BY8" s="39" t="str">
        <f t="shared" ca="1" si="41"/>
        <v/>
      </c>
      <c r="BZ8" s="39" t="str">
        <f>IF(COUNTA(AT8:AX8),"Stage Gate 5",IF(COUNTA(AI8:AM8),"Stage Gate 4", IF(COUNTA(X8:AB8),"Stage Gate 3",  IF(COUNTA(M8:Q8),"Stage Gate 2", "Stage Gate 1"))))</f>
        <v>Stage Gate 1</v>
      </c>
    </row>
    <row r="9" spans="1:78" x14ac:dyDescent="0.2">
      <c r="A9" s="224"/>
      <c r="B9" s="21"/>
      <c r="C9" s="21"/>
      <c r="D9" s="20"/>
      <c r="E9" s="20"/>
      <c r="F9" s="100"/>
      <c r="G9" s="100"/>
      <c r="H9" s="227"/>
      <c r="I9" s="225" t="str">
        <f t="shared" si="0"/>
        <v/>
      </c>
      <c r="J9" s="226"/>
      <c r="K9" s="162" t="str">
        <f t="shared" si="1"/>
        <v/>
      </c>
      <c r="L9" s="54" t="str">
        <f t="shared" ca="1" si="2"/>
        <v/>
      </c>
      <c r="M9" s="148"/>
      <c r="N9" s="120"/>
      <c r="O9" s="52"/>
      <c r="P9" s="121"/>
      <c r="Q9" s="120"/>
      <c r="R9" s="28"/>
      <c r="S9" s="28"/>
      <c r="T9" s="53" t="str">
        <f t="shared" si="32"/>
        <v/>
      </c>
      <c r="U9" s="53" t="str">
        <f t="shared" si="33"/>
        <v/>
      </c>
      <c r="V9" s="53" t="str">
        <f t="shared" si="34"/>
        <v/>
      </c>
      <c r="W9" s="54" t="str">
        <f t="shared" si="42"/>
        <v/>
      </c>
      <c r="X9" s="51"/>
      <c r="Y9" s="120"/>
      <c r="Z9" s="52"/>
      <c r="AA9" s="120"/>
      <c r="AB9" s="120"/>
      <c r="AC9" s="52"/>
      <c r="AD9" s="52"/>
      <c r="AE9" s="53" t="str">
        <f t="shared" si="35"/>
        <v/>
      </c>
      <c r="AF9" s="53" t="str">
        <f t="shared" si="36"/>
        <v/>
      </c>
      <c r="AG9" s="53" t="str">
        <f t="shared" si="37"/>
        <v/>
      </c>
      <c r="AH9" s="54" t="str">
        <f t="shared" si="38"/>
        <v/>
      </c>
      <c r="AI9" s="51"/>
      <c r="AJ9" s="120"/>
      <c r="AK9" s="52"/>
      <c r="AL9" s="120"/>
      <c r="AM9" s="120"/>
      <c r="AN9" s="52"/>
      <c r="AO9" s="52"/>
      <c r="AP9" s="53" t="str">
        <f t="shared" si="11"/>
        <v/>
      </c>
      <c r="AQ9" s="53" t="str">
        <f t="shared" si="12"/>
        <v/>
      </c>
      <c r="AR9" s="53" t="str">
        <f t="shared" si="13"/>
        <v/>
      </c>
      <c r="AS9" s="54" t="str">
        <f t="shared" si="14"/>
        <v/>
      </c>
      <c r="AT9" s="55"/>
      <c r="AU9" s="121"/>
      <c r="AV9" s="56"/>
      <c r="AW9" s="121"/>
      <c r="AX9" s="121"/>
      <c r="AY9" s="45" t="str">
        <f t="shared" si="39"/>
        <v/>
      </c>
      <c r="AZ9" s="45"/>
      <c r="BA9" s="57" t="str">
        <f>IFERROR(IF(1-(AU9-AT9)/(AV9-AT9)&gt;0.9,"G",IF(1-(AU9-AT9)/(AV9-AT9)&gt;0.85,"A","R")),"")</f>
        <v/>
      </c>
      <c r="BB9" s="57" t="str">
        <f>IF(AW9="","",IF((AV9-AT9)/(AW9-AT9)&gt;0.9,"G",(IF((AV9-AT9)/(AW9-AT9)&gt;0.85,"A","R"))))</f>
        <v/>
      </c>
      <c r="BC9" s="57" t="str">
        <f>IF(AX9="","",IF((AV9-AT9)/(AX9-AT9)&gt;0.9,"G",(IF((AV9-AT9)/(AX9-AT9)&gt;0.85,"A","R"))))</f>
        <v/>
      </c>
      <c r="BD9" s="58" t="str">
        <f t="shared" si="16"/>
        <v/>
      </c>
      <c r="BE9" s="335"/>
      <c r="BF9" s="336"/>
      <c r="BG9" s="337"/>
      <c r="BH9" s="62"/>
      <c r="BI9" s="60"/>
      <c r="BJ9" s="63" t="e">
        <f t="shared" si="17"/>
        <v>#DIV/0!</v>
      </c>
      <c r="BK9" s="63" t="e">
        <f t="shared" si="18"/>
        <v>#DIV/0!</v>
      </c>
      <c r="BL9" s="64" t="str">
        <f t="shared" si="40"/>
        <v/>
      </c>
      <c r="BM9" s="18"/>
      <c r="BN9" s="129"/>
      <c r="BO9" s="65" t="str">
        <f>IF(AND(BL9="",BD9="",AS9="",W9=""),"",IF(AND(BL9="G",BD9="G",AS9="G",W9="G"),"G",IF(OR(BL9="R",BD9="R",AS9="R",W9="R"),"R",VLOOKUP(CONCATENATE(W9,AS9,BD9,BL9),'Rag Coding'!A:B,2,FALSE))))</f>
        <v/>
      </c>
      <c r="BP9" s="37">
        <f>'Dashboard Page'!N10</f>
        <v>0</v>
      </c>
      <c r="BQ9" s="39" t="str">
        <f ca="1">IF(M9="","",IF(V9&lt;&gt;"","Completed ",IF(AND(U9&lt;&gt;"",P9&gt;TODAY()),"Forecast Completion on "&amp;DAY(P9)&amp;"-"&amp;MONTH(P9)&amp;"-"&amp;YEAR(P9)&amp;CHAR(10)&amp;IF(P9-O9&gt;0,(P9-O9)&amp;" day(s) late",(IF(P9-O9=0,"on time",(O9-P9)&amp;" day(s) early"))),IF(P9&lt;TODAY(),"Forecast Completion in the past, please update","Baseline Complete"))))</f>
        <v/>
      </c>
      <c r="BR9" s="39" t="str">
        <f ca="1">IF(BQ9="Completed ",IF(Q9-O9&gt;0,Q9-O9&amp;" day(s) late",(IF(Q9-O9=0,"on time",O9-Q9&amp;" day(s) early"))),"")</f>
        <v/>
      </c>
      <c r="BS9" s="39" t="str">
        <f ca="1">IF(X9="","",IF(AG9&lt;&gt;"","Completed ",IF(AND(AF9&lt;&gt;"",AA9&gt;TODAY()),"Forecast Completion on "&amp;DAY(AA9)&amp;"-"&amp;MONTH(AA9)&amp;"-"&amp;YEAR(AA9)&amp;CHAR(10)&amp;IF(AA9-Z9&gt;0,(AA9-Z9)&amp;" day(s) late",(IF(AA9-Z9=0,"on time",(Z9-AA9)&amp;" day(s) early"))),IF(AA9&lt;TODAY(),"Forecast Completion in the past, please update","Baseline Complete"))))</f>
        <v/>
      </c>
      <c r="BT9" s="39" t="str">
        <f ca="1">IF(BS9="Completed ",IF(AB9-Z9&gt;0,AB9-Z9&amp;" day(s) late",(IF(AB9-Z9=0,"on time",Z9-AB9&amp;" day(s) early"))),"")</f>
        <v/>
      </c>
      <c r="BU9" s="39" t="str">
        <f ca="1">IF(AI9="","",IF(AR9&lt;&gt;"","Completed ",IF(AND(AQ9&lt;&gt;"",AL9&gt;TODAY()),"Forecast Completion on "&amp;DAY(AL9)&amp;"-"&amp;MONTH(AL9)&amp;"-"&amp;YEAR(AL9)&amp;CHAR(10)&amp;IF(AL9-AK9&gt;0,(AL9-AK9)&amp;" day(s) late",(IF(AL9-AK9=0,"on time",(AK9-AL9)&amp;" day(s) early"))),IF(AL9&lt;TODAY(),"Forecast Completion in the past, please update","Baseline Complete"))))</f>
        <v/>
      </c>
      <c r="BV9" s="39" t="str">
        <f ca="1">IF(BU9="Completed ",IF(AM9-AK9&gt;0,AM9-AK9&amp;" day(s) late",(IF(AM9-AK9=0,"on time",AK9-AM9&amp;" day(s) early"))),"")</f>
        <v/>
      </c>
      <c r="BW9" s="39" t="str">
        <f ca="1">IF(AT9="","",IF(BC9&lt;&gt;"","Completed ",IF(AND(BB9&lt;&gt;"",AW9&gt;TODAY()),"Forecast Completion on "&amp;DAY(AW9)&amp;"-"&amp;MONTH(AW9)&amp;"-"&amp;YEAR(AW9)&amp;CHAR(10)&amp;IF(AW9-AV9&gt;0,(AW9-AV9)&amp;" day(s) late",(IF(AW9-AV9=0,"on time",(AV9-AW9)&amp;" day(s) early"))),IF(AW9&lt;TODAY(),"Forecast Completion in the past, please update","Baseline Complete"))))</f>
        <v/>
      </c>
      <c r="BX9" s="39" t="str">
        <f ca="1">IF(BW9="Completed ",IF(AX9-AV9&gt;0,AX9-AV9&amp;" day(s) late",(IF(AX9-AV9=0,"on time",AV9-AX9&amp;" day(s) early"))),"")</f>
        <v/>
      </c>
      <c r="BY9" s="39" t="str">
        <f t="shared" ca="1" si="41"/>
        <v/>
      </c>
      <c r="BZ9" s="39" t="str">
        <f>IF(COUNTA(AT9:AX9),"Stage Gate 5",IF(COUNTA(AI9:AM9),"Stage Gate 4", IF(COUNTA(X9:AB9),"Stage Gate 3",  IF(COUNTA(M9:Q9),"Stage Gate 2", "Stage Gate 1"))))</f>
        <v>Stage Gate 1</v>
      </c>
    </row>
    <row r="10" spans="1:78" x14ac:dyDescent="0.2">
      <c r="A10" s="224"/>
      <c r="B10" s="21"/>
      <c r="C10" s="21"/>
      <c r="D10" s="20"/>
      <c r="E10" s="20"/>
      <c r="F10" s="100"/>
      <c r="G10" s="100"/>
      <c r="H10" s="227"/>
      <c r="I10" s="225" t="str">
        <f t="shared" si="0"/>
        <v/>
      </c>
      <c r="J10" s="226"/>
      <c r="K10" s="162" t="str">
        <f t="shared" si="1"/>
        <v/>
      </c>
      <c r="L10" s="54" t="str">
        <f t="shared" ca="1" si="2"/>
        <v/>
      </c>
      <c r="M10" s="148"/>
      <c r="N10" s="120"/>
      <c r="O10" s="52"/>
      <c r="P10" s="121"/>
      <c r="Q10" s="120"/>
      <c r="R10" s="28"/>
      <c r="S10" s="28"/>
      <c r="T10" s="53" t="str">
        <f t="shared" si="32"/>
        <v/>
      </c>
      <c r="U10" s="53" t="str">
        <f t="shared" si="33"/>
        <v/>
      </c>
      <c r="V10" s="53" t="str">
        <f t="shared" si="34"/>
        <v/>
      </c>
      <c r="W10" s="54" t="str">
        <f t="shared" si="42"/>
        <v/>
      </c>
      <c r="X10" s="51"/>
      <c r="Y10" s="120"/>
      <c r="Z10" s="52"/>
      <c r="AA10" s="120"/>
      <c r="AB10" s="120"/>
      <c r="AC10" s="52"/>
      <c r="AD10" s="52"/>
      <c r="AE10" s="53" t="str">
        <f t="shared" si="35"/>
        <v/>
      </c>
      <c r="AF10" s="53" t="str">
        <f t="shared" si="36"/>
        <v/>
      </c>
      <c r="AG10" s="53" t="str">
        <f t="shared" si="37"/>
        <v/>
      </c>
      <c r="AH10" s="54" t="str">
        <f t="shared" si="38"/>
        <v/>
      </c>
      <c r="AI10" s="327"/>
      <c r="AJ10" s="412"/>
      <c r="AK10" s="52"/>
      <c r="AL10" s="120"/>
      <c r="AM10" s="120"/>
      <c r="AN10" s="52"/>
      <c r="AO10" s="52"/>
      <c r="AP10" s="53" t="str">
        <f t="shared" si="11"/>
        <v/>
      </c>
      <c r="AQ10" s="53" t="str">
        <f t="shared" si="12"/>
        <v/>
      </c>
      <c r="AR10" s="53" t="str">
        <f t="shared" si="13"/>
        <v/>
      </c>
      <c r="AS10" s="54" t="str">
        <f t="shared" si="14"/>
        <v/>
      </c>
      <c r="AT10" s="55"/>
      <c r="AU10" s="121"/>
      <c r="AV10" s="56"/>
      <c r="AW10" s="121"/>
      <c r="AX10" s="121"/>
      <c r="AY10" s="45" t="str">
        <f t="shared" si="39"/>
        <v/>
      </c>
      <c r="AZ10" s="45"/>
      <c r="BA10" s="57" t="str">
        <f>IFERROR(IF(1-(AU10-AT10)/(AV10-AT10)&gt;0.9,"G",IF(1-(AU10-AT10)/(AV10-AT10)&gt;0.85,"A","R")),"")</f>
        <v/>
      </c>
      <c r="BB10" s="57" t="str">
        <f>IF(AW10="","",IF((AV10-AT10)/(AW10-AT10)&gt;0.9,"G",(IF((AV10-AT10)/(AW10-AT10)&gt;0.85,"A","R"))))</f>
        <v/>
      </c>
      <c r="BC10" s="57" t="str">
        <f>IF(AX10="","",IF((AV10-AT10)/(AX10-AT10)&gt;0.9,"G",(IF((AV10-AT10)/(AX10-AT10)&gt;0.85,"A","R"))))</f>
        <v/>
      </c>
      <c r="BD10" s="58" t="str">
        <f t="shared" si="16"/>
        <v/>
      </c>
      <c r="BE10" s="335"/>
      <c r="BF10" s="336"/>
      <c r="BG10" s="337"/>
      <c r="BH10" s="62"/>
      <c r="BI10" s="60"/>
      <c r="BJ10" s="63" t="e">
        <f t="shared" si="17"/>
        <v>#DIV/0!</v>
      </c>
      <c r="BK10" s="63" t="e">
        <f t="shared" si="18"/>
        <v>#DIV/0!</v>
      </c>
      <c r="BL10" s="64" t="str">
        <f t="shared" si="40"/>
        <v/>
      </c>
      <c r="BM10" s="130"/>
      <c r="BN10" s="129"/>
      <c r="BO10" s="65" t="str">
        <f>IF(AND(BL10="",BD10="",AS10="",W10=""),"",IF(AND(BL10="G",BD10="G",AS10="G",W10="G"),"G",IF(OR(BL10="R",BD10="R",AS10="R",W10="R"),"R",VLOOKUP(CONCATENATE(W10,AS10,BD10,BL10),'Rag Coding'!A:B,2,FALSE))))</f>
        <v/>
      </c>
      <c r="BP10" s="37">
        <f>'Dashboard Page'!N11</f>
        <v>0</v>
      </c>
      <c r="BQ10" s="39" t="str">
        <f ca="1">IF(M10="","",IF(V10&lt;&gt;"","Completed ",IF(AND(U10&lt;&gt;"",P10&gt;TODAY()),"Forecast Completion on "&amp;DAY(P10)&amp;"-"&amp;MONTH(P10)&amp;"-"&amp;YEAR(P10)&amp;CHAR(10)&amp;IF(P10-O10&gt;0,(P10-O10)&amp;" day(s) late",(IF(P10-O10=0,"on time",(O10-P10)&amp;" day(s) early"))),IF(P10&lt;TODAY(),"Forecast Completion in the past, please update","Baseline Complete"))))</f>
        <v/>
      </c>
      <c r="BR10" s="39" t="str">
        <f ca="1">IF(BQ10="Completed ",IF(Q10-O10&gt;0,Q10-O10&amp;" day(s) late",(IF(Q10-O10=0,"on time",O10-Q10&amp;" day(s) early"))),"")</f>
        <v/>
      </c>
      <c r="BS10" s="39" t="str">
        <f ca="1">IF(X10="","",IF(AG10&lt;&gt;"","Completed ",IF(AND(AF10&lt;&gt;"",AA10&gt;TODAY()),"Forecast Completion on "&amp;DAY(AA10)&amp;"-"&amp;MONTH(AA10)&amp;"-"&amp;YEAR(AA10)&amp;CHAR(10)&amp;IF(AA10-Z10&gt;0,(AA10-Z10)&amp;" day(s) late",(IF(AA10-Z10=0,"on time",(Z10-AA10)&amp;" day(s) early"))),IF(AA10&lt;TODAY(),"Forecast Completion in the past, please update","Baseline Complete"))))</f>
        <v/>
      </c>
      <c r="BT10" s="39" t="str">
        <f ca="1">IF(BS10="Completed ",IF(AB10-Z10&gt;0,AB10-Z10&amp;" day(s) late",(IF(AB10-Z10=0,"on time",Z10-AB10&amp;" day(s) early"))),"")</f>
        <v/>
      </c>
      <c r="BU10" s="39" t="str">
        <f ca="1">IF(AI10="","",IF(AR10&lt;&gt;"","Completed ",IF(AND(AQ10&lt;&gt;"",AL10&gt;TODAY()),"Forecast Completion on "&amp;DAY(AL10)&amp;"-"&amp;MONTH(AL10)&amp;"-"&amp;YEAR(AL10)&amp;CHAR(10)&amp;IF(AL10-AK10&gt;0,(AL10-AK10)&amp;" day(s) late",(IF(AL10-AK10=0,"on time",(AK10-AL10)&amp;" day(s) early"))),IF(AL10&lt;TODAY(),"Forecast Completion in the past, please update","Baseline Complete"))))</f>
        <v/>
      </c>
      <c r="BV10" s="39" t="str">
        <f ca="1">IF(BU10="Completed ",IF(AM10-AK10&gt;0,AM10-AK10&amp;" day(s) late",(IF(AM10-AK10=0,"on time",AK10-AM10&amp;" day(s) early"))),"")</f>
        <v/>
      </c>
      <c r="BW10" s="39" t="str">
        <f ca="1">IF(AT10="","",IF(BC10&lt;&gt;"","Completed ",IF(AND(BB10&lt;&gt;"",AW10&gt;TODAY()),"Forecast Completion on "&amp;DAY(AW10)&amp;"-"&amp;MONTH(AW10)&amp;"-"&amp;YEAR(AW10)&amp;CHAR(10)&amp;IF(AW10-AV10&gt;0,(AW10-AV10)&amp;" day(s) late",(IF(AW10-AV10=0,"on time",(AV10-AW10)&amp;" day(s) early"))),IF(AW10&lt;TODAY(),"Forecast Completion in the past, please update","Baseline Complete"))))</f>
        <v/>
      </c>
      <c r="BX10" s="39" t="str">
        <f ca="1">IF(BW10="Completed ",IF(AX10-AV10&gt;0,AX10-AV10&amp;" day(s) late",(IF(AX10-AV10=0,"on time",AV10-AX10&amp;" day(s) early"))),"")</f>
        <v/>
      </c>
      <c r="BY10" s="39" t="str">
        <f t="shared" ca="1" si="41"/>
        <v/>
      </c>
      <c r="BZ10" s="39" t="str">
        <f>IF(COUNTA(AT10:AX10),"Stage Gate 5",IF(COUNTA(AI10:AM10),"Stage Gate 4", IF(COUNTA(X10:AB10),"Stage Gate 3",  IF(COUNTA(M10:Q10),"Stage Gate 2", "Stage Gate 1"))))</f>
        <v>Stage Gate 1</v>
      </c>
    </row>
    <row r="11" spans="1:78" x14ac:dyDescent="0.2">
      <c r="A11" s="224"/>
      <c r="B11" s="21"/>
      <c r="C11" s="21"/>
      <c r="D11" s="20"/>
      <c r="E11" s="20"/>
      <c r="F11" s="100"/>
      <c r="G11" s="100"/>
      <c r="H11" s="227"/>
      <c r="I11" s="225" t="str">
        <f t="shared" si="0"/>
        <v/>
      </c>
      <c r="J11" s="226"/>
      <c r="K11" s="162" t="str">
        <f t="shared" si="1"/>
        <v/>
      </c>
      <c r="L11" s="54" t="str">
        <f t="shared" ca="1" si="2"/>
        <v/>
      </c>
      <c r="M11" s="148"/>
      <c r="N11" s="120"/>
      <c r="O11" s="52"/>
      <c r="P11" s="121"/>
      <c r="Q11" s="120"/>
      <c r="R11" s="28"/>
      <c r="S11" s="28"/>
      <c r="T11" s="53" t="str">
        <f t="shared" si="32"/>
        <v/>
      </c>
      <c r="U11" s="53" t="str">
        <f t="shared" si="33"/>
        <v/>
      </c>
      <c r="V11" s="53" t="str">
        <f t="shared" si="34"/>
        <v/>
      </c>
      <c r="W11" s="54" t="str">
        <f t="shared" si="42"/>
        <v/>
      </c>
      <c r="X11" s="51"/>
      <c r="Y11" s="120"/>
      <c r="Z11" s="52"/>
      <c r="AA11" s="120"/>
      <c r="AB11" s="120"/>
      <c r="AC11" s="52"/>
      <c r="AD11" s="52"/>
      <c r="AE11" s="53" t="str">
        <f t="shared" si="35"/>
        <v/>
      </c>
      <c r="AF11" s="53" t="str">
        <f t="shared" si="36"/>
        <v/>
      </c>
      <c r="AG11" s="53" t="str">
        <f t="shared" si="37"/>
        <v/>
      </c>
      <c r="AH11" s="54" t="str">
        <f t="shared" si="38"/>
        <v/>
      </c>
      <c r="AI11" s="51"/>
      <c r="AJ11" s="120"/>
      <c r="AK11" s="52"/>
      <c r="AL11" s="120"/>
      <c r="AM11" s="120"/>
      <c r="AN11" s="52"/>
      <c r="AO11" s="52"/>
      <c r="AP11" s="53" t="str">
        <f t="shared" si="11"/>
        <v/>
      </c>
      <c r="AQ11" s="53" t="str">
        <f t="shared" si="12"/>
        <v/>
      </c>
      <c r="AR11" s="53" t="str">
        <f t="shared" si="13"/>
        <v/>
      </c>
      <c r="AS11" s="54" t="str">
        <f t="shared" si="14"/>
        <v/>
      </c>
      <c r="AT11" s="55"/>
      <c r="AU11" s="121"/>
      <c r="AV11" s="56"/>
      <c r="AW11" s="121"/>
      <c r="AX11" s="121"/>
      <c r="AY11" s="45" t="str">
        <f t="shared" si="39"/>
        <v/>
      </c>
      <c r="AZ11" s="45"/>
      <c r="BA11" s="57" t="str">
        <f>IFERROR(IF(1-(AU11-AT11)/(AV11-AT11)&gt;0.9,"G",IF(1-(AU11-AT11)/(AV11-AT11)&gt;0.85,"A","R")),"")</f>
        <v/>
      </c>
      <c r="BB11" s="57" t="str">
        <f>IF(AW11="","",IF((AV11-AT11)/(AW11-AT11)&gt;0.9,"G",(IF((AV11-AT11)/(AW11-AT11)&gt;0.85,"A","R"))))</f>
        <v/>
      </c>
      <c r="BC11" s="57" t="str">
        <f>IF(AX11="","",IF((AV11-AT11)/(AX11-AT11)&gt;0.9,"G",(IF((AV11-AT11)/(AX11-AT11)&gt;0.85,"A","R"))))</f>
        <v/>
      </c>
      <c r="BD11" s="58" t="str">
        <f t="shared" si="16"/>
        <v/>
      </c>
      <c r="BE11" s="335"/>
      <c r="BF11" s="336"/>
      <c r="BG11" s="337"/>
      <c r="BH11" s="62"/>
      <c r="BI11" s="60"/>
      <c r="BJ11" s="63" t="e">
        <f t="shared" si="17"/>
        <v>#DIV/0!</v>
      </c>
      <c r="BK11" s="63" t="e">
        <f t="shared" si="18"/>
        <v>#DIV/0!</v>
      </c>
      <c r="BL11" s="64" t="str">
        <f t="shared" si="40"/>
        <v/>
      </c>
      <c r="BM11" s="130"/>
      <c r="BN11" s="129"/>
      <c r="BO11" s="65" t="str">
        <f>IF(AND(BL11="",BD11="",AS11="",W11=""),"",IF(AND(BL11="G",BD11="G",AS11="G",W11="G"),"G",IF(OR(BL11="R",BD11="R",AS11="R",W11="R"),"R",VLOOKUP(CONCATENATE(W11,AS11,BD11,BL11),'Rag Coding'!A:B,2,FALSE))))</f>
        <v/>
      </c>
      <c r="BP11" s="37">
        <f>'Dashboard Page'!N12</f>
        <v>0</v>
      </c>
      <c r="BQ11" s="39" t="str">
        <f ca="1">IF(M11="","",IF(V11&lt;&gt;"","Completed ",IF(AND(U11&lt;&gt;"",P11&gt;TODAY()),"Forecast Completion on "&amp;DAY(P11)&amp;"-"&amp;MONTH(P11)&amp;"-"&amp;YEAR(P11)&amp;CHAR(10)&amp;IF(P11-O11&gt;0,(P11-O11)&amp;" day(s) late",(IF(P11-O11=0,"on time",(O11-P11)&amp;" day(s) early"))),IF(P11&lt;TODAY(),"Forecast Completion in the past, please update","Baseline Complete"))))</f>
        <v/>
      </c>
      <c r="BR11" s="39" t="str">
        <f ca="1">IF(BQ11="Completed ",IF(Q11-O11&gt;0,Q11-O11&amp;" day(s) late",(IF(Q11-O11=0,"on time",O11-Q11&amp;" day(s) early"))),"")</f>
        <v/>
      </c>
      <c r="BS11" s="39" t="str">
        <f ca="1">IF(X11="","",IF(AG11&lt;&gt;"","Completed ",IF(AND(AF11&lt;&gt;"",AA11&gt;TODAY()),"Forecast Completion on "&amp;DAY(AA11)&amp;"-"&amp;MONTH(AA11)&amp;"-"&amp;YEAR(AA11)&amp;CHAR(10)&amp;IF(AA11-Z11&gt;0,(AA11-Z11)&amp;" day(s) late",(IF(AA11-Z11=0,"on time",(Z11-AA11)&amp;" day(s) early"))),IF(AA11&lt;TODAY(),"Forecast Completion in the past, please update","Baseline Complete"))))</f>
        <v/>
      </c>
      <c r="BT11" s="39" t="str">
        <f ca="1">IF(BS11="Completed ",IF(AB11-Z11&gt;0,AB11-Z11&amp;" day(s) late",(IF(AB11-Z11=0,"on time",Z11-AB11&amp;" day(s) early"))),"")</f>
        <v/>
      </c>
      <c r="BU11" s="39" t="str">
        <f ca="1">IF(AI11="","",IF(AR11&lt;&gt;"","Completed ",IF(AND(AQ11&lt;&gt;"",AL11&gt;TODAY()),"Forecast Completion on "&amp;DAY(AL11)&amp;"-"&amp;MONTH(AL11)&amp;"-"&amp;YEAR(AL11)&amp;CHAR(10)&amp;IF(AL11-AK11&gt;0,(AL11-AK11)&amp;" day(s) late",(IF(AL11-AK11=0,"on time",(AK11-AL11)&amp;" day(s) early"))),IF(AL11&lt;TODAY(),"Forecast Completion in the past, please update","Baseline Complete"))))</f>
        <v/>
      </c>
      <c r="BV11" s="39" t="str">
        <f ca="1">IF(BU11="Completed ",IF(AM11-AK11&gt;0,AM11-AK11&amp;" day(s) late",(IF(AM11-AK11=0,"on time",AK11-AM11&amp;" day(s) early"))),"")</f>
        <v/>
      </c>
      <c r="BW11" s="39" t="str">
        <f ca="1">IF(AT11="","",IF(BC11&lt;&gt;"","Completed ",IF(AND(BB11&lt;&gt;"",AW11&gt;TODAY()),"Forecast Completion on "&amp;DAY(AW11)&amp;"-"&amp;MONTH(AW11)&amp;"-"&amp;YEAR(AW11)&amp;CHAR(10)&amp;IF(AW11-AV11&gt;0,(AW11-AV11)&amp;" day(s) late",(IF(AW11-AV11=0,"on time",(AV11-AW11)&amp;" day(s) early"))),IF(AW11&lt;TODAY(),"Forecast Completion in the past, please update","Baseline Complete"))))</f>
        <v/>
      </c>
      <c r="BX11" s="39" t="str">
        <f ca="1">IF(BW11="Completed ",IF(AX11-AV11&gt;0,AX11-AV11&amp;" day(s) late",(IF(AX11-AV11=0,"on time",AV11-AX11&amp;" day(s) early"))),"")</f>
        <v/>
      </c>
      <c r="BY11" s="39" t="str">
        <f t="shared" ca="1" si="41"/>
        <v/>
      </c>
      <c r="BZ11" s="39" t="str">
        <f>IF(COUNTA(AT11:AX11),"Stage Gate 5",IF(COUNTA(AI11:AM11),"Stage Gate 4", IF(COUNTA(X11:AB11),"Stage Gate 3",  IF(COUNTA(M11:Q11),"Stage Gate 2", "Stage Gate 1"))))</f>
        <v>Stage Gate 1</v>
      </c>
    </row>
    <row r="12" spans="1:78" x14ac:dyDescent="0.2">
      <c r="A12" s="224"/>
      <c r="B12" s="21"/>
      <c r="C12" s="21"/>
      <c r="D12" s="20"/>
      <c r="E12" s="20"/>
      <c r="F12" s="100"/>
      <c r="G12" s="100"/>
      <c r="H12" s="227"/>
      <c r="I12" s="225" t="str">
        <f t="shared" si="0"/>
        <v/>
      </c>
      <c r="J12" s="226"/>
      <c r="K12" s="162" t="str">
        <f t="shared" si="1"/>
        <v/>
      </c>
      <c r="L12" s="54" t="str">
        <f t="shared" ca="1" si="2"/>
        <v/>
      </c>
      <c r="M12" s="148"/>
      <c r="N12" s="120"/>
      <c r="O12" s="52"/>
      <c r="P12" s="121"/>
      <c r="Q12" s="120"/>
      <c r="R12" s="28"/>
      <c r="S12" s="28"/>
      <c r="T12" s="53" t="str">
        <f t="shared" si="32"/>
        <v/>
      </c>
      <c r="U12" s="53" t="str">
        <f t="shared" si="33"/>
        <v/>
      </c>
      <c r="V12" s="53" t="str">
        <f t="shared" si="34"/>
        <v/>
      </c>
      <c r="W12" s="54" t="str">
        <f t="shared" si="42"/>
        <v/>
      </c>
      <c r="X12" s="51"/>
      <c r="Y12" s="120"/>
      <c r="Z12" s="52"/>
      <c r="AA12" s="120"/>
      <c r="AB12" s="120"/>
      <c r="AC12" s="52"/>
      <c r="AD12" s="52"/>
      <c r="AE12" s="53" t="str">
        <f t="shared" si="35"/>
        <v/>
      </c>
      <c r="AF12" s="53" t="str">
        <f t="shared" si="36"/>
        <v/>
      </c>
      <c r="AG12" s="53" t="str">
        <f t="shared" si="37"/>
        <v/>
      </c>
      <c r="AH12" s="54" t="str">
        <f t="shared" si="38"/>
        <v/>
      </c>
      <c r="AI12" s="51"/>
      <c r="AJ12" s="120"/>
      <c r="AK12" s="52"/>
      <c r="AL12" s="120"/>
      <c r="AM12" s="120"/>
      <c r="AN12" s="52"/>
      <c r="AO12" s="52"/>
      <c r="AP12" s="53" t="str">
        <f t="shared" si="11"/>
        <v/>
      </c>
      <c r="AQ12" s="53" t="str">
        <f t="shared" si="12"/>
        <v/>
      </c>
      <c r="AR12" s="53" t="str">
        <f t="shared" si="13"/>
        <v/>
      </c>
      <c r="AS12" s="54" t="str">
        <f t="shared" si="14"/>
        <v/>
      </c>
      <c r="AT12" s="55"/>
      <c r="AU12" s="121"/>
      <c r="AV12" s="56"/>
      <c r="AW12" s="121"/>
      <c r="AX12" s="121"/>
      <c r="AY12" s="45" t="str">
        <f t="shared" si="39"/>
        <v/>
      </c>
      <c r="AZ12" s="45"/>
      <c r="BA12" s="57" t="str">
        <f>IFERROR(IF(1-(AU12-AT12)/(AV12-AT12)&gt;0.9,"G",IF(1-(AU12-AT12)/(AV12-AT12)&gt;0.85,"A","R")),"")</f>
        <v/>
      </c>
      <c r="BB12" s="57" t="str">
        <f>IF(AW12="","",IF((AV12-AT12)/(AW12-AT12)&gt;0.9,"G",(IF((AV12-AT12)/(AW12-AT12)&gt;0.85,"A","R"))))</f>
        <v/>
      </c>
      <c r="BC12" s="57" t="str">
        <f>IF(AX12="","",IF((AV12-AT12)/(AX12-AT12)&gt;0.9,"G",(IF((AV12-AT12)/(AX12-AT12)&gt;0.85,"A","R"))))</f>
        <v/>
      </c>
      <c r="BD12" s="58" t="str">
        <f t="shared" si="16"/>
        <v/>
      </c>
      <c r="BE12" s="335"/>
      <c r="BF12" s="336"/>
      <c r="BG12" s="337"/>
      <c r="BH12" s="62"/>
      <c r="BI12" s="60"/>
      <c r="BJ12" s="63" t="e">
        <f t="shared" si="17"/>
        <v>#DIV/0!</v>
      </c>
      <c r="BK12" s="63" t="e">
        <f t="shared" si="18"/>
        <v>#DIV/0!</v>
      </c>
      <c r="BL12" s="64" t="str">
        <f t="shared" si="40"/>
        <v/>
      </c>
      <c r="BM12" s="130"/>
      <c r="BN12" s="19"/>
      <c r="BO12" s="65" t="str">
        <f>IF(AND(BL12="",BD12="",AS12="",W12=""),"",IF(AND(BL12="G",BD12="G",AS12="G",W12="G"),"G",IF(OR(BL12="R",BD12="R",AS12="R",W12="R"),"R",VLOOKUP(CONCATENATE(W12,AS12,BD12,BL12),'Rag Coding'!A:B,2,FALSE))))</f>
        <v/>
      </c>
      <c r="BP12" s="37">
        <f>'Dashboard Page'!N13</f>
        <v>0</v>
      </c>
      <c r="BQ12" s="39" t="str">
        <f ca="1">IF(M12="","",IF(V12&lt;&gt;"","Completed ",IF(AND(U12&lt;&gt;"",P12&gt;TODAY()),"Forecast Completion on "&amp;DAY(P12)&amp;"-"&amp;MONTH(P12)&amp;"-"&amp;YEAR(P12)&amp;CHAR(10)&amp;IF(P12-O12&gt;0,(P12-O12)&amp;" day(s) late",(IF(P12-O12=0,"on time",(O12-P12)&amp;" day(s) early"))),IF(P12&lt;TODAY(),"Forecast Completion in the past, please update","Baseline Complete"))))</f>
        <v/>
      </c>
      <c r="BR12" s="39" t="str">
        <f ca="1">IF(BQ12="Completed ",IF(Q12-O12&gt;0,Q12-O12&amp;" day(s) late",(IF(Q12-O12=0,"on time",O12-Q12&amp;" day(s) early"))),"")</f>
        <v/>
      </c>
      <c r="BS12" s="39" t="str">
        <f ca="1">IF(X12="","",IF(AG12&lt;&gt;"","Completed ",IF(AND(AF12&lt;&gt;"",AA12&gt;TODAY()),"Forecast Completion on "&amp;DAY(AA12)&amp;"-"&amp;MONTH(AA12)&amp;"-"&amp;YEAR(AA12)&amp;CHAR(10)&amp;IF(AA12-Z12&gt;0,(AA12-Z12)&amp;" day(s) late",(IF(AA12-Z12=0,"on time",(Z12-AA12)&amp;" day(s) early"))),IF(AA12&lt;TODAY(),"Forecast Completion in the past, please update","Baseline Complete"))))</f>
        <v/>
      </c>
      <c r="BT12" s="39" t="str">
        <f ca="1">IF(BS12="Completed ",IF(AB12-Z12&gt;0,AB12-Z12&amp;" day(s) late",(IF(AB12-Z12=0,"on time",Z12-AB12&amp;" day(s) early"))),"")</f>
        <v/>
      </c>
      <c r="BU12" s="39" t="str">
        <f ca="1">IF(AI12="","",IF(AR12&lt;&gt;"","Completed ",IF(AND(AQ12&lt;&gt;"",AL12&gt;TODAY()),"Forecast Completion on "&amp;DAY(AL12)&amp;"-"&amp;MONTH(AL12)&amp;"-"&amp;YEAR(AL12)&amp;CHAR(10)&amp;IF(AL12-AK12&gt;0,(AL12-AK12)&amp;" day(s) late",(IF(AL12-AK12=0,"on time",(AK12-AL12)&amp;" day(s) early"))),IF(AL12&lt;TODAY(),"Forecast Completion in the past, please update","Baseline Complete"))))</f>
        <v/>
      </c>
      <c r="BV12" s="39" t="str">
        <f ca="1">IF(BU12="Completed ",IF(AM12-AK12&gt;0,AM12-AK12&amp;" day(s) late",(IF(AM12-AK12=0,"on time",AK12-AM12&amp;" day(s) early"))),"")</f>
        <v/>
      </c>
      <c r="BW12" s="39" t="str">
        <f ca="1">IF(AT12="","",IF(BC12&lt;&gt;"","Completed ",IF(AND(BB12&lt;&gt;"",AW12&gt;TODAY()),"Forecast Completion on "&amp;DAY(AW12)&amp;"-"&amp;MONTH(AW12)&amp;"-"&amp;YEAR(AW12)&amp;CHAR(10)&amp;IF(AW12-AV12&gt;0,(AW12-AV12)&amp;" day(s) late",(IF(AW12-AV12=0,"on time",(AV12-AW12)&amp;" day(s) early"))),IF(AW12&lt;TODAY(),"Forecast Completion in the past, please update","Baseline Complete"))))</f>
        <v/>
      </c>
      <c r="BX12" s="39" t="str">
        <f ca="1">IF(BW12="Completed ",IF(AX12-AV12&gt;0,AX12-AV12&amp;" day(s) late",(IF(AX12-AV12=0,"on time",AV12-AX12&amp;" day(s) early"))),"")</f>
        <v/>
      </c>
      <c r="BY12" s="39" t="str">
        <f t="shared" ca="1" si="41"/>
        <v/>
      </c>
      <c r="BZ12" s="39" t="str">
        <f>IF(COUNTA(AT12:AX12),"Stage Gate 5",IF(COUNTA(AI12:AM12),"Stage Gate 4", IF(COUNTA(X12:AB12),"Stage Gate 3",  IF(COUNTA(M12:Q12),"Stage Gate 2", "Stage Gate 1"))))</f>
        <v>Stage Gate 1</v>
      </c>
    </row>
    <row r="13" spans="1:78" x14ac:dyDescent="0.2">
      <c r="A13" s="224"/>
      <c r="B13" s="21"/>
      <c r="C13" s="21"/>
      <c r="D13" s="20"/>
      <c r="E13" s="20"/>
      <c r="F13" s="100"/>
      <c r="G13" s="100"/>
      <c r="H13" s="227"/>
      <c r="I13" s="225" t="str">
        <f t="shared" si="0"/>
        <v/>
      </c>
      <c r="J13" s="226"/>
      <c r="K13" s="162" t="str">
        <f t="shared" si="1"/>
        <v/>
      </c>
      <c r="L13" s="54" t="str">
        <f t="shared" ca="1" si="2"/>
        <v/>
      </c>
      <c r="M13" s="148"/>
      <c r="N13" s="120"/>
      <c r="O13" s="52"/>
      <c r="P13" s="121"/>
      <c r="Q13" s="120"/>
      <c r="R13" s="28"/>
      <c r="S13" s="28"/>
      <c r="T13" s="53" t="str">
        <f t="shared" si="32"/>
        <v/>
      </c>
      <c r="U13" s="53" t="str">
        <f t="shared" si="33"/>
        <v/>
      </c>
      <c r="V13" s="53" t="str">
        <f t="shared" si="34"/>
        <v/>
      </c>
      <c r="W13" s="54" t="str">
        <f t="shared" si="42"/>
        <v/>
      </c>
      <c r="X13" s="51"/>
      <c r="Y13" s="120"/>
      <c r="Z13" s="52"/>
      <c r="AA13" s="120"/>
      <c r="AB13" s="120"/>
      <c r="AC13" s="52"/>
      <c r="AD13" s="52"/>
      <c r="AE13" s="53" t="str">
        <f t="shared" si="35"/>
        <v/>
      </c>
      <c r="AF13" s="53" t="str">
        <f t="shared" si="36"/>
        <v/>
      </c>
      <c r="AG13" s="53" t="str">
        <f t="shared" si="37"/>
        <v/>
      </c>
      <c r="AH13" s="54" t="str">
        <f t="shared" si="38"/>
        <v/>
      </c>
      <c r="AI13" s="51"/>
      <c r="AJ13" s="120"/>
      <c r="AK13" s="52"/>
      <c r="AL13" s="120"/>
      <c r="AM13" s="120"/>
      <c r="AN13" s="52"/>
      <c r="AO13" s="52"/>
      <c r="AP13" s="53" t="str">
        <f t="shared" si="11"/>
        <v/>
      </c>
      <c r="AQ13" s="53" t="str">
        <f t="shared" si="12"/>
        <v/>
      </c>
      <c r="AR13" s="53" t="str">
        <f t="shared" si="13"/>
        <v/>
      </c>
      <c r="AS13" s="54" t="str">
        <f t="shared" si="14"/>
        <v/>
      </c>
      <c r="AT13" s="55"/>
      <c r="AU13" s="121"/>
      <c r="AV13" s="56"/>
      <c r="AW13" s="121"/>
      <c r="AX13" s="356"/>
      <c r="AY13" s="45" t="str">
        <f t="shared" si="39"/>
        <v/>
      </c>
      <c r="AZ13" s="45"/>
      <c r="BA13" s="57" t="str">
        <f>IFERROR(IF(1-(AU13-AT13)/(AV13-AT13)&gt;0.9,"G",IF(1-(AU13-AT13)/(AV13-AT13)&gt;0.85,"A","R")),"")</f>
        <v/>
      </c>
      <c r="BB13" s="57" t="str">
        <f>IF(AW13="","",IF((AV13-AT13)/(AW13-AT13)&gt;0.9,"G",(IF((AV13-AT13)/(AW13-AT13)&gt;0.85,"A","R"))))</f>
        <v/>
      </c>
      <c r="BC13" s="57" t="str">
        <f>IF(AX13="","",IF((AV13-AT13)/(AX13-AT13)&gt;0.9,"G",(IF((AV13-AT13)/(AX13-AT13)&gt;0.85,"A","R"))))</f>
        <v/>
      </c>
      <c r="BD13" s="58" t="str">
        <f t="shared" si="16"/>
        <v/>
      </c>
      <c r="BE13" s="335"/>
      <c r="BF13" s="336"/>
      <c r="BG13" s="337"/>
      <c r="BH13" s="62"/>
      <c r="BI13" s="60"/>
      <c r="BJ13" s="63" t="e">
        <f t="shared" si="17"/>
        <v>#DIV/0!</v>
      </c>
      <c r="BK13" s="63" t="e">
        <f t="shared" si="18"/>
        <v>#DIV/0!</v>
      </c>
      <c r="BL13" s="64" t="str">
        <f t="shared" si="40"/>
        <v/>
      </c>
      <c r="BM13" s="130"/>
      <c r="BN13" s="129"/>
      <c r="BO13" s="65" t="str">
        <f>IF(AND(BL13="",BD13="",AS13="",W13=""),"",IF(AND(BL13="G",BD13="G",AS13="G",W13="G"),"G",IF(OR(BL13="R",BD13="R",AS13="R",W13="R"),"R",VLOOKUP(CONCATENATE(W13,AS13,BD13,BL13),'Rag Coding'!A:B,2,FALSE))))</f>
        <v/>
      </c>
      <c r="BP13" s="37">
        <f>'Dashboard Page'!N14</f>
        <v>0</v>
      </c>
      <c r="BQ13" s="39" t="str">
        <f ca="1">IF(M13="","",IF(V13&lt;&gt;"","Completed ",IF(AND(U13&lt;&gt;"",P13&gt;TODAY()),"Forecast Completion on "&amp;DAY(P13)&amp;"-"&amp;MONTH(P13)&amp;"-"&amp;YEAR(P13)&amp;CHAR(10)&amp;IF(P13-O13&gt;0,(P13-O13)&amp;" day(s) late",(IF(P13-O13=0,"on time",(O13-P13)&amp;" day(s) early"))),IF(P13&lt;TODAY(),"Forecast Completion in the past, please update","Baseline Complete"))))</f>
        <v/>
      </c>
      <c r="BR13" s="39" t="str">
        <f ca="1">IF(BQ13="Completed ",IF(Q13-O13&gt;0,Q13-O13&amp;" day(s) late",(IF(Q13-O13=0,"on time",O13-Q13&amp;" day(s) early"))),"")</f>
        <v/>
      </c>
      <c r="BS13" s="39" t="str">
        <f ca="1">IF(X13="","",IF(AG13&lt;&gt;"","Completed ",IF(AND(AF13&lt;&gt;"",AA13&gt;TODAY()),"Forecast Completion on "&amp;DAY(AA13)&amp;"-"&amp;MONTH(AA13)&amp;"-"&amp;YEAR(AA13)&amp;CHAR(10)&amp;IF(AA13-Z13&gt;0,(AA13-Z13)&amp;" day(s) late",(IF(AA13-Z13=0,"on time",(Z13-AA13)&amp;" day(s) early"))),IF(AA13&lt;TODAY(),"Forecast Completion in the past, please update","Baseline Complete"))))</f>
        <v/>
      </c>
      <c r="BT13" s="39" t="str">
        <f ca="1">IF(BS13="Completed ",IF(AB13-Z13&gt;0,AB13-Z13&amp;" day(s) late",(IF(AB13-Z13=0,"on time",Z13-AB13&amp;" day(s) early"))),"")</f>
        <v/>
      </c>
      <c r="BU13" s="39" t="str">
        <f ca="1">IF(AI13="","",IF(AR13&lt;&gt;"","Completed ",IF(AND(AQ13&lt;&gt;"",AL13&gt;TODAY()),"Forecast Completion on "&amp;DAY(AL13)&amp;"-"&amp;MONTH(AL13)&amp;"-"&amp;YEAR(AL13)&amp;CHAR(10)&amp;IF(AL13-AK13&gt;0,(AL13-AK13)&amp;" day(s) late",(IF(AL13-AK13=0,"on time",(AK13-AL13)&amp;" day(s) early"))),IF(AL13&lt;TODAY(),"Forecast Completion in the past, please update","Baseline Complete"))))</f>
        <v/>
      </c>
      <c r="BV13" s="39" t="str">
        <f ca="1">IF(BU13="Completed ",IF(AM13-AK13&gt;0,AM13-AK13&amp;" day(s) late",(IF(AM13-AK13=0,"on time",AK13-AM13&amp;" day(s) early"))),"")</f>
        <v/>
      </c>
      <c r="BW13" s="39" t="str">
        <f ca="1">IF(AT13="","",IF(BC13&lt;&gt;"","Completed ",IF(AND(BB13&lt;&gt;"",AW13&gt;TODAY()),"Forecast Completion on "&amp;DAY(AW13)&amp;"-"&amp;MONTH(AW13)&amp;"-"&amp;YEAR(AW13)&amp;CHAR(10)&amp;IF(AW13-AV13&gt;0,(AW13-AV13)&amp;" day(s) late",(IF(AW13-AV13=0,"on time",(AV13-AW13)&amp;" day(s) early"))),IF(AW13&lt;TODAY(),"Forecast Completion in the past, please update","Baseline Complete"))))</f>
        <v/>
      </c>
      <c r="BX13" s="39" t="str">
        <f ca="1">IF(BW13="Completed ",IF(AX13-AV13&gt;0,AX13-AV13&amp;" day(s) late",(IF(AX13-AV13=0,"on time",AV13-AX13&amp;" day(s) early"))),"")</f>
        <v/>
      </c>
      <c r="BY13" s="39" t="str">
        <f t="shared" ca="1" si="41"/>
        <v/>
      </c>
      <c r="BZ13" s="39" t="str">
        <f>IF(COUNTA(AT13:AX13),"Stage Gate 5",IF(COUNTA(AI13:AM13),"Stage Gate 4", IF(COUNTA(X13:AB13),"Stage Gate 3",  IF(COUNTA(M13:Q13),"Stage Gate 2", "Stage Gate 1"))))</f>
        <v>Stage Gate 1</v>
      </c>
    </row>
    <row r="14" spans="1:78" x14ac:dyDescent="0.2">
      <c r="A14" s="224"/>
      <c r="B14" s="21"/>
      <c r="C14" s="21"/>
      <c r="D14" s="20"/>
      <c r="E14" s="20"/>
      <c r="F14" s="100"/>
      <c r="G14" s="100"/>
      <c r="H14" s="227"/>
      <c r="I14" s="225" t="str">
        <f t="shared" si="0"/>
        <v/>
      </c>
      <c r="J14" s="226"/>
      <c r="K14" s="162" t="str">
        <f t="shared" si="1"/>
        <v/>
      </c>
      <c r="L14" s="54" t="str">
        <f t="shared" ca="1" si="2"/>
        <v/>
      </c>
      <c r="M14" s="148"/>
      <c r="N14" s="120"/>
      <c r="O14" s="52"/>
      <c r="P14" s="121"/>
      <c r="Q14" s="120"/>
      <c r="R14" s="28"/>
      <c r="S14" s="28"/>
      <c r="T14" s="53" t="str">
        <f t="shared" si="32"/>
        <v/>
      </c>
      <c r="U14" s="53" t="str">
        <f t="shared" si="33"/>
        <v/>
      </c>
      <c r="V14" s="53" t="str">
        <f t="shared" si="34"/>
        <v/>
      </c>
      <c r="W14" s="54" t="str">
        <f t="shared" si="42"/>
        <v/>
      </c>
      <c r="X14" s="51"/>
      <c r="Y14" s="120"/>
      <c r="Z14" s="52"/>
      <c r="AA14" s="120"/>
      <c r="AB14" s="120"/>
      <c r="AC14" s="52"/>
      <c r="AD14" s="52"/>
      <c r="AE14" s="53" t="str">
        <f t="shared" si="35"/>
        <v/>
      </c>
      <c r="AF14" s="53" t="str">
        <f t="shared" si="36"/>
        <v/>
      </c>
      <c r="AG14" s="53" t="str">
        <f t="shared" si="37"/>
        <v/>
      </c>
      <c r="AH14" s="54" t="str">
        <f t="shared" si="38"/>
        <v/>
      </c>
      <c r="AI14" s="51"/>
      <c r="AJ14" s="120"/>
      <c r="AK14" s="52"/>
      <c r="AL14" s="120"/>
      <c r="AM14" s="120"/>
      <c r="AN14" s="52"/>
      <c r="AO14" s="52"/>
      <c r="AP14" s="53" t="str">
        <f t="shared" si="11"/>
        <v/>
      </c>
      <c r="AQ14" s="53" t="str">
        <f t="shared" si="12"/>
        <v/>
      </c>
      <c r="AR14" s="53" t="str">
        <f t="shared" si="13"/>
        <v/>
      </c>
      <c r="AS14" s="54" t="str">
        <f t="shared" si="14"/>
        <v/>
      </c>
      <c r="AT14" s="55"/>
      <c r="AU14" s="121"/>
      <c r="AV14" s="56"/>
      <c r="AW14" s="121"/>
      <c r="AX14" s="121"/>
      <c r="AY14" s="45" t="str">
        <f t="shared" si="39"/>
        <v/>
      </c>
      <c r="AZ14" s="45"/>
      <c r="BA14" s="57" t="str">
        <f>IFERROR(IF(1-(AU14-AT14)/(AV14-AT14)&gt;0.9,"G",IF(1-(AU14-AT14)/(AV14-AT14)&gt;0.85,"A","R")),"")</f>
        <v/>
      </c>
      <c r="BB14" s="57" t="str">
        <f>IF(AW14="","",IF((AV14-AT14)/(AW14-AT14)&gt;0.9,"G",(IF((AV14-AT14)/(AW14-AT14)&gt;0.85,"A","R"))))</f>
        <v/>
      </c>
      <c r="BC14" s="57" t="str">
        <f>IF(AX14="","",IF((AV14-AT14)/(AX14-AT14)&gt;0.9,"G",(IF((AV14-AT14)/(AX14-AT14)&gt;0.85,"A","R"))))</f>
        <v/>
      </c>
      <c r="BD14" s="58" t="str">
        <f t="shared" si="16"/>
        <v/>
      </c>
      <c r="BE14" s="335"/>
      <c r="BF14" s="336"/>
      <c r="BG14" s="337"/>
      <c r="BH14" s="62"/>
      <c r="BI14" s="60"/>
      <c r="BJ14" s="63" t="e">
        <f t="shared" si="17"/>
        <v>#DIV/0!</v>
      </c>
      <c r="BK14" s="63" t="e">
        <f t="shared" si="18"/>
        <v>#DIV/0!</v>
      </c>
      <c r="BL14" s="64" t="str">
        <f t="shared" si="40"/>
        <v/>
      </c>
      <c r="BM14" s="18"/>
      <c r="BN14" s="19"/>
      <c r="BO14" s="65" t="str">
        <f>IF(AND(BL14="",BD14="",AS14="",W14=""),"",IF(AND(BL14="G",BD14="G",AS14="G",W14="G"),"G",IF(OR(BL14="R",BD14="R",AS14="R",W14="R"),"R",VLOOKUP(CONCATENATE(W14,AS14,BD14,BL14),'Rag Coding'!A:B,2,FALSE))))</f>
        <v/>
      </c>
      <c r="BP14" s="37">
        <f>'Dashboard Page'!N15</f>
        <v>0</v>
      </c>
      <c r="BQ14" s="39" t="str">
        <f ca="1">IF(M14="","",IF(V14&lt;&gt;"","Completed ",IF(AND(U14&lt;&gt;"",P14&gt;TODAY()),"Forecast Completion on "&amp;DAY(P14)&amp;"-"&amp;MONTH(P14)&amp;"-"&amp;YEAR(P14)&amp;CHAR(10)&amp;IF(P14-O14&gt;0,(P14-O14)&amp;" day(s) late",(IF(P14-O14=0,"on time",(O14-P14)&amp;" day(s) early"))),IF(P14&lt;TODAY(),"Forecast Completion in the past, please update","Baseline Complete"))))</f>
        <v/>
      </c>
      <c r="BR14" s="39" t="str">
        <f ca="1">IF(BQ14="Completed ",IF(Q14-O14&gt;0,Q14-O14&amp;" day(s) late",(IF(Q14-O14=0,"on time",O14-Q14&amp;" day(s) early"))),"")</f>
        <v/>
      </c>
      <c r="BS14" s="39" t="str">
        <f ca="1">IF(X14="","",IF(AG14&lt;&gt;"","Completed ",IF(AND(AF14&lt;&gt;"",AA14&gt;TODAY()),"Forecast Completion on "&amp;DAY(AA14)&amp;"-"&amp;MONTH(AA14)&amp;"-"&amp;YEAR(AA14)&amp;CHAR(10)&amp;IF(AA14-Z14&gt;0,(AA14-Z14)&amp;" day(s) late",(IF(AA14-Z14=0,"on time",(Z14-AA14)&amp;" day(s) early"))),IF(AA14&lt;TODAY(),"Forecast Completion in the past, please update","Baseline Complete"))))</f>
        <v/>
      </c>
      <c r="BT14" s="39" t="str">
        <f ca="1">IF(BS14="Completed ",IF(AB14-Z14&gt;0,AB14-Z14&amp;" day(s) late",(IF(AB14-Z14=0,"on time",Z14-AB14&amp;" day(s) early"))),"")</f>
        <v/>
      </c>
      <c r="BU14" s="39" t="str">
        <f ca="1">IF(AI14="","",IF(AR14&lt;&gt;"","Completed ",IF(AND(AQ14&lt;&gt;"",AL14&gt;TODAY()),"Forecast Completion on "&amp;DAY(AL14)&amp;"-"&amp;MONTH(AL14)&amp;"-"&amp;YEAR(AL14)&amp;CHAR(10)&amp;IF(AL14-AK14&gt;0,(AL14-AK14)&amp;" day(s) late",(IF(AL14-AK14=0,"on time",(AK14-AL14)&amp;" day(s) early"))),IF(AL14&lt;TODAY(),"Forecast Completion in the past, please update","Baseline Complete"))))</f>
        <v/>
      </c>
      <c r="BV14" s="39" t="str">
        <f ca="1">IF(BU14="Completed ",IF(AM14-AK14&gt;0,AM14-AK14&amp;" day(s) late",(IF(AM14-AK14=0,"on time",AK14-AM14&amp;" day(s) early"))),"")</f>
        <v/>
      </c>
      <c r="BW14" s="39" t="str">
        <f ca="1">IF(AT14="","",IF(BC14&lt;&gt;"","Completed ",IF(AND(BB14&lt;&gt;"",AW14&gt;TODAY()),"Forecast Completion on "&amp;DAY(AW14)&amp;"-"&amp;MONTH(AW14)&amp;"-"&amp;YEAR(AW14)&amp;CHAR(10)&amp;IF(AW14-AV14&gt;0,(AW14-AV14)&amp;" day(s) late",(IF(AW14-AV14=0,"on time",(AV14-AW14)&amp;" day(s) early"))),IF(AW14&lt;TODAY(),"Forecast Completion in the past, please update","Baseline Complete"))))</f>
        <v/>
      </c>
      <c r="BX14" s="39" t="str">
        <f ca="1">IF(BW14="Completed ",IF(AX14-AV14&gt;0,AX14-AV14&amp;" day(s) late",(IF(AX14-AV14=0,"on time",AV14-AX14&amp;" day(s) early"))),"")</f>
        <v/>
      </c>
      <c r="BY14" s="39" t="str">
        <f t="shared" ca="1" si="41"/>
        <v/>
      </c>
      <c r="BZ14" s="39" t="str">
        <f>IF(COUNTA(AT14:AX14),"Stage Gate 5",IF(COUNTA(AI14:AM14),"Stage Gate 4", IF(COUNTA(X14:AB14),"Stage Gate 3",  IF(COUNTA(M14:Q14),"Stage Gate 2", "Stage Gate 1"))))</f>
        <v>Stage Gate 1</v>
      </c>
    </row>
    <row r="15" spans="1:78" x14ac:dyDescent="0.2">
      <c r="A15" s="224"/>
      <c r="B15" s="21"/>
      <c r="C15" s="21"/>
      <c r="D15" s="20"/>
      <c r="E15" s="20"/>
      <c r="F15" s="100"/>
      <c r="G15" s="100"/>
      <c r="H15" s="227"/>
      <c r="I15" s="225" t="str">
        <f t="shared" si="0"/>
        <v/>
      </c>
      <c r="J15" s="226"/>
      <c r="K15" s="162" t="str">
        <f t="shared" si="1"/>
        <v/>
      </c>
      <c r="L15" s="54" t="str">
        <f t="shared" ca="1" si="2"/>
        <v/>
      </c>
      <c r="M15" s="148"/>
      <c r="N15" s="120"/>
      <c r="O15" s="52"/>
      <c r="P15" s="121"/>
      <c r="Q15" s="120"/>
      <c r="R15" s="28"/>
      <c r="S15" s="28"/>
      <c r="T15" s="53" t="str">
        <f t="shared" si="32"/>
        <v/>
      </c>
      <c r="U15" s="53" t="str">
        <f t="shared" si="33"/>
        <v/>
      </c>
      <c r="V15" s="53" t="str">
        <f t="shared" si="34"/>
        <v/>
      </c>
      <c r="W15" s="54" t="str">
        <f t="shared" si="42"/>
        <v/>
      </c>
      <c r="X15" s="51"/>
      <c r="Y15" s="120"/>
      <c r="Z15" s="52"/>
      <c r="AA15" s="120"/>
      <c r="AB15" s="120"/>
      <c r="AC15" s="52"/>
      <c r="AD15" s="52"/>
      <c r="AE15" s="53" t="str">
        <f t="shared" si="35"/>
        <v/>
      </c>
      <c r="AF15" s="53" t="str">
        <f t="shared" si="36"/>
        <v/>
      </c>
      <c r="AG15" s="53" t="str">
        <f t="shared" si="37"/>
        <v/>
      </c>
      <c r="AH15" s="54" t="str">
        <f t="shared" si="38"/>
        <v/>
      </c>
      <c r="AI15" s="51"/>
      <c r="AJ15" s="120"/>
      <c r="AK15" s="52"/>
      <c r="AL15" s="120"/>
      <c r="AM15" s="120"/>
      <c r="AN15" s="52"/>
      <c r="AO15" s="52"/>
      <c r="AP15" s="53" t="str">
        <f t="shared" si="11"/>
        <v/>
      </c>
      <c r="AQ15" s="53" t="str">
        <f t="shared" si="12"/>
        <v/>
      </c>
      <c r="AR15" s="53" t="str">
        <f t="shared" si="13"/>
        <v/>
      </c>
      <c r="AS15" s="54" t="str">
        <f t="shared" si="14"/>
        <v/>
      </c>
      <c r="AT15" s="55"/>
      <c r="AU15" s="121"/>
      <c r="AV15" s="56"/>
      <c r="AW15" s="121"/>
      <c r="AX15" s="121"/>
      <c r="AY15" s="45" t="str">
        <f t="shared" si="39"/>
        <v/>
      </c>
      <c r="AZ15" s="45"/>
      <c r="BA15" s="57" t="str">
        <f>IFERROR(IF(1-(AU15-AT15)/(AV15-AT15)&gt;0.9,"G",IF(1-(AU15-AT15)/(AV15-AT15)&gt;0.85,"A","R")),"")</f>
        <v/>
      </c>
      <c r="BB15" s="57" t="str">
        <f>IF(AW15="","",IF((AV15-AT15)/(AW15-AT15)&gt;0.9,"G",(IF((AV15-AT15)/(AW15-AT15)&gt;0.85,"A","R"))))</f>
        <v/>
      </c>
      <c r="BC15" s="57" t="str">
        <f>IF(AX15="","",IF((AV15-AT15)/(AX15-AT15)&gt;0.9,"G",(IF((AV15-AT15)/(AX15-AT15)&gt;0.85,"A","R"))))</f>
        <v/>
      </c>
      <c r="BD15" s="58" t="str">
        <f t="shared" si="16"/>
        <v/>
      </c>
      <c r="BE15" s="335"/>
      <c r="BF15" s="336"/>
      <c r="BG15" s="337"/>
      <c r="BH15" s="62"/>
      <c r="BI15" s="60"/>
      <c r="BJ15" s="63" t="e">
        <f t="shared" si="17"/>
        <v>#DIV/0!</v>
      </c>
      <c r="BK15" s="63" t="e">
        <f t="shared" si="18"/>
        <v>#DIV/0!</v>
      </c>
      <c r="BL15" s="64" t="str">
        <f t="shared" si="40"/>
        <v/>
      </c>
      <c r="BM15" s="18"/>
      <c r="BN15" s="19"/>
      <c r="BO15" s="65" t="str">
        <f>IF(AND(BL15="",BD15="",AS15="",W15=""),"",IF(AND(BL15="G",BD15="G",AS15="G",W15="G"),"G",IF(OR(BL15="R",BD15="R",AS15="R",W15="R"),"R",VLOOKUP(CONCATENATE(W15,AS15,BD15,BL15),'Rag Coding'!A:B,2,FALSE))))</f>
        <v/>
      </c>
      <c r="BP15" s="37">
        <f>'Dashboard Page'!N16</f>
        <v>0</v>
      </c>
      <c r="BQ15" s="39" t="str">
        <f ca="1">IF(M15="","",IF(V15&lt;&gt;"","Completed ",IF(AND(U15&lt;&gt;"",P15&gt;TODAY()),"Forecast Completion on "&amp;DAY(P15)&amp;"-"&amp;MONTH(P15)&amp;"-"&amp;YEAR(P15)&amp;CHAR(10)&amp;IF(P15-O15&gt;0,(P15-O15)&amp;" day(s) late",(IF(P15-O15=0,"on time",(O15-P15)&amp;" day(s) early"))),IF(P15&lt;TODAY(),"Forecast Completion in the past, please update","Baseline Complete"))))</f>
        <v/>
      </c>
      <c r="BR15" s="39" t="str">
        <f ca="1">IF(BQ15="Completed ",IF(Q15-O15&gt;0,Q15-O15&amp;" day(s) late",(IF(Q15-O15=0,"on time",O15-Q15&amp;" day(s) early"))),"")</f>
        <v/>
      </c>
      <c r="BS15" s="39" t="str">
        <f ca="1">IF(X15="","",IF(AG15&lt;&gt;"","Completed ",IF(AND(AF15&lt;&gt;"",AA15&gt;TODAY()),"Forecast Completion on "&amp;DAY(AA15)&amp;"-"&amp;MONTH(AA15)&amp;"-"&amp;YEAR(AA15)&amp;CHAR(10)&amp;IF(AA15-Z15&gt;0,(AA15-Z15)&amp;" day(s) late",(IF(AA15-Z15=0,"on time",(Z15-AA15)&amp;" day(s) early"))),IF(AA15&lt;TODAY(),"Forecast Completion in the past, please update","Baseline Complete"))))</f>
        <v/>
      </c>
      <c r="BT15" s="39" t="str">
        <f ca="1">IF(BS15="Completed ",IF(AB15-Z15&gt;0,AB15-Z15&amp;" day(s) late",(IF(AB15-Z15=0,"on time",Z15-AB15&amp;" day(s) early"))),"")</f>
        <v/>
      </c>
      <c r="BU15" s="39" t="str">
        <f ca="1">IF(AI15="","",IF(AR15&lt;&gt;"","Completed ",IF(AND(AQ15&lt;&gt;"",AL15&gt;TODAY()),"Forecast Completion on "&amp;DAY(AL15)&amp;"-"&amp;MONTH(AL15)&amp;"-"&amp;YEAR(AL15)&amp;CHAR(10)&amp;IF(AL15-AK15&gt;0,(AL15-AK15)&amp;" day(s) late",(IF(AL15-AK15=0,"on time",(AK15-AL15)&amp;" day(s) early"))),IF(AL15&lt;TODAY(),"Forecast Completion in the past, please update","Baseline Complete"))))</f>
        <v/>
      </c>
      <c r="BV15" s="39" t="str">
        <f ca="1">IF(BU15="Completed ",IF(AM15-AK15&gt;0,AM15-AK15&amp;" day(s) late",(IF(AM15-AK15=0,"on time",AK15-AM15&amp;" day(s) early"))),"")</f>
        <v/>
      </c>
      <c r="BW15" s="39" t="str">
        <f ca="1">IF(AT15="","",IF(BC15&lt;&gt;"","Completed ",IF(AND(BB15&lt;&gt;"",AW15&gt;TODAY()),"Forecast Completion on "&amp;DAY(AW15)&amp;"-"&amp;MONTH(AW15)&amp;"-"&amp;YEAR(AW15)&amp;CHAR(10)&amp;IF(AW15-AV15&gt;0,(AW15-AV15)&amp;" day(s) late",(IF(AW15-AV15=0,"on time",(AV15-AW15)&amp;" day(s) early"))),IF(AW15&lt;TODAY(),"Forecast Completion in the past, please update","Baseline Complete"))))</f>
        <v/>
      </c>
      <c r="BX15" s="39" t="str">
        <f ca="1">IF(BW15="Completed ",IF(AX15-AV15&gt;0,AX15-AV15&amp;" day(s) late",(IF(AX15-AV15=0,"on time",AV15-AX15&amp;" day(s) early"))),"")</f>
        <v/>
      </c>
      <c r="BY15" s="39" t="str">
        <f t="shared" ca="1" si="41"/>
        <v/>
      </c>
      <c r="BZ15" s="39" t="str">
        <f>IF(COUNTA(AT15:AX15),"Stage Gate 5",IF(COUNTA(AI15:AM15),"Stage Gate 4", IF(COUNTA(X15:AB15),"Stage Gate 3",  IF(COUNTA(M15:Q15),"Stage Gate 2", "Stage Gate 1"))))</f>
        <v>Stage Gate 1</v>
      </c>
    </row>
    <row r="16" spans="1:78" x14ac:dyDescent="0.2">
      <c r="A16" s="224"/>
      <c r="B16" s="21"/>
      <c r="C16" s="21"/>
      <c r="D16" s="20"/>
      <c r="E16" s="20"/>
      <c r="F16" s="100"/>
      <c r="G16" s="100"/>
      <c r="H16" s="227"/>
      <c r="I16" s="225" t="str">
        <f t="shared" si="0"/>
        <v/>
      </c>
      <c r="J16" s="226"/>
      <c r="K16" s="162" t="str">
        <f t="shared" si="1"/>
        <v/>
      </c>
      <c r="L16" s="54" t="str">
        <f t="shared" ca="1" si="2"/>
        <v/>
      </c>
      <c r="M16" s="148"/>
      <c r="N16" s="120"/>
      <c r="O16" s="52"/>
      <c r="P16" s="121"/>
      <c r="Q16" s="120"/>
      <c r="R16" s="28"/>
      <c r="S16" s="28"/>
      <c r="T16" s="53" t="str">
        <f t="shared" si="32"/>
        <v/>
      </c>
      <c r="U16" s="53" t="str">
        <f t="shared" si="33"/>
        <v/>
      </c>
      <c r="V16" s="53" t="str">
        <f t="shared" si="34"/>
        <v/>
      </c>
      <c r="W16" s="54" t="str">
        <f t="shared" si="42"/>
        <v/>
      </c>
      <c r="X16" s="51"/>
      <c r="Y16" s="120"/>
      <c r="Z16" s="52"/>
      <c r="AA16" s="120"/>
      <c r="AB16" s="120"/>
      <c r="AC16" s="52"/>
      <c r="AD16" s="52"/>
      <c r="AE16" s="53" t="str">
        <f t="shared" si="35"/>
        <v/>
      </c>
      <c r="AF16" s="53" t="str">
        <f t="shared" si="36"/>
        <v/>
      </c>
      <c r="AG16" s="53" t="str">
        <f t="shared" si="37"/>
        <v/>
      </c>
      <c r="AH16" s="54" t="str">
        <f t="shared" si="38"/>
        <v/>
      </c>
      <c r="AI16" s="51"/>
      <c r="AJ16" s="120"/>
      <c r="AK16" s="52"/>
      <c r="AL16" s="120"/>
      <c r="AM16" s="120"/>
      <c r="AN16" s="52"/>
      <c r="AO16" s="52"/>
      <c r="AP16" s="53" t="str">
        <f t="shared" si="11"/>
        <v/>
      </c>
      <c r="AQ16" s="53" t="str">
        <f t="shared" si="12"/>
        <v/>
      </c>
      <c r="AR16" s="53" t="str">
        <f t="shared" si="13"/>
        <v/>
      </c>
      <c r="AS16" s="54" t="str">
        <f t="shared" si="14"/>
        <v/>
      </c>
      <c r="AT16" s="55"/>
      <c r="AU16" s="121"/>
      <c r="AV16" s="56"/>
      <c r="AW16" s="121"/>
      <c r="AX16" s="121"/>
      <c r="AY16" s="45" t="str">
        <f t="shared" si="39"/>
        <v/>
      </c>
      <c r="AZ16" s="45"/>
      <c r="BA16" s="57" t="str">
        <f>IFERROR(IF(1-(AU16-AT16)/(AV16-AT16)&gt;0.9,"G",IF(1-(AU16-AT16)/(AV16-AT16)&gt;0.85,"A","R")),"")</f>
        <v/>
      </c>
      <c r="BB16" s="57" t="str">
        <f>IF(AW16="","",IF((AV16-AT16)/(AW16-AT16)&gt;0.9,"G",(IF((AV16-AT16)/(AW16-AT16)&gt;0.85,"A","R"))))</f>
        <v/>
      </c>
      <c r="BC16" s="57" t="str">
        <f>IF(AX16="","",IF((AV16-AT16)/(AX16-AT16)&gt;0.9,"G",(IF((AV16-AT16)/(AX16-AT16)&gt;0.85,"A","R"))))</f>
        <v/>
      </c>
      <c r="BD16" s="58" t="str">
        <f t="shared" si="16"/>
        <v/>
      </c>
      <c r="BE16" s="335"/>
      <c r="BF16" s="336"/>
      <c r="BG16" s="337"/>
      <c r="BH16" s="62"/>
      <c r="BI16" s="60"/>
      <c r="BJ16" s="63" t="e">
        <f t="shared" si="17"/>
        <v>#DIV/0!</v>
      </c>
      <c r="BK16" s="63" t="e">
        <f t="shared" si="18"/>
        <v>#DIV/0!</v>
      </c>
      <c r="BL16" s="64" t="str">
        <f t="shared" si="40"/>
        <v/>
      </c>
      <c r="BM16" s="18"/>
      <c r="BN16" s="19"/>
      <c r="BO16" s="65" t="str">
        <f>IF(AND(BL16="",BD16="",AS16="",W16=""),"",IF(AND(BL16="G",BD16="G",AS16="G",W16="G"),"G",IF(OR(BL16="R",BD16="R",AS16="R",W16="R"),"R",VLOOKUP(CONCATENATE(W16,AS16,BD16,BL16),'Rag Coding'!A:B,2,FALSE))))</f>
        <v/>
      </c>
      <c r="BP16" s="37">
        <f>'Dashboard Page'!N17</f>
        <v>0</v>
      </c>
      <c r="BQ16" s="39" t="str">
        <f ca="1">IF(M16="","",IF(V16&lt;&gt;"","Completed ",IF(AND(U16&lt;&gt;"",P16&gt;TODAY()),"Forecast Completion on "&amp;DAY(P16)&amp;"-"&amp;MONTH(P16)&amp;"-"&amp;YEAR(P16)&amp;CHAR(10)&amp;IF(P16-O16&gt;0,(P16-O16)&amp;" day(s) late",(IF(P16-O16=0,"on time",(O16-P16)&amp;" day(s) early"))),IF(P16&lt;TODAY(),"Forecast Completion in the past, please update","Baseline Complete"))))</f>
        <v/>
      </c>
      <c r="BR16" s="39" t="str">
        <f ca="1">IF(BQ16="Completed ",IF(Q16-O16&gt;0,Q16-O16&amp;" day(s) late",(IF(Q16-O16=0,"on time",O16-Q16&amp;" day(s) early"))),"")</f>
        <v/>
      </c>
      <c r="BS16" s="39" t="str">
        <f ca="1">IF(X16="","",IF(AG16&lt;&gt;"","Completed ",IF(AND(AF16&lt;&gt;"",AA16&gt;TODAY()),"Forecast Completion on "&amp;DAY(AA16)&amp;"-"&amp;MONTH(AA16)&amp;"-"&amp;YEAR(AA16)&amp;CHAR(10)&amp;IF(AA16-Z16&gt;0,(AA16-Z16)&amp;" day(s) late",(IF(AA16-Z16=0,"on time",(Z16-AA16)&amp;" day(s) early"))),IF(AA16&lt;TODAY(),"Forecast Completion in the past, please update","Baseline Complete"))))</f>
        <v/>
      </c>
      <c r="BT16" s="39" t="str">
        <f ca="1">IF(BS16="Completed ",IF(AB16-Z16&gt;0,AB16-Z16&amp;" day(s) late",(IF(AB16-Z16=0,"on time",Z16-AB16&amp;" day(s) early"))),"")</f>
        <v/>
      </c>
      <c r="BU16" s="39" t="str">
        <f ca="1">IF(AI16="","",IF(AR16&lt;&gt;"","Completed ",IF(AND(AQ16&lt;&gt;"",AL16&gt;TODAY()),"Forecast Completion on "&amp;DAY(AL16)&amp;"-"&amp;MONTH(AL16)&amp;"-"&amp;YEAR(AL16)&amp;CHAR(10)&amp;IF(AL16-AK16&gt;0,(AL16-AK16)&amp;" day(s) late",(IF(AL16-AK16=0,"on time",(AK16-AL16)&amp;" day(s) early"))),IF(AL16&lt;TODAY(),"Forecast Completion in the past, please update","Baseline Complete"))))</f>
        <v/>
      </c>
      <c r="BV16" s="39" t="str">
        <f ca="1">IF(BU16="Completed ",IF(AM16-AK16&gt;0,AM16-AK16&amp;" day(s) late",(IF(AM16-AK16=0,"on time",AK16-AM16&amp;" day(s) early"))),"")</f>
        <v/>
      </c>
      <c r="BW16" s="39" t="str">
        <f ca="1">IF(AT16="","",IF(BC16&lt;&gt;"","Completed ",IF(AND(BB16&lt;&gt;"",AW16&gt;TODAY()),"Forecast Completion on "&amp;DAY(AW16)&amp;"-"&amp;MONTH(AW16)&amp;"-"&amp;YEAR(AW16)&amp;CHAR(10)&amp;IF(AW16-AV16&gt;0,(AW16-AV16)&amp;" day(s) late",(IF(AW16-AV16=0,"on time",(AV16-AW16)&amp;" day(s) early"))),IF(AW16&lt;TODAY(),"Forecast Completion in the past, please update","Baseline Complete"))))</f>
        <v/>
      </c>
      <c r="BX16" s="39" t="str">
        <f ca="1">IF(BW16="Completed ",IF(AX16-AV16&gt;0,AX16-AV16&amp;" day(s) late",(IF(AX16-AV16=0,"on time",AV16-AX16&amp;" day(s) early"))),"")</f>
        <v/>
      </c>
      <c r="BY16" s="39" t="str">
        <f t="shared" ca="1" si="41"/>
        <v/>
      </c>
      <c r="BZ16" s="39" t="str">
        <f>IF(COUNTA(AT16:AX16),"Stage Gate 5",IF(COUNTA(AI16:AM16),"Stage Gate 4", IF(COUNTA(X16:AB16),"Stage Gate 3",  IF(COUNTA(M16:Q16),"Stage Gate 2", "Stage Gate 1"))))</f>
        <v>Stage Gate 1</v>
      </c>
    </row>
    <row r="17" spans="1:78" x14ac:dyDescent="0.2">
      <c r="A17" s="224"/>
      <c r="B17" s="21"/>
      <c r="C17" s="21"/>
      <c r="D17" s="20"/>
      <c r="E17" s="20"/>
      <c r="F17" s="100"/>
      <c r="G17" s="100"/>
      <c r="H17" s="227"/>
      <c r="I17" s="225" t="str">
        <f t="shared" si="0"/>
        <v/>
      </c>
      <c r="J17" s="226"/>
      <c r="K17" s="162" t="str">
        <f t="shared" si="1"/>
        <v/>
      </c>
      <c r="L17" s="54" t="str">
        <f t="shared" ca="1" si="2"/>
        <v/>
      </c>
      <c r="M17" s="148"/>
      <c r="N17" s="120"/>
      <c r="O17" s="52"/>
      <c r="P17" s="121"/>
      <c r="Q17" s="120"/>
      <c r="R17" s="28"/>
      <c r="S17" s="28"/>
      <c r="T17" s="53" t="str">
        <f t="shared" si="32"/>
        <v/>
      </c>
      <c r="U17" s="53" t="str">
        <f t="shared" si="33"/>
        <v/>
      </c>
      <c r="V17" s="53" t="str">
        <f t="shared" si="34"/>
        <v/>
      </c>
      <c r="W17" s="54" t="str">
        <f t="shared" si="42"/>
        <v/>
      </c>
      <c r="X17" s="51"/>
      <c r="Y17" s="120"/>
      <c r="Z17" s="52"/>
      <c r="AA17" s="120"/>
      <c r="AB17" s="120"/>
      <c r="AC17" s="52"/>
      <c r="AD17" s="52"/>
      <c r="AE17" s="53" t="str">
        <f t="shared" si="35"/>
        <v/>
      </c>
      <c r="AF17" s="53" t="str">
        <f t="shared" si="36"/>
        <v/>
      </c>
      <c r="AG17" s="53" t="str">
        <f t="shared" si="37"/>
        <v/>
      </c>
      <c r="AH17" s="54" t="str">
        <f t="shared" si="38"/>
        <v/>
      </c>
      <c r="AI17" s="51"/>
      <c r="AJ17" s="120"/>
      <c r="AK17" s="52"/>
      <c r="AL17" s="120"/>
      <c r="AM17" s="120"/>
      <c r="AN17" s="52"/>
      <c r="AO17" s="52"/>
      <c r="AP17" s="53" t="str">
        <f t="shared" si="11"/>
        <v/>
      </c>
      <c r="AQ17" s="53" t="str">
        <f t="shared" si="12"/>
        <v/>
      </c>
      <c r="AR17" s="53" t="str">
        <f t="shared" si="13"/>
        <v/>
      </c>
      <c r="AS17" s="54" t="str">
        <f t="shared" si="14"/>
        <v/>
      </c>
      <c r="AT17" s="55"/>
      <c r="AU17" s="121"/>
      <c r="AV17" s="56"/>
      <c r="AW17" s="121"/>
      <c r="AX17" s="121"/>
      <c r="AY17" s="45" t="str">
        <f t="shared" si="39"/>
        <v/>
      </c>
      <c r="AZ17" s="45"/>
      <c r="BA17" s="57" t="str">
        <f>IFERROR(IF(1-(AU17-AT17)/(AV17-AT17)&gt;0.9,"G",IF(1-(AU17-AT17)/(AV17-AT17)&gt;0.85,"A","R")),"")</f>
        <v/>
      </c>
      <c r="BB17" s="57" t="str">
        <f>IF(AW17="","",IF((AV17-AT17)/(AW17-AT17)&gt;0.9,"G",(IF((AV17-AT17)/(AW17-AT17)&gt;0.85,"A","R"))))</f>
        <v/>
      </c>
      <c r="BC17" s="57" t="str">
        <f>IF(AX17="","",IF((AV17-AT17)/(AX17-AT17)&gt;0.9,"G",(IF((AV17-AT17)/(AX17-AT17)&gt;0.85,"A","R"))))</f>
        <v/>
      </c>
      <c r="BD17" s="58" t="str">
        <f t="shared" si="16"/>
        <v/>
      </c>
      <c r="BE17" s="335"/>
      <c r="BF17" s="336"/>
      <c r="BG17" s="337"/>
      <c r="BH17" s="62"/>
      <c r="BI17" s="60"/>
      <c r="BJ17" s="63" t="e">
        <f t="shared" si="17"/>
        <v>#DIV/0!</v>
      </c>
      <c r="BK17" s="63" t="e">
        <f t="shared" si="18"/>
        <v>#DIV/0!</v>
      </c>
      <c r="BL17" s="64" t="str">
        <f t="shared" si="40"/>
        <v/>
      </c>
      <c r="BM17" s="18"/>
      <c r="BN17" s="29"/>
      <c r="BO17" s="65" t="str">
        <f>IF(AND(BL17="",BD17="",AS17="",W17=""),"",IF(AND(BL17="G",BD17="G",AS17="G",W17="G"),"G",IF(OR(BL17="R",BD17="R",AS17="R",W17="R"),"R",VLOOKUP(CONCATENATE(W17,AS17,BD17,BL17),'Rag Coding'!A:B,2,FALSE))))</f>
        <v/>
      </c>
      <c r="BP17" s="37">
        <f>'Dashboard Page'!N18</f>
        <v>0</v>
      </c>
      <c r="BQ17" s="39" t="str">
        <f ca="1">IF(M17="","",IF(V17&lt;&gt;"","Completed ",IF(AND(U17&lt;&gt;"",P17&gt;TODAY()),"Forecast Completion on "&amp;DAY(P17)&amp;"-"&amp;MONTH(P17)&amp;"-"&amp;YEAR(P17)&amp;CHAR(10)&amp;IF(P17-O17&gt;0,(P17-O17)&amp;" day(s) late",(IF(P17-O17=0,"on time",(O17-P17)&amp;" day(s) early"))),IF(P17&lt;TODAY(),"Forecast Completion in the past, please update","Baseline Complete"))))</f>
        <v/>
      </c>
      <c r="BR17" s="39" t="str">
        <f ca="1">IF(BQ17="Completed ",IF(Q17-O17&gt;0,Q17-O17&amp;" day(s) late",(IF(Q17-O17=0,"on time",O17-Q17&amp;" day(s) early"))),"")</f>
        <v/>
      </c>
      <c r="BS17" s="39" t="str">
        <f ca="1">IF(X17="","",IF(AG17&lt;&gt;"","Completed ",IF(AND(AF17&lt;&gt;"",AA17&gt;TODAY()),"Forecast Completion on "&amp;DAY(AA17)&amp;"-"&amp;MONTH(AA17)&amp;"-"&amp;YEAR(AA17)&amp;CHAR(10)&amp;IF(AA17-Z17&gt;0,(AA17-Z17)&amp;" day(s) late",(IF(AA17-Z17=0,"on time",(Z17-AA17)&amp;" day(s) early"))),IF(AA17&lt;TODAY(),"Forecast Completion in the past, please update","Baseline Complete"))))</f>
        <v/>
      </c>
      <c r="BT17" s="39" t="str">
        <f ca="1">IF(BS17="Completed ",IF(AB17-Z17&gt;0,AB17-Z17&amp;" day(s) late",(IF(AB17-Z17=0,"on time",Z17-AB17&amp;" day(s) early"))),"")</f>
        <v/>
      </c>
      <c r="BU17" s="39" t="str">
        <f ca="1">IF(AI17="","",IF(AR17&lt;&gt;"","Completed ",IF(AND(AQ17&lt;&gt;"",AL17&gt;TODAY()),"Forecast Completion on "&amp;DAY(AL17)&amp;"-"&amp;MONTH(AL17)&amp;"-"&amp;YEAR(AL17)&amp;CHAR(10)&amp;IF(AL17-AK17&gt;0,(AL17-AK17)&amp;" day(s) late",(IF(AL17-AK17=0,"on time",(AK17-AL17)&amp;" day(s) early"))),IF(AL17&lt;TODAY(),"Forecast Completion in the past, please update","Baseline Complete"))))</f>
        <v/>
      </c>
      <c r="BV17" s="39" t="str">
        <f ca="1">IF(BU17="Completed ",IF(AM17-AK17&gt;0,AM17-AK17&amp;" day(s) late",(IF(AM17-AK17=0,"on time",AK17-AM17&amp;" day(s) early"))),"")</f>
        <v/>
      </c>
      <c r="BW17" s="39" t="str">
        <f ca="1">IF(AT17="","",IF(BC17&lt;&gt;"","Completed ",IF(AND(BB17&lt;&gt;"",AW17&gt;TODAY()),"Forecast Completion on "&amp;DAY(AW17)&amp;"-"&amp;MONTH(AW17)&amp;"-"&amp;YEAR(AW17)&amp;CHAR(10)&amp;IF(AW17-AV17&gt;0,(AW17-AV17)&amp;" day(s) late",(IF(AW17-AV17=0,"on time",(AV17-AW17)&amp;" day(s) early"))),IF(AW17&lt;TODAY(),"Forecast Completion in the past, please update","Baseline Complete"))))</f>
        <v/>
      </c>
      <c r="BX17" s="39" t="str">
        <f ca="1">IF(BW17="Completed ",IF(AX17-AV17&gt;0,AX17-AV17&amp;" day(s) late",(IF(AX17-AV17=0,"on time",AV17-AX17&amp;" day(s) early"))),"")</f>
        <v/>
      </c>
      <c r="BY17" s="39" t="str">
        <f t="shared" ca="1" si="41"/>
        <v/>
      </c>
      <c r="BZ17" s="39" t="str">
        <f>IF(COUNTA(AT17:AX17),"Stage Gate 5",IF(COUNTA(AI17:AM17),"Stage Gate 4", IF(COUNTA(X17:AB17),"Stage Gate 3",  IF(COUNTA(M17:Q17),"Stage Gate 2", "Stage Gate 1"))))</f>
        <v>Stage Gate 1</v>
      </c>
    </row>
    <row r="18" spans="1:78" x14ac:dyDescent="0.2">
      <c r="A18" s="224"/>
      <c r="B18" s="21"/>
      <c r="C18" s="21"/>
      <c r="D18" s="20"/>
      <c r="E18" s="20"/>
      <c r="F18" s="100"/>
      <c r="G18" s="100"/>
      <c r="H18" s="227"/>
      <c r="I18" s="225" t="str">
        <f t="shared" si="0"/>
        <v/>
      </c>
      <c r="J18" s="226"/>
      <c r="K18" s="162" t="str">
        <f t="shared" si="1"/>
        <v/>
      </c>
      <c r="L18" s="54" t="str">
        <f t="shared" ca="1" si="2"/>
        <v/>
      </c>
      <c r="M18" s="148"/>
      <c r="N18" s="120"/>
      <c r="O18" s="52"/>
      <c r="P18" s="121"/>
      <c r="Q18" s="120"/>
      <c r="R18" s="28"/>
      <c r="S18" s="28"/>
      <c r="T18" s="53" t="str">
        <f t="shared" si="32"/>
        <v/>
      </c>
      <c r="U18" s="53" t="str">
        <f t="shared" si="33"/>
        <v/>
      </c>
      <c r="V18" s="53" t="str">
        <f t="shared" si="34"/>
        <v/>
      </c>
      <c r="W18" s="54" t="str">
        <f t="shared" si="42"/>
        <v/>
      </c>
      <c r="X18" s="51"/>
      <c r="Y18" s="120"/>
      <c r="Z18" s="52"/>
      <c r="AA18" s="120"/>
      <c r="AB18" s="120"/>
      <c r="AC18" s="52"/>
      <c r="AD18" s="52"/>
      <c r="AE18" s="53" t="str">
        <f t="shared" si="35"/>
        <v/>
      </c>
      <c r="AF18" s="53" t="str">
        <f t="shared" si="36"/>
        <v/>
      </c>
      <c r="AG18" s="53" t="str">
        <f t="shared" si="37"/>
        <v/>
      </c>
      <c r="AH18" s="54" t="str">
        <f t="shared" si="38"/>
        <v/>
      </c>
      <c r="AI18" s="51"/>
      <c r="AJ18" s="120"/>
      <c r="AK18" s="52"/>
      <c r="AL18" s="120"/>
      <c r="AM18" s="120"/>
      <c r="AN18" s="52"/>
      <c r="AO18" s="52"/>
      <c r="AP18" s="53" t="str">
        <f t="shared" si="11"/>
        <v/>
      </c>
      <c r="AQ18" s="53" t="str">
        <f t="shared" si="12"/>
        <v/>
      </c>
      <c r="AR18" s="53" t="str">
        <f t="shared" si="13"/>
        <v/>
      </c>
      <c r="AS18" s="54" t="str">
        <f t="shared" si="14"/>
        <v/>
      </c>
      <c r="AT18" s="55"/>
      <c r="AU18" s="121"/>
      <c r="AV18" s="56"/>
      <c r="AW18" s="121"/>
      <c r="AX18" s="121"/>
      <c r="AY18" s="45" t="str">
        <f t="shared" si="39"/>
        <v/>
      </c>
      <c r="AZ18" s="45"/>
      <c r="BA18" s="57" t="str">
        <f>IFERROR(IF(1-(AU18-AT18)/(AV18-AT18)&gt;0.9,"G",IF(1-(AU18-AT18)/(AV18-AT18)&gt;0.85,"A","R")),"")</f>
        <v/>
      </c>
      <c r="BB18" s="57" t="str">
        <f>IF(AW18="","",IF((AV18-AT18)/(AW18-AT18)&gt;0.9,"G",(IF((AV18-AT18)/(AW18-AT18)&gt;0.85,"A","R"))))</f>
        <v/>
      </c>
      <c r="BC18" s="57" t="str">
        <f>IF(AX18="","",IF((AV18-AT18)/(AX18-AT18)&gt;0.9,"G",(IF((AV18-AT18)/(AX18-AT18)&gt;0.85,"A","R"))))</f>
        <v/>
      </c>
      <c r="BD18" s="58" t="str">
        <f t="shared" si="16"/>
        <v/>
      </c>
      <c r="BE18" s="335"/>
      <c r="BF18" s="336"/>
      <c r="BG18" s="337"/>
      <c r="BH18" s="62"/>
      <c r="BI18" s="60"/>
      <c r="BJ18" s="63" t="e">
        <f t="shared" si="17"/>
        <v>#DIV/0!</v>
      </c>
      <c r="BK18" s="63" t="e">
        <f t="shared" si="18"/>
        <v>#DIV/0!</v>
      </c>
      <c r="BL18" s="64" t="str">
        <f t="shared" si="40"/>
        <v/>
      </c>
      <c r="BM18" s="18"/>
      <c r="BN18" s="19"/>
      <c r="BO18" s="65" t="str">
        <f>IF(AND(BL18="",BD18="",AS18="",W18=""),"",IF(AND(BL18="G",BD18="G",AS18="G",W18="G"),"G",IF(OR(BL18="R",BD18="R",AS18="R",W18="R"),"R",VLOOKUP(CONCATENATE(W18,AS18,BD18,BL18),'Rag Coding'!A:B,2,FALSE))))</f>
        <v/>
      </c>
      <c r="BP18" s="37">
        <f>'Dashboard Page'!N19</f>
        <v>0</v>
      </c>
      <c r="BQ18" s="39" t="str">
        <f ca="1">IF(M18="","",IF(V18&lt;&gt;"","Completed ",IF(AND(U18&lt;&gt;"",P18&gt;TODAY()),"Forecast Completion on "&amp;DAY(P18)&amp;"-"&amp;MONTH(P18)&amp;"-"&amp;YEAR(P18)&amp;CHAR(10)&amp;IF(P18-O18&gt;0,(P18-O18)&amp;" day(s) late",(IF(P18-O18=0,"on time",(O18-P18)&amp;" day(s) early"))),IF(P18&lt;TODAY(),"Forecast Completion in the past, please update","Baseline Complete"))))</f>
        <v/>
      </c>
      <c r="BR18" s="39" t="str">
        <f ca="1">IF(BQ18="Completed ",IF(Q18-O18&gt;0,Q18-O18&amp;" day(s) late",(IF(Q18-O18=0,"on time",O18-Q18&amp;" day(s) early"))),"")</f>
        <v/>
      </c>
      <c r="BS18" s="39" t="str">
        <f ca="1">IF(X18="","",IF(AG18&lt;&gt;"","Completed ",IF(AND(AF18&lt;&gt;"",AA18&gt;TODAY()),"Forecast Completion on "&amp;DAY(AA18)&amp;"-"&amp;MONTH(AA18)&amp;"-"&amp;YEAR(AA18)&amp;CHAR(10)&amp;IF(AA18-Z18&gt;0,(AA18-Z18)&amp;" day(s) late",(IF(AA18-Z18=0,"on time",(Z18-AA18)&amp;" day(s) early"))),IF(AA18&lt;TODAY(),"Forecast Completion in the past, please update","Baseline Complete"))))</f>
        <v/>
      </c>
      <c r="BT18" s="39" t="str">
        <f ca="1">IF(BS18="Completed ",IF(AB18-Z18&gt;0,AB18-Z18&amp;" day(s) late",(IF(AB18-Z18=0,"on time",Z18-AB18&amp;" day(s) early"))),"")</f>
        <v/>
      </c>
      <c r="BU18" s="39" t="str">
        <f ca="1">IF(AI18="","",IF(AR18&lt;&gt;"","Completed ",IF(AND(AQ18&lt;&gt;"",AL18&gt;TODAY()),"Forecast Completion on "&amp;DAY(AL18)&amp;"-"&amp;MONTH(AL18)&amp;"-"&amp;YEAR(AL18)&amp;CHAR(10)&amp;IF(AL18-AK18&gt;0,(AL18-AK18)&amp;" day(s) late",(IF(AL18-AK18=0,"on time",(AK18-AL18)&amp;" day(s) early"))),IF(AL18&lt;TODAY(),"Forecast Completion in the past, please update","Baseline Complete"))))</f>
        <v/>
      </c>
      <c r="BV18" s="39" t="str">
        <f ca="1">IF(BU18="Completed ",IF(AM18-AK18&gt;0,AM18-AK18&amp;" day(s) late",(IF(AM18-AK18=0,"on time",AK18-AM18&amp;" day(s) early"))),"")</f>
        <v/>
      </c>
      <c r="BW18" s="39" t="str">
        <f ca="1">IF(AT18="","",IF(BC18&lt;&gt;"","Completed ",IF(AND(BB18&lt;&gt;"",AW18&gt;TODAY()),"Forecast Completion on "&amp;DAY(AW18)&amp;"-"&amp;MONTH(AW18)&amp;"-"&amp;YEAR(AW18)&amp;CHAR(10)&amp;IF(AW18-AV18&gt;0,(AW18-AV18)&amp;" day(s) late",(IF(AW18-AV18=0,"on time",(AV18-AW18)&amp;" day(s) early"))),IF(AW18&lt;TODAY(),"Forecast Completion in the past, please update","Baseline Complete"))))</f>
        <v/>
      </c>
      <c r="BX18" s="39" t="str">
        <f ca="1">IF(BW18="Completed ",IF(AX18-AV18&gt;0,AX18-AV18&amp;" day(s) late",(IF(AX18-AV18=0,"on time",AV18-AX18&amp;" day(s) early"))),"")</f>
        <v/>
      </c>
      <c r="BY18" s="39" t="str">
        <f t="shared" ca="1" si="41"/>
        <v/>
      </c>
      <c r="BZ18" s="39" t="str">
        <f>IF(COUNTA(AT18:AX18),"Stage Gate 5",IF(COUNTA(AI18:AM18),"Stage Gate 4", IF(COUNTA(X18:AB18),"Stage Gate 3",  IF(COUNTA(M18:Q18),"Stage Gate 2", "Stage Gate 1"))))</f>
        <v>Stage Gate 1</v>
      </c>
    </row>
    <row r="19" spans="1:78" x14ac:dyDescent="0.2">
      <c r="A19" s="224"/>
      <c r="B19" s="21"/>
      <c r="C19" s="21"/>
      <c r="D19" s="20"/>
      <c r="E19" s="20"/>
      <c r="F19" s="100"/>
      <c r="G19" s="100"/>
      <c r="H19" s="227"/>
      <c r="I19" s="225" t="str">
        <f t="shared" si="0"/>
        <v/>
      </c>
      <c r="J19" s="226"/>
      <c r="K19" s="162" t="str">
        <f t="shared" si="1"/>
        <v/>
      </c>
      <c r="L19" s="54" t="str">
        <f t="shared" ca="1" si="2"/>
        <v/>
      </c>
      <c r="M19" s="148"/>
      <c r="N19" s="120"/>
      <c r="O19" s="52"/>
      <c r="P19" s="121"/>
      <c r="Q19" s="120"/>
      <c r="R19" s="28"/>
      <c r="S19" s="28"/>
      <c r="T19" s="53" t="str">
        <f t="shared" si="32"/>
        <v/>
      </c>
      <c r="U19" s="53" t="str">
        <f t="shared" si="33"/>
        <v/>
      </c>
      <c r="V19" s="53" t="str">
        <f t="shared" si="34"/>
        <v/>
      </c>
      <c r="W19" s="54" t="str">
        <f t="shared" si="42"/>
        <v/>
      </c>
      <c r="X19" s="51"/>
      <c r="Y19" s="120"/>
      <c r="Z19" s="52"/>
      <c r="AA19" s="120"/>
      <c r="AB19" s="120"/>
      <c r="AC19" s="52"/>
      <c r="AD19" s="52"/>
      <c r="AE19" s="53" t="str">
        <f t="shared" si="35"/>
        <v/>
      </c>
      <c r="AF19" s="53" t="str">
        <f t="shared" si="36"/>
        <v/>
      </c>
      <c r="AG19" s="53" t="str">
        <f t="shared" si="37"/>
        <v/>
      </c>
      <c r="AH19" s="54" t="str">
        <f t="shared" si="38"/>
        <v/>
      </c>
      <c r="AI19" s="51"/>
      <c r="AJ19" s="120"/>
      <c r="AK19" s="52"/>
      <c r="AL19" s="120"/>
      <c r="AM19" s="120"/>
      <c r="AN19" s="52"/>
      <c r="AO19" s="52"/>
      <c r="AP19" s="53" t="str">
        <f t="shared" si="11"/>
        <v/>
      </c>
      <c r="AQ19" s="53" t="str">
        <f t="shared" si="12"/>
        <v/>
      </c>
      <c r="AR19" s="53" t="str">
        <f t="shared" si="13"/>
        <v/>
      </c>
      <c r="AS19" s="54" t="str">
        <f t="shared" si="14"/>
        <v/>
      </c>
      <c r="AT19" s="55"/>
      <c r="AU19" s="121"/>
      <c r="AV19" s="56"/>
      <c r="AW19" s="121"/>
      <c r="AX19" s="121"/>
      <c r="AY19" s="45" t="str">
        <f t="shared" si="39"/>
        <v/>
      </c>
      <c r="AZ19" s="45"/>
      <c r="BA19" s="57" t="str">
        <f>IFERROR(IF(1-(AU19-AT19)/(AV19-AT19)&gt;0.9,"G",IF(1-(AU19-AT19)/(AV19-AT19)&gt;0.85,"A","R")),"")</f>
        <v/>
      </c>
      <c r="BB19" s="57" t="str">
        <f>IF(AW19="","",IF((AV19-AT19)/(AW19-AT19)&gt;0.9,"G",(IF((AV19-AT19)/(AW19-AT19)&gt;0.85,"A","R"))))</f>
        <v/>
      </c>
      <c r="BC19" s="57" t="str">
        <f>IF(AX19="","",IF((AV19-AT19)/(AX19-AT19)&gt;0.9,"G",(IF((AV19-AT19)/(AX19-AT19)&gt;0.85,"A","R"))))</f>
        <v/>
      </c>
      <c r="BD19" s="58" t="str">
        <f t="shared" si="16"/>
        <v/>
      </c>
      <c r="BE19" s="335"/>
      <c r="BF19" s="336"/>
      <c r="BG19" s="337"/>
      <c r="BH19" s="62"/>
      <c r="BI19" s="60"/>
      <c r="BJ19" s="63" t="e">
        <f t="shared" si="17"/>
        <v>#DIV/0!</v>
      </c>
      <c r="BK19" s="63" t="e">
        <f t="shared" si="18"/>
        <v>#DIV/0!</v>
      </c>
      <c r="BL19" s="64" t="str">
        <f t="shared" si="40"/>
        <v/>
      </c>
      <c r="BM19" s="18"/>
      <c r="BN19" s="19"/>
      <c r="BO19" s="65" t="str">
        <f>IF(AND(BL19="",BD19="",AS19="",W19=""),"",IF(AND(BL19="G",BD19="G",AS19="G",W19="G"),"G",IF(OR(BL19="R",BD19="R",AS19="R",W19="R"),"R",VLOOKUP(CONCATENATE(W19,AS19,BD19,BL19),'Rag Coding'!A:B,2,FALSE))))</f>
        <v/>
      </c>
      <c r="BP19" s="37">
        <f>'Dashboard Page'!N20</f>
        <v>0</v>
      </c>
      <c r="BQ19" s="39" t="str">
        <f ca="1">IF(M19="","",IF(V19&lt;&gt;"","Completed ",IF(AND(U19&lt;&gt;"",P19&gt;TODAY()),"Forecast Completion on "&amp;DAY(P19)&amp;"-"&amp;MONTH(P19)&amp;"-"&amp;YEAR(P19)&amp;CHAR(10)&amp;IF(P19-O19&gt;0,(P19-O19)&amp;" day(s) late",(IF(P19-O19=0,"on time",(O19-P19)&amp;" day(s) early"))),IF(P19&lt;TODAY(),"Forecast Completion in the past, please update","Baseline Complete"))))</f>
        <v/>
      </c>
      <c r="BR19" s="39" t="str">
        <f ca="1">IF(BQ19="Completed ",IF(Q19-O19&gt;0,Q19-O19&amp;" day(s) late",(IF(Q19-O19=0,"on time",O19-Q19&amp;" day(s) early"))),"")</f>
        <v/>
      </c>
      <c r="BS19" s="39" t="str">
        <f ca="1">IF(X19="","",IF(AG19&lt;&gt;"","Completed ",IF(AND(AF19&lt;&gt;"",AA19&gt;TODAY()),"Forecast Completion on "&amp;DAY(AA19)&amp;"-"&amp;MONTH(AA19)&amp;"-"&amp;YEAR(AA19)&amp;CHAR(10)&amp;IF(AA19-Z19&gt;0,(AA19-Z19)&amp;" day(s) late",(IF(AA19-Z19=0,"on time",(Z19-AA19)&amp;" day(s) early"))),IF(AA19&lt;TODAY(),"Forecast Completion in the past, please update","Baseline Complete"))))</f>
        <v/>
      </c>
      <c r="BT19" s="39" t="str">
        <f ca="1">IF(BS19="Completed ",IF(AB19-Z19&gt;0,AB19-Z19&amp;" day(s) late",(IF(AB19-Z19=0,"on time",Z19-AB19&amp;" day(s) early"))),"")</f>
        <v/>
      </c>
      <c r="BU19" s="39" t="str">
        <f ca="1">IF(AI19="","",IF(AR19&lt;&gt;"","Completed ",IF(AND(AQ19&lt;&gt;"",AL19&gt;TODAY()),"Forecast Completion on "&amp;DAY(AL19)&amp;"-"&amp;MONTH(AL19)&amp;"-"&amp;YEAR(AL19)&amp;CHAR(10)&amp;IF(AL19-AK19&gt;0,(AL19-AK19)&amp;" day(s) late",(IF(AL19-AK19=0,"on time",(AK19-AL19)&amp;" day(s) early"))),IF(AL19&lt;TODAY(),"Forecast Completion in the past, please update","Baseline Complete"))))</f>
        <v/>
      </c>
      <c r="BV19" s="39" t="str">
        <f ca="1">IF(BU19="Completed ",IF(AM19-AK19&gt;0,AM19-AK19&amp;" day(s) late",(IF(AM19-AK19=0,"on time",AK19-AM19&amp;" day(s) early"))),"")</f>
        <v/>
      </c>
      <c r="BW19" s="39" t="str">
        <f ca="1">IF(AT19="","",IF(BC19&lt;&gt;"","Completed ",IF(AND(BB19&lt;&gt;"",AW19&gt;TODAY()),"Forecast Completion on "&amp;DAY(AW19)&amp;"-"&amp;MONTH(AW19)&amp;"-"&amp;YEAR(AW19)&amp;CHAR(10)&amp;IF(AW19-AV19&gt;0,(AW19-AV19)&amp;" day(s) late",(IF(AW19-AV19=0,"on time",(AV19-AW19)&amp;" day(s) early"))),IF(AW19&lt;TODAY(),"Forecast Completion in the past, please update","Baseline Complete"))))</f>
        <v/>
      </c>
      <c r="BX19" s="39" t="str">
        <f ca="1">IF(BW19="Completed ",IF(AX19-AV19&gt;0,AX19-AV19&amp;" day(s) late",(IF(AX19-AV19=0,"on time",AV19-AX19&amp;" day(s) early"))),"")</f>
        <v/>
      </c>
      <c r="BY19" s="39" t="str">
        <f t="shared" ca="1" si="41"/>
        <v/>
      </c>
      <c r="BZ19" s="39" t="str">
        <f>IF(COUNTA(AT19:AX19),"Stage Gate 5",IF(COUNTA(AI19:AM19),"Stage Gate 4", IF(COUNTA(X19:AB19),"Stage Gate 3",  IF(COUNTA(M19:Q19),"Stage Gate 2", "Stage Gate 1"))))</f>
        <v>Stage Gate 1</v>
      </c>
    </row>
    <row r="20" spans="1:78" x14ac:dyDescent="0.2">
      <c r="A20" s="224"/>
      <c r="B20" s="21"/>
      <c r="C20" s="21"/>
      <c r="D20" s="20"/>
      <c r="E20" s="20"/>
      <c r="F20" s="100"/>
      <c r="G20" s="100"/>
      <c r="H20" s="227"/>
      <c r="I20" s="225" t="str">
        <f t="shared" si="0"/>
        <v/>
      </c>
      <c r="J20" s="226"/>
      <c r="K20" s="162" t="str">
        <f t="shared" si="1"/>
        <v/>
      </c>
      <c r="L20" s="54" t="str">
        <f t="shared" ca="1" si="2"/>
        <v/>
      </c>
      <c r="M20" s="148"/>
      <c r="N20" s="120"/>
      <c r="O20" s="52"/>
      <c r="P20" s="121"/>
      <c r="Q20" s="120"/>
      <c r="R20" s="28"/>
      <c r="S20" s="28"/>
      <c r="T20" s="53" t="str">
        <f t="shared" si="32"/>
        <v/>
      </c>
      <c r="U20" s="53" t="str">
        <f t="shared" si="33"/>
        <v/>
      </c>
      <c r="V20" s="53" t="str">
        <f t="shared" si="34"/>
        <v/>
      </c>
      <c r="W20" s="54" t="str">
        <f t="shared" si="42"/>
        <v/>
      </c>
      <c r="X20" s="51"/>
      <c r="Y20" s="120"/>
      <c r="Z20" s="52"/>
      <c r="AA20" s="120"/>
      <c r="AB20" s="120"/>
      <c r="AC20" s="52"/>
      <c r="AD20" s="52"/>
      <c r="AE20" s="53" t="str">
        <f t="shared" si="35"/>
        <v/>
      </c>
      <c r="AF20" s="53" t="str">
        <f t="shared" si="36"/>
        <v/>
      </c>
      <c r="AG20" s="53" t="str">
        <f t="shared" si="37"/>
        <v/>
      </c>
      <c r="AH20" s="54" t="str">
        <f t="shared" si="38"/>
        <v/>
      </c>
      <c r="AI20" s="51"/>
      <c r="AJ20" s="120"/>
      <c r="AK20" s="52"/>
      <c r="AL20" s="120"/>
      <c r="AM20" s="120"/>
      <c r="AN20" s="52"/>
      <c r="AO20" s="52"/>
      <c r="AP20" s="53" t="str">
        <f t="shared" si="11"/>
        <v/>
      </c>
      <c r="AQ20" s="53" t="str">
        <f t="shared" si="12"/>
        <v/>
      </c>
      <c r="AR20" s="53" t="str">
        <f t="shared" si="13"/>
        <v/>
      </c>
      <c r="AS20" s="54" t="str">
        <f t="shared" si="14"/>
        <v/>
      </c>
      <c r="AT20" s="55"/>
      <c r="AU20" s="121"/>
      <c r="AV20" s="56"/>
      <c r="AW20" s="121"/>
      <c r="AX20" s="121"/>
      <c r="AY20" s="45" t="str">
        <f t="shared" si="39"/>
        <v/>
      </c>
      <c r="AZ20" s="45"/>
      <c r="BA20" s="57" t="str">
        <f>IFERROR(IF(1-(AU20-AT20)/(AV20-AT20)&gt;0.9,"G",IF(1-(AU20-AT20)/(AV20-AT20)&gt;0.85,"A","R")),"")</f>
        <v/>
      </c>
      <c r="BB20" s="57" t="str">
        <f>IF(AW20="","",IF((AV20-AT20)/(AW20-AT20)&gt;0.9,"G",(IF((AV20-AT20)/(AW20-AT20)&gt;0.85,"A","R"))))</f>
        <v/>
      </c>
      <c r="BC20" s="57" t="str">
        <f>IF(AX20="","",IF((AV20-AT20)/(AX20-AT20)&gt;0.9,"G",(IF((AV20-AT20)/(AX20-AT20)&gt;0.85,"A","R"))))</f>
        <v/>
      </c>
      <c r="BD20" s="58" t="str">
        <f t="shared" si="16"/>
        <v/>
      </c>
      <c r="BE20" s="335"/>
      <c r="BF20" s="336"/>
      <c r="BG20" s="337"/>
      <c r="BH20" s="62"/>
      <c r="BI20" s="60"/>
      <c r="BJ20" s="63" t="e">
        <f t="shared" si="17"/>
        <v>#DIV/0!</v>
      </c>
      <c r="BK20" s="63" t="e">
        <f t="shared" si="18"/>
        <v>#DIV/0!</v>
      </c>
      <c r="BL20" s="64" t="str">
        <f t="shared" si="40"/>
        <v/>
      </c>
      <c r="BM20" s="18"/>
      <c r="BN20" s="19"/>
      <c r="BO20" s="65" t="str">
        <f>IF(AND(BL20="",BD20="",AS20="",W20=""),"",IF(AND(BL20="G",BD20="G",AS20="G",W20="G"),"G",IF(OR(BL20="R",BD20="R",AS20="R",W20="R"),"R",VLOOKUP(CONCATENATE(W20,AS20,BD20,BL20),'Rag Coding'!A:B,2,FALSE))))</f>
        <v/>
      </c>
      <c r="BP20" s="37">
        <f>'Dashboard Page'!N21</f>
        <v>0</v>
      </c>
      <c r="BQ20" s="39" t="str">
        <f ca="1">IF(M20="","",IF(V20&lt;&gt;"","Completed ",IF(AND(U20&lt;&gt;"",P20&gt;TODAY()),"Forecast Completion on "&amp;DAY(P20)&amp;"-"&amp;MONTH(P20)&amp;"-"&amp;YEAR(P20)&amp;CHAR(10)&amp;IF(P20-O20&gt;0,(P20-O20)&amp;" day(s) late",(IF(P20-O20=0,"on time",(O20-P20)&amp;" day(s) early"))),IF(P20&lt;TODAY(),"Forecast Completion in the past, please update","Baseline Complete"))))</f>
        <v/>
      </c>
      <c r="BR20" s="39" t="str">
        <f ca="1">IF(BQ20="Completed ",IF(Q20-O20&gt;0,Q20-O20&amp;" day(s) late",(IF(Q20-O20=0,"on time",O20-Q20&amp;" day(s) early"))),"")</f>
        <v/>
      </c>
      <c r="BS20" s="39" t="str">
        <f ca="1">IF(X20="","",IF(AG20&lt;&gt;"","Completed ",IF(AND(AF20&lt;&gt;"",AA20&gt;TODAY()),"Forecast Completion on "&amp;DAY(AA20)&amp;"-"&amp;MONTH(AA20)&amp;"-"&amp;YEAR(AA20)&amp;CHAR(10)&amp;IF(AA20-Z20&gt;0,(AA20-Z20)&amp;" day(s) late",(IF(AA20-Z20=0,"on time",(Z20-AA20)&amp;" day(s) early"))),IF(AA20&lt;TODAY(),"Forecast Completion in the past, please update","Baseline Complete"))))</f>
        <v/>
      </c>
      <c r="BT20" s="39" t="str">
        <f ca="1">IF(BS20="Completed ",IF(AB20-Z20&gt;0,AB20-Z20&amp;" day(s) late",(IF(AB20-Z20=0,"on time",Z20-AB20&amp;" day(s) early"))),"")</f>
        <v/>
      </c>
      <c r="BU20" s="39" t="str">
        <f ca="1">IF(AI20="","",IF(AR20&lt;&gt;"","Completed ",IF(AND(AQ20&lt;&gt;"",AL20&gt;TODAY()),"Forecast Completion on "&amp;DAY(AL20)&amp;"-"&amp;MONTH(AL20)&amp;"-"&amp;YEAR(AL20)&amp;CHAR(10)&amp;IF(AL20-AK20&gt;0,(AL20-AK20)&amp;" day(s) late",(IF(AL20-AK20=0,"on time",(AK20-AL20)&amp;" day(s) early"))),IF(AL20&lt;TODAY(),"Forecast Completion in the past, please update","Baseline Complete"))))</f>
        <v/>
      </c>
      <c r="BV20" s="39" t="str">
        <f ca="1">IF(BU20="Completed ",IF(AM20-AK20&gt;0,AM20-AK20&amp;" day(s) late",(IF(AM20-AK20=0,"on time",AK20-AM20&amp;" day(s) early"))),"")</f>
        <v/>
      </c>
      <c r="BW20" s="39" t="str">
        <f ca="1">IF(AT20="","",IF(BC20&lt;&gt;"","Completed ",IF(AND(BB20&lt;&gt;"",AW20&gt;TODAY()),"Forecast Completion on "&amp;DAY(AW20)&amp;"-"&amp;MONTH(AW20)&amp;"-"&amp;YEAR(AW20)&amp;CHAR(10)&amp;IF(AW20-AV20&gt;0,(AW20-AV20)&amp;" day(s) late",(IF(AW20-AV20=0,"on time",(AV20-AW20)&amp;" day(s) early"))),IF(AW20&lt;TODAY(),"Forecast Completion in the past, please update","Baseline Complete"))))</f>
        <v/>
      </c>
      <c r="BX20" s="39" t="str">
        <f ca="1">IF(BW20="Completed ",IF(AX20-AV20&gt;0,AX20-AV20&amp;" day(s) late",(IF(AX20-AV20=0,"on time",AV20-AX20&amp;" day(s) early"))),"")</f>
        <v/>
      </c>
      <c r="BY20" s="39" t="str">
        <f t="shared" ca="1" si="41"/>
        <v/>
      </c>
      <c r="BZ20" s="39" t="str">
        <f>IF(COUNTA(AT20:AX20),"Stage Gate 5",IF(COUNTA(AI20:AM20),"Stage Gate 4", IF(COUNTA(X20:AB20),"Stage Gate 3",  IF(COUNTA(M20:Q20),"Stage Gate 2", "Stage Gate 1"))))</f>
        <v>Stage Gate 1</v>
      </c>
    </row>
    <row r="21" spans="1:78" x14ac:dyDescent="0.2">
      <c r="A21" s="224"/>
      <c r="B21" s="21"/>
      <c r="C21" s="21"/>
      <c r="D21" s="20"/>
      <c r="E21" s="20"/>
      <c r="F21" s="100"/>
      <c r="G21" s="100"/>
      <c r="H21" s="228"/>
      <c r="I21" s="229" t="str">
        <f>IF(H21="","",DATE(YEAR(H21),MONTH(H21)+2,DAY(H21)+3))</f>
        <v/>
      </c>
      <c r="J21" s="230"/>
      <c r="K21" s="162" t="str">
        <f t="shared" si="1"/>
        <v/>
      </c>
      <c r="L21" s="54" t="str">
        <f t="shared" ca="1" si="2"/>
        <v/>
      </c>
      <c r="M21" s="148"/>
      <c r="N21" s="120"/>
      <c r="O21" s="52"/>
      <c r="P21" s="121"/>
      <c r="Q21" s="120"/>
      <c r="R21" s="28"/>
      <c r="S21" s="28"/>
      <c r="T21" s="53" t="str">
        <f t="shared" si="32"/>
        <v/>
      </c>
      <c r="U21" s="53" t="str">
        <f t="shared" si="33"/>
        <v/>
      </c>
      <c r="V21" s="53" t="str">
        <f t="shared" si="34"/>
        <v/>
      </c>
      <c r="W21" s="54" t="str">
        <f t="shared" si="42"/>
        <v/>
      </c>
      <c r="X21" s="51"/>
      <c r="Y21" s="120"/>
      <c r="Z21" s="52"/>
      <c r="AA21" s="120"/>
      <c r="AB21" s="120"/>
      <c r="AC21" s="52"/>
      <c r="AD21" s="52"/>
      <c r="AE21" s="53" t="str">
        <f t="shared" si="35"/>
        <v/>
      </c>
      <c r="AF21" s="53" t="str">
        <f t="shared" si="36"/>
        <v/>
      </c>
      <c r="AG21" s="53" t="str">
        <f t="shared" si="37"/>
        <v/>
      </c>
      <c r="AH21" s="54" t="str">
        <f t="shared" si="38"/>
        <v/>
      </c>
      <c r="AI21" s="51"/>
      <c r="AJ21" s="120"/>
      <c r="AK21" s="52"/>
      <c r="AL21" s="120"/>
      <c r="AM21" s="120"/>
      <c r="AN21" s="52"/>
      <c r="AO21" s="52"/>
      <c r="AP21" s="53" t="str">
        <f t="shared" si="11"/>
        <v/>
      </c>
      <c r="AQ21" s="53" t="str">
        <f t="shared" si="12"/>
        <v/>
      </c>
      <c r="AR21" s="53" t="str">
        <f t="shared" si="13"/>
        <v/>
      </c>
      <c r="AS21" s="54" t="str">
        <f t="shared" si="14"/>
        <v/>
      </c>
      <c r="AT21" s="55"/>
      <c r="AU21" s="121"/>
      <c r="AV21" s="56"/>
      <c r="AW21" s="121"/>
      <c r="AX21" s="121"/>
      <c r="AY21" s="45" t="str">
        <f t="shared" si="39"/>
        <v/>
      </c>
      <c r="AZ21" s="45"/>
      <c r="BA21" s="57" t="str">
        <f>IFERROR(IF(1-(AU21-AT21)/(AV21-AT21)&gt;0.9,"G",IF(1-(AU21-AT21)/(AV21-AT21)&gt;0.85,"A","R")),"")</f>
        <v/>
      </c>
      <c r="BB21" s="57" t="str">
        <f>IF(AW21="","",IF((AV21-AT21)/(AW21-AT21)&gt;0.9,"G",(IF((AV21-AT21)/(AW21-AT21)&gt;0.85,"A","R"))))</f>
        <v/>
      </c>
      <c r="BC21" s="57" t="str">
        <f>IF(AX21="","",IF((AV21-AT21)/(AX21-AT21)&gt;0.9,"G",(IF((AV21-AT21)/(AX21-AT21)&gt;0.85,"A","R"))))</f>
        <v/>
      </c>
      <c r="BD21" s="58" t="str">
        <f t="shared" si="16"/>
        <v/>
      </c>
      <c r="BE21" s="335"/>
      <c r="BF21" s="335"/>
      <c r="BG21" s="337"/>
      <c r="BH21" s="59"/>
      <c r="BI21" s="60"/>
      <c r="BJ21" s="63" t="e">
        <f t="shared" si="17"/>
        <v>#DIV/0!</v>
      </c>
      <c r="BK21" s="63" t="e">
        <f t="shared" si="18"/>
        <v>#DIV/0!</v>
      </c>
      <c r="BL21" s="64" t="str">
        <f t="shared" si="40"/>
        <v/>
      </c>
      <c r="BM21" s="18"/>
      <c r="BN21" s="129"/>
      <c r="BO21" s="65" t="str">
        <f>IF(AND(BL21="",BD21="",AS21="",W21=""),"",IF(AND(BL21="G",BD21="G",AS21="G",W21="G"),"G",IF(OR(BL21="R",BD21="R",AS21="R",W21="R"),"R",VLOOKUP(CONCATENATE(W21,AS21,BD21,BL21),'Rag Coding'!A:B,2,FALSE))))</f>
        <v/>
      </c>
      <c r="BP21" s="37">
        <f>'Dashboard Page'!N22</f>
        <v>0</v>
      </c>
      <c r="BQ21" s="39" t="str">
        <f ca="1">IF(M21="","",IF(V21&lt;&gt;"","Completed ",IF(AND(U21&lt;&gt;"",P21&gt;TODAY()),"Forecast Completion on "&amp;DAY(P21)&amp;"-"&amp;MONTH(P21)&amp;"-"&amp;YEAR(P21)&amp;CHAR(10)&amp;IF(P21-O21&gt;0,(P21-O21)&amp;" day(s) late",(IF(P21-O21=0,"on time",(O21-P21)&amp;" day(s) early"))),IF(P21&lt;TODAY(),"Forecast Completion in the past, please update","Baseline Complete"))))</f>
        <v/>
      </c>
      <c r="BR21" s="39" t="str">
        <f ca="1">IF(BQ21="Completed ",IF(Q21-O21&gt;0,Q21-O21&amp;" day(s) late",(IF(Q21-O21=0,"on time",O21-Q21&amp;" day(s) early"))),"")</f>
        <v/>
      </c>
      <c r="BS21" s="39" t="str">
        <f ca="1">IF(X21="","",IF(AG21&lt;&gt;"","Completed ",IF(AND(AF21&lt;&gt;"",AA21&gt;TODAY()),"Forecast Completion on "&amp;DAY(AA21)&amp;"-"&amp;MONTH(AA21)&amp;"-"&amp;YEAR(AA21)&amp;CHAR(10)&amp;IF(AA21-Z21&gt;0,(AA21-Z21)&amp;" day(s) late",(IF(AA21-Z21=0,"on time",(Z21-AA21)&amp;" day(s) early"))),IF(AA21&lt;TODAY(),"Forecast Completion in the past, please update","Baseline Complete"))))</f>
        <v/>
      </c>
      <c r="BT21" s="39" t="str">
        <f ca="1">IF(BS21="Completed ",IF(AB21-Z21&gt;0,AB21-Z21&amp;" day(s) late",(IF(AB21-Z21=0,"on time",Z21-AB21&amp;" day(s) early"))),"")</f>
        <v/>
      </c>
      <c r="BU21" s="39" t="str">
        <f ca="1">IF(AI21="","",IF(AR21&lt;&gt;"","Completed ",IF(AND(AQ21&lt;&gt;"",AL21&gt;TODAY()),"Forecast Completion on "&amp;DAY(AL21)&amp;"-"&amp;MONTH(AL21)&amp;"-"&amp;YEAR(AL21)&amp;CHAR(10)&amp;IF(AL21-AK21&gt;0,(AL21-AK21)&amp;" day(s) late",(IF(AL21-AK21=0,"on time",(AK21-AL21)&amp;" day(s) early"))),IF(AL21&lt;TODAY(),"Forecast Completion in the past, please update","Baseline Complete"))))</f>
        <v/>
      </c>
      <c r="BV21" s="39" t="str">
        <f ca="1">IF(BU21="Completed ",IF(AM21-AK21&gt;0,AM21-AK21&amp;" day(s) late",(IF(AM21-AK21=0,"on time",AK21-AM21&amp;" day(s) early"))),"")</f>
        <v/>
      </c>
      <c r="BW21" s="39" t="str">
        <f ca="1">IF(AT21="","",IF(BC21&lt;&gt;"","Completed ",IF(AND(BB21&lt;&gt;"",AW21&gt;TODAY()),"Forecast Completion on "&amp;DAY(AW21)&amp;"-"&amp;MONTH(AW21)&amp;"-"&amp;YEAR(AW21)&amp;CHAR(10)&amp;IF(AW21-AV21&gt;0,(AW21-AV21)&amp;" day(s) late",(IF(AW21-AV21=0,"on time",(AV21-AW21)&amp;" day(s) early"))),IF(AW21&lt;TODAY(),"Forecast Completion in the past, please update","Baseline Complete"))))</f>
        <v/>
      </c>
      <c r="BX21" s="39" t="str">
        <f ca="1">IF(BW21="Completed ",IF(AX21-AV21&gt;0,AX21-AV21&amp;" day(s) late",(IF(AX21-AV21=0,"on time",AV21-AX21&amp;" day(s) early"))),"")</f>
        <v/>
      </c>
      <c r="BY21" s="39" t="str">
        <f t="shared" ca="1" si="41"/>
        <v/>
      </c>
      <c r="BZ21" s="39" t="str">
        <f>IF(COUNTA(AT21:AX21),"Stage Gate 5",IF(COUNTA(AI21:AM21),"Stage Gate 4", IF(COUNTA(X21:AB21),"Stage Gate 3",  IF(COUNTA(M21:Q21),"Stage Gate 2", "Stage Gate 1"))))</f>
        <v>Stage Gate 1</v>
      </c>
    </row>
    <row r="22" spans="1:78" x14ac:dyDescent="0.2">
      <c r="A22" s="224"/>
      <c r="B22" s="21"/>
      <c r="C22" s="21"/>
      <c r="D22" s="20"/>
      <c r="E22" s="20"/>
      <c r="F22" s="100"/>
      <c r="G22" s="100"/>
      <c r="H22" s="228"/>
      <c r="I22" s="229" t="str">
        <f>IF(H22="","",DATE(YEAR(H22),MONTH(H22)+2,DAY(H22)+3))</f>
        <v/>
      </c>
      <c r="J22" s="230"/>
      <c r="K22" s="162" t="str">
        <f t="shared" ref="K22:K40" si="43">IF(H22="","",IF(J22="","Board Date"&amp;CHAR(10)&amp;TEXT(I22,"dd/mm/yyyy"),"Completed"&amp;CHAR(10)&amp;TEXT(J22,"dd/mm/yyyy")))</f>
        <v/>
      </c>
      <c r="L22" s="54" t="str">
        <f t="shared" ref="L22:L40" ca="1" si="44">IF(AND(J22="",I22=""),"",IF(AND(J22="",I22&lt;TODAY()),"R","G"))</f>
        <v/>
      </c>
      <c r="M22" s="148"/>
      <c r="N22" s="120"/>
      <c r="O22" s="52"/>
      <c r="P22" s="121"/>
      <c r="Q22" s="120"/>
      <c r="R22" s="28"/>
      <c r="S22" s="28"/>
      <c r="T22" s="53" t="str">
        <f t="shared" si="32"/>
        <v/>
      </c>
      <c r="U22" s="53" t="str">
        <f t="shared" si="33"/>
        <v/>
      </c>
      <c r="V22" s="53" t="str">
        <f t="shared" si="34"/>
        <v/>
      </c>
      <c r="W22" s="54" t="str">
        <f t="shared" si="42"/>
        <v/>
      </c>
      <c r="X22" s="51"/>
      <c r="Y22" s="120"/>
      <c r="Z22" s="52"/>
      <c r="AA22" s="120"/>
      <c r="AB22" s="120"/>
      <c r="AC22" s="52"/>
      <c r="AD22" s="52"/>
      <c r="AE22" s="53" t="str">
        <f t="shared" si="35"/>
        <v/>
      </c>
      <c r="AF22" s="53" t="str">
        <f t="shared" si="36"/>
        <v/>
      </c>
      <c r="AG22" s="53" t="str">
        <f t="shared" si="37"/>
        <v/>
      </c>
      <c r="AH22" s="54" t="str">
        <f t="shared" si="38"/>
        <v/>
      </c>
      <c r="AI22" s="51"/>
      <c r="AJ22" s="120"/>
      <c r="AK22" s="52"/>
      <c r="AL22" s="120"/>
      <c r="AM22" s="120"/>
      <c r="AN22" s="52"/>
      <c r="AO22" s="52"/>
      <c r="AP22" s="53" t="str">
        <f t="shared" ref="AP22:AP40" si="45">IFERROR(IF(1-(AJ22-AI22)/(AK22-AI22)&gt;0.9,"G",IF(1-(AJ22-AI22)/(AK22-AI22)&gt;0.85,"A","R")),"")</f>
        <v/>
      </c>
      <c r="AQ22" s="53" t="str">
        <f t="shared" ref="AQ22:AQ40" si="46">IF(AL22="","",IF((AK22-AI22)/(AL22-AI22)&gt;0.9,"G",(IF((AK22-AI22)/(AL22-AI22)&gt;0.85,"A","R"))))</f>
        <v/>
      </c>
      <c r="AR22" s="53" t="str">
        <f t="shared" ref="AR22:AR40" si="47">IF(AM22="","",IF((AK22-AI22)/(AM22-AI22)&gt;0.9,"G",(IF((AK22-AI22)/(AM22-AI22)&gt;0.85,"A","R"))))</f>
        <v/>
      </c>
      <c r="AS22" s="54" t="str">
        <f t="shared" ref="AS22:AS40" si="48">IF(AR22="",IF(AQ22="",AP22,AQ22),AR22)</f>
        <v/>
      </c>
      <c r="AT22" s="55"/>
      <c r="AU22" s="121"/>
      <c r="AV22" s="56"/>
      <c r="AW22" s="121"/>
      <c r="AX22" s="121"/>
      <c r="AY22" s="45" t="str">
        <f t="shared" si="39"/>
        <v/>
      </c>
      <c r="AZ22" s="45"/>
      <c r="BA22" s="57" t="str">
        <f>IFERROR(IF(1-(AU22-AT22)/(AV22-AT22)&gt;0.9,"G",IF(1-(AU22-AT22)/(AV22-AT22)&gt;0.85,"A","R")),"")</f>
        <v/>
      </c>
      <c r="BB22" s="57" t="str">
        <f>IF(AW22="","",IF((AV22-AT22)/(AW22-AT22)&gt;0.9,"G",(IF((AV22-AT22)/(AW22-AT22)&gt;0.85,"A","R"))))</f>
        <v/>
      </c>
      <c r="BC22" s="57" t="str">
        <f>IF(AX22="","",IF((AV22-AT22)/(AX22-AT22)&gt;0.9,"G",(IF((AV22-AT22)/(AX22-AT22)&gt;0.85,"A","R"))))</f>
        <v/>
      </c>
      <c r="BD22" s="58" t="str">
        <f t="shared" ref="BD22:BD40" si="49">IF(BC22="",IF(BB22="",BA22,BB22),BC22)</f>
        <v/>
      </c>
      <c r="BE22" s="335"/>
      <c r="BF22" s="336"/>
      <c r="BG22" s="337"/>
      <c r="BH22" s="62"/>
      <c r="BI22" s="60"/>
      <c r="BJ22" s="63" t="e">
        <f t="shared" ref="BJ22:BJ40" si="50">(BF22-BE22)/BE22</f>
        <v>#DIV/0!</v>
      </c>
      <c r="BK22" s="63" t="e">
        <f t="shared" ref="BK22:BK40" si="51">(BG22-BE22)/BE22</f>
        <v>#DIV/0!</v>
      </c>
      <c r="BL22" s="64" t="str">
        <f t="shared" si="40"/>
        <v/>
      </c>
      <c r="BM22" s="18"/>
      <c r="BN22" s="19"/>
      <c r="BO22" s="65" t="str">
        <f>IF(AND(BL22="",BD22="",AS22="",W22=""),"",IF(AND(BL22="G",BD22="G",AS22="G",W22="G"),"G",IF(OR(BL22="R",BD22="R",AS22="R",W22="R"),"R",VLOOKUP(CONCATENATE(W22,AS22,BD22,BL22),'Rag Coding'!A:B,2,FALSE))))</f>
        <v/>
      </c>
      <c r="BP22" s="37">
        <f>'Dashboard Page'!N23</f>
        <v>0</v>
      </c>
      <c r="BQ22" s="39" t="str">
        <f ca="1">IF(M22="","",IF(V22&lt;&gt;"","Completed ",IF(AND(U22&lt;&gt;"",P22&gt;TODAY()),"Forecast Completion on "&amp;DAY(P22)&amp;"-"&amp;MONTH(P22)&amp;"-"&amp;YEAR(P22)&amp;CHAR(10)&amp;IF(P22-O22&gt;0,(P22-O22)&amp;" day(s) late",(IF(P22-O22=0,"on time",(O22-P22)&amp;" day(s) early"))),IF(P22&lt;TODAY(),"Forecast Completion in the past, please update","Baseline Complete"))))</f>
        <v/>
      </c>
      <c r="BR22" s="39" t="str">
        <f ca="1">IF(BQ22="Completed ",IF(Q22-O22&gt;0,Q22-O22&amp;" day(s) late",(IF(Q22-O22=0,"on time",O22-Q22&amp;" day(s) early"))),"")</f>
        <v/>
      </c>
      <c r="BS22" s="39" t="str">
        <f ca="1">IF(X22="","",IF(AG22&lt;&gt;"","Completed ",IF(AND(AF22&lt;&gt;"",AA22&gt;TODAY()),"Forecast Completion on "&amp;DAY(AA22)&amp;"-"&amp;MONTH(AA22)&amp;"-"&amp;YEAR(AA22)&amp;CHAR(10)&amp;IF(AA22-Z22&gt;0,(AA22-Z22)&amp;" day(s) late",(IF(AA22-Z22=0,"on time",(Z22-AA22)&amp;" day(s) early"))),IF(AA22&lt;TODAY(),"Forecast Completion in the past, please update","Baseline Complete"))))</f>
        <v/>
      </c>
      <c r="BT22" s="39" t="str">
        <f ca="1">IF(BS22="Completed ",IF(AB22-Z22&gt;0,AB22-Z22&amp;" day(s) late",(IF(AB22-Z22=0,"on time",Z22-AB22&amp;" day(s) early"))),"")</f>
        <v/>
      </c>
      <c r="BU22" s="39" t="str">
        <f ca="1">IF(AI22="","",IF(AR22&lt;&gt;"","Completed ",IF(AND(AQ22&lt;&gt;"",AL22&gt;TODAY()),"Forecast Completion on "&amp;DAY(AL22)&amp;"-"&amp;MONTH(AL22)&amp;"-"&amp;YEAR(AL22)&amp;CHAR(10)&amp;IF(AL22-AK22&gt;0,(AL22-AK22)&amp;" day(s) late",(IF(AL22-AK22=0,"on time",(AK22-AL22)&amp;" day(s) early"))),IF(AL22&lt;TODAY(),"Forecast Completion in the past, please update","Baseline Complete"))))</f>
        <v/>
      </c>
      <c r="BV22" s="39" t="str">
        <f ca="1">IF(BU22="Completed ",IF(AM22-AK22&gt;0,AM22-AK22&amp;" day(s) late",(IF(AM22-AK22=0,"on time",AK22-AM22&amp;" day(s) early"))),"")</f>
        <v/>
      </c>
      <c r="BW22" s="39" t="str">
        <f ca="1">IF(AT22="","",IF(BC22&lt;&gt;"","Completed ",IF(AND(BB22&lt;&gt;"",AW22&gt;TODAY()),"Forecast Completion on "&amp;DAY(AW22)&amp;"-"&amp;MONTH(AW22)&amp;"-"&amp;YEAR(AW22)&amp;CHAR(10)&amp;IF(AW22-AV22&gt;0,(AW22-AV22)&amp;" day(s) late",(IF(AW22-AV22=0,"on time",(AV22-AW22)&amp;" day(s) early"))),IF(AW22&lt;TODAY(),"Forecast Completion in the past, please update","Baseline Complete"))))</f>
        <v/>
      </c>
      <c r="BX22" s="39" t="str">
        <f ca="1">IF(BW22="Completed ",IF(AX22-AV22&gt;0,AX22-AV22&amp;" day(s) late",(IF(AX22-AV22=0,"on time",AV22-AX22&amp;" day(s) early"))),"")</f>
        <v/>
      </c>
      <c r="BY22" s="39" t="str">
        <f t="shared" ca="1" si="41"/>
        <v/>
      </c>
      <c r="BZ22" s="39" t="str">
        <f>IF(COUNTA(AT22:AX22),"Stage Gate 5",IF(COUNTA(AI22:AM22),"Stage Gate 4", IF(COUNTA(X22:AB22),"Stage Gate 3",  IF(COUNTA(M22:Q22),"Stage Gate 2", "Stage Gate 1"))))</f>
        <v>Stage Gate 1</v>
      </c>
    </row>
    <row r="23" spans="1:78" x14ac:dyDescent="0.2">
      <c r="A23" s="44"/>
      <c r="B23" s="21"/>
      <c r="C23" s="21"/>
      <c r="D23" s="20"/>
      <c r="E23" s="20"/>
      <c r="F23" s="100"/>
      <c r="G23" s="100"/>
      <c r="H23" s="228"/>
      <c r="I23" s="229" t="str">
        <f t="shared" ref="I23:I40" si="52">IF(H23="","",DATE(YEAR(H23),MONTH(H23)+1,DAY(H23)))</f>
        <v/>
      </c>
      <c r="J23" s="230"/>
      <c r="K23" s="162" t="str">
        <f t="shared" si="43"/>
        <v/>
      </c>
      <c r="L23" s="54" t="str">
        <f t="shared" ca="1" si="44"/>
        <v/>
      </c>
      <c r="M23" s="148"/>
      <c r="N23" s="120"/>
      <c r="O23" s="52"/>
      <c r="P23" s="121"/>
      <c r="Q23" s="120"/>
      <c r="R23" s="28"/>
      <c r="S23" s="28"/>
      <c r="T23" s="53" t="str">
        <f t="shared" si="32"/>
        <v/>
      </c>
      <c r="U23" s="53" t="str">
        <f t="shared" si="33"/>
        <v/>
      </c>
      <c r="V23" s="53" t="str">
        <f t="shared" si="34"/>
        <v/>
      </c>
      <c r="W23" s="54" t="str">
        <f t="shared" si="42"/>
        <v/>
      </c>
      <c r="X23" s="51"/>
      <c r="Y23" s="120"/>
      <c r="Z23" s="52"/>
      <c r="AA23" s="120"/>
      <c r="AB23" s="120"/>
      <c r="AC23" s="52"/>
      <c r="AD23" s="52"/>
      <c r="AE23" s="53" t="str">
        <f t="shared" si="35"/>
        <v/>
      </c>
      <c r="AF23" s="53" t="str">
        <f t="shared" si="36"/>
        <v/>
      </c>
      <c r="AG23" s="53" t="str">
        <f t="shared" si="37"/>
        <v/>
      </c>
      <c r="AH23" s="54" t="str">
        <f t="shared" si="38"/>
        <v/>
      </c>
      <c r="AI23" s="51"/>
      <c r="AJ23" s="120"/>
      <c r="AK23" s="52"/>
      <c r="AL23" s="120"/>
      <c r="AM23" s="120"/>
      <c r="AN23" s="52"/>
      <c r="AO23" s="52"/>
      <c r="AP23" s="53" t="str">
        <f t="shared" si="45"/>
        <v/>
      </c>
      <c r="AQ23" s="53" t="str">
        <f t="shared" si="46"/>
        <v/>
      </c>
      <c r="AR23" s="53" t="str">
        <f t="shared" si="47"/>
        <v/>
      </c>
      <c r="AS23" s="54" t="str">
        <f t="shared" si="48"/>
        <v/>
      </c>
      <c r="AT23" s="55"/>
      <c r="AU23" s="121"/>
      <c r="AV23" s="56"/>
      <c r="AW23" s="121"/>
      <c r="AX23" s="121"/>
      <c r="AY23" s="45" t="str">
        <f t="shared" si="39"/>
        <v/>
      </c>
      <c r="AZ23" s="45"/>
      <c r="BA23" s="57" t="str">
        <f>IFERROR(IF(1-(AU23-AT23)/(AV23-AT23)&gt;0.9,"G",IF(1-(AU23-AT23)/(AV23-AT23)&gt;0.85,"A","R")),"")</f>
        <v/>
      </c>
      <c r="BB23" s="57" t="str">
        <f>IF(AW23="","",IF((AV23-AT23)/(AW23-AT23)&gt;0.9,"G",(IF((AV23-AT23)/(AW23-AT23)&gt;0.85,"A","R"))))</f>
        <v/>
      </c>
      <c r="BC23" s="57" t="str">
        <f>IF(AX23="","",IF((AV23-AT23)/(AX23-AT23)&gt;0.9,"G",(IF((AV23-AT23)/(AX23-AT23)&gt;0.85,"A","R"))))</f>
        <v/>
      </c>
      <c r="BD23" s="58" t="str">
        <f t="shared" si="49"/>
        <v/>
      </c>
      <c r="BE23" s="335"/>
      <c r="BF23" s="336"/>
      <c r="BG23" s="337"/>
      <c r="BH23" s="62"/>
      <c r="BI23" s="60"/>
      <c r="BJ23" s="63" t="e">
        <f t="shared" si="50"/>
        <v>#DIV/0!</v>
      </c>
      <c r="BK23" s="63" t="e">
        <f t="shared" si="51"/>
        <v>#DIV/0!</v>
      </c>
      <c r="BL23" s="64" t="str">
        <f>IF(BE23="","",IF(AND(BJ23&lt;0.025,BK23&lt;0.025),"G",IF(OR(BJ23&gt;0.05,BK23&gt;0.05),"R",IF(AND(BJ23&gt;0.025,BK23&gt;0.025),"A","G"))))</f>
        <v/>
      </c>
      <c r="BM23" s="18"/>
      <c r="BN23" s="19"/>
      <c r="BO23" s="65" t="str">
        <f>IF(AND(BL23="",BD23="",AS23="",W23=""),"",IF(AND(BL23="G",BD23="G",AS23="G",W23="G"),"G",IF(OR(BL23="R",BD23="R",AS23="R",W23="R"),"R",VLOOKUP(CONCATENATE(W23,AS23,BD23,BL23),'Rag Coding'!A:B,2,FALSE))))</f>
        <v/>
      </c>
      <c r="BP23" s="37">
        <f>'Dashboard Page'!N24</f>
        <v>0</v>
      </c>
      <c r="BQ23" s="39" t="str">
        <f ca="1">IF(M23="","",IF(V23&lt;&gt;"","Completed ",IF(AND(U23&lt;&gt;"",P23&gt;TODAY()),"Forecast Completion on "&amp;DAY(P23)&amp;"-"&amp;MONTH(P23)&amp;"-"&amp;YEAR(P23)&amp;CHAR(10)&amp;IF(P23-O23&gt;0,(P23-O23)&amp;" day(s) late",(IF(P23-O23=0,"on time",(O23-P23)&amp;" day(s) early"))),IF(P23&lt;TODAY(),"Forecast Completion in the past, please update","Baseline Complete"))))</f>
        <v/>
      </c>
      <c r="BR23" s="39" t="str">
        <f ca="1">IF(BQ23="Completed ",IF(Q23-O23&gt;0,Q23-O23&amp;" day(s) late",(IF(Q23-O23=0,"on time",O23-Q23&amp;" day(s) early"))),"")</f>
        <v/>
      </c>
      <c r="BS23" s="39" t="str">
        <f ca="1">IF(X23="","",IF(AG23&lt;&gt;"","Completed ",IF(AND(AF23&lt;&gt;"",AA23&gt;TODAY()),"Forecast Completion on "&amp;DAY(AA23)&amp;"-"&amp;MONTH(AA23)&amp;"-"&amp;YEAR(AA23)&amp;CHAR(10)&amp;IF(AA23-Z23&gt;0,(AA23-Z23)&amp;" day(s) late",(IF(AA23-Z23=0,"on time",(Z23-AA23)&amp;" day(s) early"))),IF(AA23&lt;TODAY(),"Forecast Completion in the past, please update","Baseline Complete"))))</f>
        <v/>
      </c>
      <c r="BT23" s="39" t="str">
        <f ca="1">IF(BS23="Completed ",IF(AB23-Z23&gt;0,AB23-Z23&amp;" day(s) late",(IF(AB23-Z23=0,"on time",Z23-AB23&amp;" day(s) early"))),"")</f>
        <v/>
      </c>
      <c r="BU23" s="39" t="str">
        <f ca="1">IF(AI23="","",IF(AR23&lt;&gt;"","Completed ",IF(AND(AQ23&lt;&gt;"",AL23&gt;TODAY()),"Forecast Completion on "&amp;DAY(AL23)&amp;"-"&amp;MONTH(AL23)&amp;"-"&amp;YEAR(AL23)&amp;CHAR(10)&amp;IF(AL23-AK23&gt;0,(AL23-AK23)&amp;" day(s) late",(IF(AL23-AK23=0,"on time",(AK23-AL23)&amp;" day(s) early"))),IF(AL23&lt;TODAY(),"Forecast Completion in the past, please update","Baseline Complete"))))</f>
        <v/>
      </c>
      <c r="BV23" s="39" t="str">
        <f ca="1">IF(BU23="Completed ",IF(AM23-AK23&gt;0,AM23-AK23&amp;" day(s) late",(IF(AM23-AK23=0,"on time",AK23-AM23&amp;" day(s) early"))),"")</f>
        <v/>
      </c>
      <c r="BW23" s="39" t="str">
        <f ca="1">IF(AT23="","",IF(BC23&lt;&gt;"","Completed ",IF(AND(BB23&lt;&gt;"",AW23&gt;TODAY()),"Forecast Completion on "&amp;DAY(AW23)&amp;"-"&amp;MONTH(AW23)&amp;"-"&amp;YEAR(AW23)&amp;CHAR(10)&amp;IF(AW23-AV23&gt;0,(AW23-AV23)&amp;" day(s) late",(IF(AW23-AV23=0,"on time",(AV23-AW23)&amp;" day(s) early"))),IF(AW23&lt;TODAY(),"Forecast Completion in the past, please update","Baseline Complete"))))</f>
        <v/>
      </c>
      <c r="BX23" s="39" t="str">
        <f ca="1">IF(BW23="Completed ",IF(AX23-AV23&gt;0,AX23-AV23&amp;" day(s) late",(IF(AX23-AV23=0,"on time",AV23-AX23&amp;" day(s) early"))),"")</f>
        <v/>
      </c>
      <c r="BY23" s="39" t="str">
        <f t="shared" ca="1" si="41"/>
        <v/>
      </c>
      <c r="BZ23" s="39" t="str">
        <f>IF(COUNTA(AT23:AX23),"Stage Gate 5",IF(COUNTA(AI23:AM23),"Stage Gate 4", IF(COUNTA(X23:AB23),"Stage Gate 3",  IF(COUNTA(M23:Q23),"Stage Gate 2", "Stage Gate 1"))))</f>
        <v>Stage Gate 1</v>
      </c>
    </row>
    <row r="24" spans="1:78" x14ac:dyDescent="0.2">
      <c r="A24" s="224"/>
      <c r="B24" s="321"/>
      <c r="C24" s="321"/>
      <c r="D24" s="320"/>
      <c r="E24" s="320"/>
      <c r="F24" s="320"/>
      <c r="G24" s="266"/>
      <c r="H24" s="269"/>
      <c r="I24" s="348" t="str">
        <f t="shared" ref="I24:I33" si="53">IF(H24="","",DATE(YEAR(H24),MONTH(H24)+1,DAY(H24)))</f>
        <v/>
      </c>
      <c r="J24" s="349"/>
      <c r="K24" s="346" t="str">
        <f t="shared" ref="K24:K33" si="54">IF(H24="","",IF(J24="","Board Date"&amp;CHAR(10)&amp;TEXT(I24,"dd/mm/yyyy"),"Completed"&amp;CHAR(10)&amp;TEXT(J24,"dd/mm/yyyy")))</f>
        <v/>
      </c>
      <c r="L24" s="330" t="str">
        <f t="shared" ref="L24:L33" ca="1" si="55">IF(AND(J24="",I24=""),"",IF(AND(J24="",I24&lt;TODAY()),"R","G"))</f>
        <v/>
      </c>
      <c r="M24" s="345"/>
      <c r="N24" s="343"/>
      <c r="O24" s="328"/>
      <c r="P24" s="344"/>
      <c r="Q24" s="343"/>
      <c r="R24" s="322"/>
      <c r="S24" s="322"/>
      <c r="T24" s="329" t="str">
        <f t="shared" ref="T24:T33" si="56">IFERROR(IF(1-(N24-M24)/(O24-M24)&gt;0.9,"G",IF(1-(N24-M24)/(O24-M24)&gt;0.85,"A","R")),"")</f>
        <v/>
      </c>
      <c r="U24" s="329" t="str">
        <f t="shared" ref="U24:U33" si="57">IF(P24="","",IF((O24-M24)/(P24-M24)&gt;0.9,"G",(IF((O24-M24)/(P24-M24)&gt;0.85,"A","R"))))</f>
        <v/>
      </c>
      <c r="V24" s="329" t="str">
        <f t="shared" ref="V24:V33" si="58">IF(Q24="","",IF((O24-M24)/(Q24-M24)&gt;0.9,"G",(IF((O24-M24)/(Q24-M24)&gt;0.85,"A","R"))))</f>
        <v/>
      </c>
      <c r="W24" s="330" t="str">
        <f t="shared" ref="W24:W33" si="59">IF(V24="",IF(U24="",T24,U24),V24)</f>
        <v/>
      </c>
      <c r="X24" s="327"/>
      <c r="Y24" s="343"/>
      <c r="Z24" s="328"/>
      <c r="AA24" s="343"/>
      <c r="AB24" s="343"/>
      <c r="AC24" s="328"/>
      <c r="AD24" s="328"/>
      <c r="AE24" s="329" t="str">
        <f t="shared" ref="AE24:AE33" si="60">IFERROR(IF(1-(Y24-X24)/(Z24-X24)&gt;0.9,"G",IF(1-(Y24-X24)/(Z24-X24)&gt;0.85,"A","R")),"")</f>
        <v/>
      </c>
      <c r="AF24" s="329" t="str">
        <f t="shared" ref="AF24:AF33" si="61">IF(AA24="","",IF((Z24-X24)/(AA24-X24)&gt;0.9,"G",(IF((Z24-X24)/(AA24-X24)&gt;0.85,"A","R"))))</f>
        <v/>
      </c>
      <c r="AG24" s="329" t="str">
        <f t="shared" ref="AG24:AG33" si="62">IF(AB24="","",IF((Z24-X24)/(AB24-X24)&gt;0.9,"G",(IF((Z24-X24)/(AB24-X24)&gt;0.85,"A","R"))))</f>
        <v/>
      </c>
      <c r="AH24" s="330" t="str">
        <f t="shared" ref="AH24:AH33" si="63">IF(AG24="",IF(AF24="",AE24,AF24),AG24)</f>
        <v/>
      </c>
      <c r="AI24" s="327"/>
      <c r="AJ24" s="343"/>
      <c r="AK24" s="328"/>
      <c r="AL24" s="343"/>
      <c r="AM24" s="343"/>
      <c r="AN24" s="328"/>
      <c r="AO24" s="328"/>
      <c r="AP24" s="329" t="str">
        <f t="shared" ref="AP24:AP33" si="64">IFERROR(IF(1-(AJ24-AI24)/(AK24-AI24)&gt;0.9,"G",IF(1-(AJ24-AI24)/(AK24-AI24)&gt;0.85,"A","R")),"")</f>
        <v/>
      </c>
      <c r="AQ24" s="329" t="str">
        <f t="shared" ref="AQ24:AQ33" si="65">IF(AL24="","",IF((AK24-AI24)/(AL24-AI24)&gt;0.9,"G",(IF((AK24-AI24)/(AL24-AI24)&gt;0.85,"A","R"))))</f>
        <v/>
      </c>
      <c r="AR24" s="329" t="str">
        <f t="shared" ref="AR24:AR33" si="66">IF(AM24="","",IF((AK24-AI24)/(AM24-AI24)&gt;0.9,"G",(IF((AK24-AI24)/(AM24-AI24)&gt;0.85,"A","R"))))</f>
        <v/>
      </c>
      <c r="AS24" s="330" t="str">
        <f t="shared" ref="AS24:AS33" si="67">IF(AR24="",IF(AQ24="",AP24,AQ24),AR24)</f>
        <v/>
      </c>
      <c r="AT24" s="331"/>
      <c r="AU24" s="344"/>
      <c r="AV24" s="332"/>
      <c r="AW24" s="344"/>
      <c r="AX24" s="344"/>
      <c r="AY24" s="326" t="str">
        <f t="shared" ref="AY24:AY33" si="68">IF(AX24="","",DATE(YEAR(AX24),MONTH(AX24)+3,DAY(AX24)))</f>
        <v/>
      </c>
      <c r="AZ24" s="326"/>
      <c r="BA24" s="333" t="str">
        <f>IFERROR(IF(1-(AU24-AT24)/(AV24-AT24)&gt;0.9,"G",IF(1-(AU24-AT24)/(AV24-AT24)&gt;0.85,"A","R")),"")</f>
        <v/>
      </c>
      <c r="BB24" s="333" t="str">
        <f>IF(AW24="","",IF((AV24-AT24)/(AW24-AT24)&gt;0.9,"G",(IF((AV24-AT24)/(AW24-AT24)&gt;0.85,"A","R"))))</f>
        <v/>
      </c>
      <c r="BC24" s="333" t="str">
        <f>IF(AX24="","",IF((AV24-AT24)/(AX24-AT24)&gt;0.9,"G",(IF((AV24-AT24)/(AX24-AT24)&gt;0.85,"A","R"))))</f>
        <v/>
      </c>
      <c r="BD24" s="334" t="str">
        <f t="shared" ref="BD24:BD33" si="69">IF(BC24="",IF(BB24="",BA24,BB24),BC24)</f>
        <v/>
      </c>
      <c r="BE24" s="335"/>
      <c r="BF24" s="336"/>
      <c r="BG24" s="337"/>
      <c r="BH24" s="338"/>
      <c r="BI24" s="336"/>
      <c r="BJ24" s="339" t="e">
        <f t="shared" ref="BJ24:BJ33" si="70">(BF24-BE24)/BE24</f>
        <v>#DIV/0!</v>
      </c>
      <c r="BK24" s="339" t="e">
        <f t="shared" ref="BK24:BK33" si="71">(BG24-BE24)/BE24</f>
        <v>#DIV/0!</v>
      </c>
      <c r="BL24" s="340" t="str">
        <f t="shared" ref="BL24:BL33" si="72">IF(BE24="","",IF(AND(BJ24&lt;0.025,BK24&lt;0.025),"G",IF(OR(BJ24&gt;0.05,BK24&gt;0.05),"R",IF(AND(BJ24&gt;0.025,BK24&gt;0.025),"A","G"))))</f>
        <v/>
      </c>
      <c r="BM24" s="318"/>
      <c r="BN24" s="319"/>
      <c r="BO24" s="341" t="str">
        <f>IF(AND(BL24="",BD24="",AS24="",W24=""),"",IF(AND(BL24="G",BD24="G",AS24="G",W24="G"),"G",IF(OR(BL24="R",BD24="R",AS24="R",W24="R"),"R",VLOOKUP(CONCATENATE(W24,AS24,BD24,BL24),'Rag Coding'!A:B,2,FALSE))))</f>
        <v/>
      </c>
      <c r="BP24" s="323">
        <f>'Dashboard Page'!N27</f>
        <v>0</v>
      </c>
      <c r="BQ24" s="324" t="str">
        <f ca="1">IF(M24="","",IF(V24&lt;&gt;"","Completed ",IF(AND(U24&lt;&gt;"",P24&gt;TODAY()),"Forecast Completion on "&amp;DAY(P24)&amp;"-"&amp;MONTH(P24)&amp;"-"&amp;YEAR(P24)&amp;CHAR(10)&amp;IF(P24-O24&gt;0,(P24-O24)&amp;" day(s) late",(IF(P24-O24=0,"on time",(O24-P24)&amp;" day(s) early"))),IF(P24&lt;TODAY(),"Forecast Completion in the past, please update","Baseline Complete"))))</f>
        <v/>
      </c>
      <c r="BR24" s="324" t="str">
        <f ca="1">IF(BQ24="Completed ",IF(Q24-O24&gt;0,Q24-O24&amp;" day(s) late",(IF(Q24-O24=0,"on time",O24-Q24&amp;" day(s) early"))),"")</f>
        <v/>
      </c>
      <c r="BS24" s="324" t="str">
        <f ca="1">IF(X24="","",IF(AG24&lt;&gt;"","Completed ",IF(AND(AF24&lt;&gt;"",AA24&gt;TODAY()),"Forecast Completion on "&amp;DAY(AA24)&amp;"-"&amp;MONTH(AA24)&amp;"-"&amp;YEAR(AA24)&amp;CHAR(10)&amp;IF(AA24-Z24&gt;0,(AA24-Z24)&amp;" day(s) late",(IF(AA24-Z24=0,"on time",(Z24-AA24)&amp;" day(s) early"))),IF(AA24&lt;TODAY(),"Forecast Completion in the past, please update","Baseline Complete"))))</f>
        <v/>
      </c>
      <c r="BT24" s="324" t="str">
        <f ca="1">IF(BS24="Completed ",IF(AB24-Z24&gt;0,AB24-Z24&amp;" day(s) late",(IF(AB24-Z24=0,"on time",Z24-AB24&amp;" day(s) early"))),"")</f>
        <v/>
      </c>
      <c r="BU24" s="324" t="str">
        <f ca="1">IF(AI24="","",IF(AR24&lt;&gt;"","Completed ",IF(AND(AQ24&lt;&gt;"",AL24&gt;TODAY()),"Forecast Completion on "&amp;DAY(AL24)&amp;"-"&amp;MONTH(AL24)&amp;"-"&amp;YEAR(AL24)&amp;CHAR(10)&amp;IF(AL24-AK24&gt;0,(AL24-AK24)&amp;" day(s) late",(IF(AL24-AK24=0,"on time",(AK24-AL24)&amp;" day(s) early"))),IF(AL24&lt;TODAY(),"Forecast Completion in the past, please update","Baseline Complete"))))</f>
        <v/>
      </c>
      <c r="BV24" s="324" t="str">
        <f ca="1">IF(BU24="Completed ",IF(AM24-AK24&gt;0,AM24-AK24&amp;" day(s) late",(IF(AM24-AK24=0,"on time",AK24-AM24&amp;" day(s) early"))),"")</f>
        <v/>
      </c>
      <c r="BW24" s="324" t="str">
        <f ca="1">IF(AT24="","",IF(BC24&lt;&gt;"","Completed ",IF(AND(BB24&lt;&gt;"",AW24&gt;TODAY()),"Forecast Completion on "&amp;DAY(AW24)&amp;"-"&amp;MONTH(AW24)&amp;"-"&amp;YEAR(AW24)&amp;CHAR(10)&amp;IF(AW24-AV24&gt;0,(AW24-AV24)&amp;" day(s) late",(IF(AW24-AV24=0,"on time",(AV24-AW24)&amp;" day(s) early"))),IF(AW24&lt;TODAY(),"Forecast Completion in the past, please update","Baseline Complete"))))</f>
        <v/>
      </c>
      <c r="BX24" s="324" t="str">
        <f ca="1">IF(BW24="Completed ",IF(AX24-AV24&gt;0,AX24-AV24&amp;" day(s) late",(IF(AX24-AV24=0,"on time",AV24-AX24&amp;" day(s) early"))),"")</f>
        <v/>
      </c>
      <c r="BY24" s="324" t="str">
        <f t="shared" ref="BY24:BY33" ca="1" si="73">IF(BW24="Completed ",IF(BF24-BE24&gt;0,"Over budget by £"&amp;(BF24-BE24),"Under budget by £"&amp;BE24-BF24),IF(BF24="","","Current Forecast Spend £"&amp;BF24))</f>
        <v/>
      </c>
      <c r="BZ24" s="324" t="str">
        <f>IF(COUNTA(AT24:AX24),"Stage Gate 5",IF(COUNTA(AI24:AM24),"Stage Gate 4", IF(COUNTA(X24:AB24),"Stage Gate 3",  IF(COUNTA(M24:Q24),"Stage Gate 2", "Stage Gate 1"))))</f>
        <v>Stage Gate 1</v>
      </c>
    </row>
    <row r="25" spans="1:78" x14ac:dyDescent="0.2">
      <c r="A25" s="325"/>
      <c r="B25" s="321"/>
      <c r="C25" s="321"/>
      <c r="D25" s="320"/>
      <c r="E25" s="320"/>
      <c r="F25" s="320"/>
      <c r="G25" s="266"/>
      <c r="H25" s="269"/>
      <c r="I25" s="348" t="str">
        <f t="shared" si="53"/>
        <v/>
      </c>
      <c r="J25" s="349"/>
      <c r="K25" s="346" t="str">
        <f t="shared" si="54"/>
        <v/>
      </c>
      <c r="L25" s="330" t="str">
        <f t="shared" ca="1" si="55"/>
        <v/>
      </c>
      <c r="M25" s="345"/>
      <c r="N25" s="343"/>
      <c r="O25" s="328"/>
      <c r="P25" s="344"/>
      <c r="Q25" s="343"/>
      <c r="R25" s="322"/>
      <c r="S25" s="322"/>
      <c r="T25" s="329" t="str">
        <f t="shared" si="56"/>
        <v/>
      </c>
      <c r="U25" s="329" t="str">
        <f t="shared" si="57"/>
        <v/>
      </c>
      <c r="V25" s="329" t="str">
        <f t="shared" si="58"/>
        <v/>
      </c>
      <c r="W25" s="330" t="str">
        <f t="shared" si="59"/>
        <v/>
      </c>
      <c r="X25" s="327"/>
      <c r="Y25" s="343"/>
      <c r="Z25" s="328"/>
      <c r="AA25" s="343"/>
      <c r="AB25" s="343"/>
      <c r="AC25" s="328"/>
      <c r="AD25" s="328"/>
      <c r="AE25" s="329" t="str">
        <f t="shared" si="60"/>
        <v/>
      </c>
      <c r="AF25" s="329" t="str">
        <f t="shared" si="61"/>
        <v/>
      </c>
      <c r="AG25" s="329" t="str">
        <f t="shared" si="62"/>
        <v/>
      </c>
      <c r="AH25" s="330" t="str">
        <f t="shared" si="63"/>
        <v/>
      </c>
      <c r="AI25" s="327"/>
      <c r="AJ25" s="343"/>
      <c r="AK25" s="328"/>
      <c r="AL25" s="343"/>
      <c r="AM25" s="343"/>
      <c r="AN25" s="328"/>
      <c r="AO25" s="328"/>
      <c r="AP25" s="329" t="str">
        <f t="shared" si="64"/>
        <v/>
      </c>
      <c r="AQ25" s="329" t="str">
        <f t="shared" si="65"/>
        <v/>
      </c>
      <c r="AR25" s="329" t="str">
        <f t="shared" si="66"/>
        <v/>
      </c>
      <c r="AS25" s="330" t="str">
        <f t="shared" si="67"/>
        <v/>
      </c>
      <c r="AT25" s="331"/>
      <c r="AU25" s="344"/>
      <c r="AV25" s="332"/>
      <c r="AW25" s="344"/>
      <c r="AX25" s="344"/>
      <c r="AY25" s="326" t="str">
        <f t="shared" si="68"/>
        <v/>
      </c>
      <c r="AZ25" s="326"/>
      <c r="BA25" s="333" t="str">
        <f>IFERROR(IF(1-(AU25-AT25)/(AV25-AT25)&gt;0.9,"G",IF(1-(AU25-AT25)/(AV25-AT25)&gt;0.85,"A","R")),"")</f>
        <v/>
      </c>
      <c r="BB25" s="333" t="str">
        <f>IF(AW25="","",IF((AV25-AT25)/(AW25-AT25)&gt;0.9,"G",(IF((AV25-AT25)/(AW25-AT25)&gt;0.85,"A","R"))))</f>
        <v/>
      </c>
      <c r="BC25" s="333" t="str">
        <f>IF(AX25="","",IF((AV25-AT25)/(AX25-AT25)&gt;0.9,"G",(IF((AV25-AT25)/(AX25-AT25)&gt;0.85,"A","R"))))</f>
        <v/>
      </c>
      <c r="BD25" s="334" t="str">
        <f t="shared" si="69"/>
        <v/>
      </c>
      <c r="BE25" s="335"/>
      <c r="BF25" s="336"/>
      <c r="BG25" s="337"/>
      <c r="BH25" s="338"/>
      <c r="BI25" s="336"/>
      <c r="BJ25" s="339" t="e">
        <f t="shared" si="70"/>
        <v>#DIV/0!</v>
      </c>
      <c r="BK25" s="339" t="e">
        <f t="shared" si="71"/>
        <v>#DIV/0!</v>
      </c>
      <c r="BL25" s="340" t="str">
        <f t="shared" si="72"/>
        <v/>
      </c>
      <c r="BM25" s="318"/>
      <c r="BN25" s="319"/>
      <c r="BO25" s="341" t="str">
        <f>IF(AND(BL25="",BD25="",AS25="",W25=""),"",IF(AND(BL25="G",BD25="G",AS25="G",W25="G"),"G",IF(OR(BL25="R",BD25="R",AS25="R",W25="R"),"R",VLOOKUP(CONCATENATE(W25,AS25,BD25,BL25),'Rag Coding'!A:B,2,FALSE))))</f>
        <v/>
      </c>
      <c r="BP25" s="323">
        <f>'Dashboard Page'!N27</f>
        <v>0</v>
      </c>
      <c r="BQ25" s="324" t="str">
        <f ca="1">IF(M25="","",IF(V25&lt;&gt;"","Completed ",IF(AND(U25&lt;&gt;"",P25&gt;TODAY()),"Forecast Completion on "&amp;DAY(P25)&amp;"-"&amp;MONTH(P25)&amp;"-"&amp;YEAR(P25)&amp;CHAR(10)&amp;IF(P25-O25&gt;0,(P25-O25)&amp;" day(s) late",(IF(P25-O25=0,"on time",(O25-P25)&amp;" day(s) early"))),IF(P25&lt;TODAY(),"Forecast Completion in the past, please update","Baseline Complete"))))</f>
        <v/>
      </c>
      <c r="BR25" s="324" t="str">
        <f ca="1">IF(BQ25="Completed ",IF(Q25-O25&gt;0,Q25-O25&amp;" day(s) late",(IF(Q25-O25=0,"on time",O25-Q25&amp;" day(s) early"))),"")</f>
        <v/>
      </c>
      <c r="BS25" s="324" t="str">
        <f ca="1">IF(X25="","",IF(AG25&lt;&gt;"","Completed ",IF(AND(AF25&lt;&gt;"",AA25&gt;TODAY()),"Forecast Completion on "&amp;DAY(AA25)&amp;"-"&amp;MONTH(AA25)&amp;"-"&amp;YEAR(AA25)&amp;CHAR(10)&amp;IF(AA25-Z25&gt;0,(AA25-Z25)&amp;" day(s) late",(IF(AA25-Z25=0,"on time",(Z25-AA25)&amp;" day(s) early"))),IF(AA25&lt;TODAY(),"Forecast Completion in the past, please update","Baseline Complete"))))</f>
        <v/>
      </c>
      <c r="BT25" s="324" t="str">
        <f ca="1">IF(BS25="Completed ",IF(AB25-Z25&gt;0,AB25-Z25&amp;" day(s) late",(IF(AB25-Z25=0,"on time",Z25-AB25&amp;" day(s) early"))),"")</f>
        <v/>
      </c>
      <c r="BU25" s="324" t="str">
        <f ca="1">IF(AI25="","",IF(AR25&lt;&gt;"","Completed ",IF(AND(AQ25&lt;&gt;"",AL25&gt;TODAY()),"Forecast Completion on "&amp;DAY(AL25)&amp;"-"&amp;MONTH(AL25)&amp;"-"&amp;YEAR(AL25)&amp;CHAR(10)&amp;IF(AL25-AK25&gt;0,(AL25-AK25)&amp;" day(s) late",(IF(AL25-AK25=0,"on time",(AK25-AL25)&amp;" day(s) early"))),IF(AL25&lt;TODAY(),"Forecast Completion in the past, please update","Baseline Complete"))))</f>
        <v/>
      </c>
      <c r="BV25" s="324" t="str">
        <f ca="1">IF(BU25="Completed ",IF(AM25-AK25&gt;0,AM25-AK25&amp;" day(s) late",(IF(AM25-AK25=0,"on time",AK25-AM25&amp;" day(s) early"))),"")</f>
        <v/>
      </c>
      <c r="BW25" s="324" t="str">
        <f ca="1">IF(AT25="","",IF(BC25&lt;&gt;"","Completed ",IF(AND(BB25&lt;&gt;"",AW25&gt;TODAY()),"Forecast Completion on "&amp;DAY(AW25)&amp;"-"&amp;MONTH(AW25)&amp;"-"&amp;YEAR(AW25)&amp;CHAR(10)&amp;IF(AW25-AV25&gt;0,(AW25-AV25)&amp;" day(s) late",(IF(AW25-AV25=0,"on time",(AV25-AW25)&amp;" day(s) early"))),IF(AW25&lt;TODAY(),"Forecast Completion in the past, please update","Baseline Complete"))))</f>
        <v/>
      </c>
      <c r="BX25" s="324" t="str">
        <f ca="1">IF(BW25="Completed ",IF(AX25-AV25&gt;0,AX25-AV25&amp;" day(s) late",(IF(AX25-AV25=0,"on time",AV25-AX25&amp;" day(s) early"))),"")</f>
        <v/>
      </c>
      <c r="BY25" s="324" t="str">
        <f t="shared" ca="1" si="73"/>
        <v/>
      </c>
      <c r="BZ25" s="324" t="str">
        <f>IF(COUNTA(AT25:AX25),"Stage Gate 5",IF(COUNTA(AI25:AM25),"Stage Gate 4", IF(COUNTA(X25:AB25),"Stage Gate 3",  IF(COUNTA(M25:Q25),"Stage Gate 2", "Stage Gate 1"))))</f>
        <v>Stage Gate 1</v>
      </c>
    </row>
    <row r="26" spans="1:78" x14ac:dyDescent="0.2">
      <c r="A26" s="325"/>
      <c r="B26" s="321"/>
      <c r="C26" s="321"/>
      <c r="D26" s="320"/>
      <c r="E26" s="320"/>
      <c r="F26" s="320"/>
      <c r="G26" s="266"/>
      <c r="H26" s="269"/>
      <c r="I26" s="348" t="str">
        <f t="shared" si="53"/>
        <v/>
      </c>
      <c r="J26" s="349"/>
      <c r="K26" s="346" t="str">
        <f t="shared" si="54"/>
        <v/>
      </c>
      <c r="L26" s="330" t="str">
        <f t="shared" ca="1" si="55"/>
        <v/>
      </c>
      <c r="M26" s="345"/>
      <c r="N26" s="343"/>
      <c r="O26" s="328"/>
      <c r="P26" s="344"/>
      <c r="Q26" s="343"/>
      <c r="R26" s="322"/>
      <c r="S26" s="322"/>
      <c r="T26" s="329" t="str">
        <f t="shared" si="56"/>
        <v/>
      </c>
      <c r="U26" s="329" t="str">
        <f t="shared" si="57"/>
        <v/>
      </c>
      <c r="V26" s="329" t="str">
        <f t="shared" si="58"/>
        <v/>
      </c>
      <c r="W26" s="330" t="str">
        <f t="shared" si="59"/>
        <v/>
      </c>
      <c r="X26" s="327"/>
      <c r="Y26" s="343"/>
      <c r="Z26" s="328"/>
      <c r="AA26" s="343"/>
      <c r="AB26" s="343"/>
      <c r="AC26" s="328"/>
      <c r="AD26" s="328"/>
      <c r="AE26" s="329" t="str">
        <f t="shared" si="60"/>
        <v/>
      </c>
      <c r="AF26" s="329" t="str">
        <f t="shared" si="61"/>
        <v/>
      </c>
      <c r="AG26" s="329" t="str">
        <f t="shared" si="62"/>
        <v/>
      </c>
      <c r="AH26" s="330" t="str">
        <f t="shared" si="63"/>
        <v/>
      </c>
      <c r="AI26" s="327"/>
      <c r="AJ26" s="343"/>
      <c r="AK26" s="328"/>
      <c r="AL26" s="343"/>
      <c r="AM26" s="343"/>
      <c r="AN26" s="328"/>
      <c r="AO26" s="328"/>
      <c r="AP26" s="329" t="str">
        <f t="shared" si="64"/>
        <v/>
      </c>
      <c r="AQ26" s="329" t="str">
        <f t="shared" si="65"/>
        <v/>
      </c>
      <c r="AR26" s="329" t="str">
        <f t="shared" si="66"/>
        <v/>
      </c>
      <c r="AS26" s="330" t="str">
        <f t="shared" si="67"/>
        <v/>
      </c>
      <c r="AT26" s="331"/>
      <c r="AU26" s="344"/>
      <c r="AV26" s="332"/>
      <c r="AW26" s="344"/>
      <c r="AX26" s="344"/>
      <c r="AY26" s="326" t="str">
        <f t="shared" si="68"/>
        <v/>
      </c>
      <c r="AZ26" s="326"/>
      <c r="BA26" s="333" t="str">
        <f>IFERROR(IF(1-(AU26-AT26)/(AV26-AT26)&gt;0.9,"G",IF(1-(AU26-AT26)/(AV26-AT26)&gt;0.85,"A","R")),"")</f>
        <v/>
      </c>
      <c r="BB26" s="333" t="str">
        <f>IF(AW26="","",IF((AV26-AT26)/(AW26-AT26)&gt;0.9,"G",(IF((AV26-AT26)/(AW26-AT26)&gt;0.85,"A","R"))))</f>
        <v/>
      </c>
      <c r="BC26" s="333" t="str">
        <f>IF(AX26="","",IF((AV26-AT26)/(AX26-AT26)&gt;0.9,"G",(IF((AV26-AT26)/(AX26-AT26)&gt;0.85,"A","R"))))</f>
        <v/>
      </c>
      <c r="BD26" s="334" t="str">
        <f t="shared" si="69"/>
        <v/>
      </c>
      <c r="BE26" s="335"/>
      <c r="BF26" s="336"/>
      <c r="BG26" s="337"/>
      <c r="BH26" s="338"/>
      <c r="BI26" s="336"/>
      <c r="BJ26" s="339" t="e">
        <f t="shared" si="70"/>
        <v>#DIV/0!</v>
      </c>
      <c r="BK26" s="339" t="e">
        <f t="shared" si="71"/>
        <v>#DIV/0!</v>
      </c>
      <c r="BL26" s="340" t="str">
        <f t="shared" si="72"/>
        <v/>
      </c>
      <c r="BM26" s="318"/>
      <c r="BN26" s="319"/>
      <c r="BO26" s="341" t="str">
        <f>IF(AND(BL26="",BD26="",AS26="",W26=""),"",IF(AND(BL26="G",BD26="G",AS26="G",W26="G"),"G",IF(OR(BL26="R",BD26="R",AS26="R",W26="R"),"R",VLOOKUP(CONCATENATE(W26,AS26,BD26,BL26),'Rag Coding'!A:B,2,FALSE))))</f>
        <v/>
      </c>
      <c r="BP26" s="323">
        <f>'Dashboard Page'!N27</f>
        <v>0</v>
      </c>
      <c r="BQ26" s="324" t="str">
        <f ca="1">IF(M26="","",IF(V26&lt;&gt;"","Completed ",IF(AND(U26&lt;&gt;"",P26&gt;TODAY()),"Forecast Completion on "&amp;DAY(P26)&amp;"-"&amp;MONTH(P26)&amp;"-"&amp;YEAR(P26)&amp;CHAR(10)&amp;IF(P26-O26&gt;0,(P26-O26)&amp;" day(s) late",(IF(P26-O26=0,"on time",(O26-P26)&amp;" day(s) early"))),IF(P26&lt;TODAY(),"Forecast Completion in the past, please update","Baseline Complete"))))</f>
        <v/>
      </c>
      <c r="BR26" s="324" t="str">
        <f ca="1">IF(BQ26="Completed ",IF(Q26-O26&gt;0,Q26-O26&amp;" day(s) late",(IF(Q26-O26=0,"on time",O26-Q26&amp;" day(s) early"))),"")</f>
        <v/>
      </c>
      <c r="BS26" s="324" t="str">
        <f ca="1">IF(X26="","",IF(AG26&lt;&gt;"","Completed ",IF(AND(AF26&lt;&gt;"",AA26&gt;TODAY()),"Forecast Completion on "&amp;DAY(AA26)&amp;"-"&amp;MONTH(AA26)&amp;"-"&amp;YEAR(AA26)&amp;CHAR(10)&amp;IF(AA26-Z26&gt;0,(AA26-Z26)&amp;" day(s) late",(IF(AA26-Z26=0,"on time",(Z26-AA26)&amp;" day(s) early"))),IF(AA26&lt;TODAY(),"Forecast Completion in the past, please update","Baseline Complete"))))</f>
        <v/>
      </c>
      <c r="BT26" s="324" t="str">
        <f ca="1">IF(BS26="Completed ",IF(AB26-Z26&gt;0,AB26-Z26&amp;" day(s) late",(IF(AB26-Z26=0,"on time",Z26-AB26&amp;" day(s) early"))),"")</f>
        <v/>
      </c>
      <c r="BU26" s="324" t="str">
        <f ca="1">IF(AI26="","",IF(AR26&lt;&gt;"","Completed ",IF(AND(AQ26&lt;&gt;"",AL26&gt;TODAY()),"Forecast Completion on "&amp;DAY(AL26)&amp;"-"&amp;MONTH(AL26)&amp;"-"&amp;YEAR(AL26)&amp;CHAR(10)&amp;IF(AL26-AK26&gt;0,(AL26-AK26)&amp;" day(s) late",(IF(AL26-AK26=0,"on time",(AK26-AL26)&amp;" day(s) early"))),IF(AL26&lt;TODAY(),"Forecast Completion in the past, please update","Baseline Complete"))))</f>
        <v/>
      </c>
      <c r="BV26" s="324" t="str">
        <f ca="1">IF(BU26="Completed ",IF(AM26-AK26&gt;0,AM26-AK26&amp;" day(s) late",(IF(AM26-AK26=0,"on time",AK26-AM26&amp;" day(s) early"))),"")</f>
        <v/>
      </c>
      <c r="BW26" s="324" t="str">
        <f ca="1">IF(AT26="","",IF(BC26&lt;&gt;"","Completed ",IF(AND(BB26&lt;&gt;"",AW26&gt;TODAY()),"Forecast Completion on "&amp;DAY(AW26)&amp;"-"&amp;MONTH(AW26)&amp;"-"&amp;YEAR(AW26)&amp;CHAR(10)&amp;IF(AW26-AV26&gt;0,(AW26-AV26)&amp;" day(s) late",(IF(AW26-AV26=0,"on time",(AV26-AW26)&amp;" day(s) early"))),IF(AW26&lt;TODAY(),"Forecast Completion in the past, please update","Baseline Complete"))))</f>
        <v/>
      </c>
      <c r="BX26" s="324" t="str">
        <f ca="1">IF(BW26="Completed ",IF(AX26-AV26&gt;0,AX26-AV26&amp;" day(s) late",(IF(AX26-AV26=0,"on time",AV26-AX26&amp;" day(s) early"))),"")</f>
        <v/>
      </c>
      <c r="BY26" s="324" t="str">
        <f t="shared" ca="1" si="73"/>
        <v/>
      </c>
      <c r="BZ26" s="324" t="str">
        <f>IF(COUNTA(AT26:AX26),"Stage Gate 5",IF(COUNTA(AI26:AM26),"Stage Gate 4", IF(COUNTA(X26:AB26),"Stage Gate 3",  IF(COUNTA(M26:Q26),"Stage Gate 2", "Stage Gate 1"))))</f>
        <v>Stage Gate 1</v>
      </c>
    </row>
    <row r="27" spans="1:78" x14ac:dyDescent="0.2">
      <c r="A27" s="325"/>
      <c r="B27" s="321"/>
      <c r="C27" s="321"/>
      <c r="D27" s="320"/>
      <c r="E27" s="320"/>
      <c r="F27" s="320"/>
      <c r="G27" s="266"/>
      <c r="H27" s="269"/>
      <c r="I27" s="348" t="str">
        <f t="shared" si="53"/>
        <v/>
      </c>
      <c r="J27" s="349"/>
      <c r="K27" s="346" t="str">
        <f t="shared" si="54"/>
        <v/>
      </c>
      <c r="L27" s="330" t="str">
        <f t="shared" ca="1" si="55"/>
        <v/>
      </c>
      <c r="M27" s="345"/>
      <c r="N27" s="343"/>
      <c r="O27" s="328"/>
      <c r="P27" s="344"/>
      <c r="Q27" s="343"/>
      <c r="R27" s="322"/>
      <c r="S27" s="322"/>
      <c r="T27" s="329" t="str">
        <f t="shared" si="56"/>
        <v/>
      </c>
      <c r="U27" s="329" t="str">
        <f t="shared" si="57"/>
        <v/>
      </c>
      <c r="V27" s="329" t="str">
        <f t="shared" si="58"/>
        <v/>
      </c>
      <c r="W27" s="330" t="str">
        <f t="shared" si="59"/>
        <v/>
      </c>
      <c r="X27" s="327"/>
      <c r="Y27" s="343"/>
      <c r="Z27" s="328"/>
      <c r="AA27" s="343"/>
      <c r="AB27" s="343"/>
      <c r="AC27" s="328"/>
      <c r="AD27" s="328"/>
      <c r="AE27" s="329" t="str">
        <f t="shared" si="60"/>
        <v/>
      </c>
      <c r="AF27" s="329" t="str">
        <f t="shared" si="61"/>
        <v/>
      </c>
      <c r="AG27" s="329" t="str">
        <f t="shared" si="62"/>
        <v/>
      </c>
      <c r="AH27" s="330" t="str">
        <f t="shared" si="63"/>
        <v/>
      </c>
      <c r="AI27" s="327"/>
      <c r="AJ27" s="343"/>
      <c r="AK27" s="328"/>
      <c r="AL27" s="343"/>
      <c r="AM27" s="343"/>
      <c r="AN27" s="328"/>
      <c r="AO27" s="328"/>
      <c r="AP27" s="329" t="str">
        <f t="shared" si="64"/>
        <v/>
      </c>
      <c r="AQ27" s="329" t="str">
        <f t="shared" si="65"/>
        <v/>
      </c>
      <c r="AR27" s="329" t="str">
        <f t="shared" si="66"/>
        <v/>
      </c>
      <c r="AS27" s="330" t="str">
        <f t="shared" si="67"/>
        <v/>
      </c>
      <c r="AT27" s="331"/>
      <c r="AU27" s="344"/>
      <c r="AV27" s="332"/>
      <c r="AW27" s="344"/>
      <c r="AX27" s="344"/>
      <c r="AY27" s="326" t="str">
        <f t="shared" si="68"/>
        <v/>
      </c>
      <c r="AZ27" s="326"/>
      <c r="BA27" s="333" t="str">
        <f>IFERROR(IF(1-(AU27-AT27)/(AV27-AT27)&gt;0.9,"G",IF(1-(AU27-AT27)/(AV27-AT27)&gt;0.85,"A","R")),"")</f>
        <v/>
      </c>
      <c r="BB27" s="333" t="str">
        <f>IF(AW27="","",IF((AV27-AT27)/(AW27-AT27)&gt;0.9,"G",(IF((AV27-AT27)/(AW27-AT27)&gt;0.85,"A","R"))))</f>
        <v/>
      </c>
      <c r="BC27" s="333" t="str">
        <f>IF(AX27="","",IF((AV27-AT27)/(AX27-AT27)&gt;0.9,"G",(IF((AV27-AT27)/(AX27-AT27)&gt;0.85,"A","R"))))</f>
        <v/>
      </c>
      <c r="BD27" s="334" t="str">
        <f t="shared" si="69"/>
        <v/>
      </c>
      <c r="BE27" s="335"/>
      <c r="BF27" s="336"/>
      <c r="BG27" s="337"/>
      <c r="BH27" s="338"/>
      <c r="BI27" s="336"/>
      <c r="BJ27" s="339" t="e">
        <f t="shared" si="70"/>
        <v>#DIV/0!</v>
      </c>
      <c r="BK27" s="339" t="e">
        <f t="shared" si="71"/>
        <v>#DIV/0!</v>
      </c>
      <c r="BL27" s="340" t="str">
        <f t="shared" si="72"/>
        <v/>
      </c>
      <c r="BM27" s="318"/>
      <c r="BN27" s="319"/>
      <c r="BO27" s="341" t="str">
        <f>IF(AND(BL27="",BD27="",AS27="",W27=""),"",IF(AND(BL27="G",BD27="G",AS27="G",W27="G"),"G",IF(OR(BL27="R",BD27="R",AS27="R",W27="R"),"R",VLOOKUP(CONCATENATE(W27,AS27,BD27,BL27),'Rag Coding'!A:B,2,FALSE))))</f>
        <v/>
      </c>
      <c r="BP27" s="323">
        <f>'Dashboard Page'!N27</f>
        <v>0</v>
      </c>
      <c r="BQ27" s="324" t="str">
        <f ca="1">IF(M27="","",IF(V27&lt;&gt;"","Completed ",IF(AND(U27&lt;&gt;"",P27&gt;TODAY()),"Forecast Completion on "&amp;DAY(P27)&amp;"-"&amp;MONTH(P27)&amp;"-"&amp;YEAR(P27)&amp;CHAR(10)&amp;IF(P27-O27&gt;0,(P27-O27)&amp;" day(s) late",(IF(P27-O27=0,"on time",(O27-P27)&amp;" day(s) early"))),IF(P27&lt;TODAY(),"Forecast Completion in the past, please update","Baseline Complete"))))</f>
        <v/>
      </c>
      <c r="BR27" s="324" t="str">
        <f ca="1">IF(BQ27="Completed ",IF(Q27-O27&gt;0,Q27-O27&amp;" day(s) late",(IF(Q27-O27=0,"on time",O27-Q27&amp;" day(s) early"))),"")</f>
        <v/>
      </c>
      <c r="BS27" s="324" t="str">
        <f ca="1">IF(X27="","",IF(AG27&lt;&gt;"","Completed ",IF(AND(AF27&lt;&gt;"",AA27&gt;TODAY()),"Forecast Completion on "&amp;DAY(AA27)&amp;"-"&amp;MONTH(AA27)&amp;"-"&amp;YEAR(AA27)&amp;CHAR(10)&amp;IF(AA27-Z27&gt;0,(AA27-Z27)&amp;" day(s) late",(IF(AA27-Z27=0,"on time",(Z27-AA27)&amp;" day(s) early"))),IF(AA27&lt;TODAY(),"Forecast Completion in the past, please update","Baseline Complete"))))</f>
        <v/>
      </c>
      <c r="BT27" s="324" t="str">
        <f ca="1">IF(BS27="Completed ",IF(AB27-Z27&gt;0,AB27-Z27&amp;" day(s) late",(IF(AB27-Z27=0,"on time",Z27-AB27&amp;" day(s) early"))),"")</f>
        <v/>
      </c>
      <c r="BU27" s="324" t="str">
        <f ca="1">IF(AI27="","",IF(AR27&lt;&gt;"","Completed ",IF(AND(AQ27&lt;&gt;"",AL27&gt;TODAY()),"Forecast Completion on "&amp;DAY(AL27)&amp;"-"&amp;MONTH(AL27)&amp;"-"&amp;YEAR(AL27)&amp;CHAR(10)&amp;IF(AL27-AK27&gt;0,(AL27-AK27)&amp;" day(s) late",(IF(AL27-AK27=0,"on time",(AK27-AL27)&amp;" day(s) early"))),IF(AL27&lt;TODAY(),"Forecast Completion in the past, please update","Baseline Complete"))))</f>
        <v/>
      </c>
      <c r="BV27" s="324" t="str">
        <f ca="1">IF(BU27="Completed ",IF(AM27-AK27&gt;0,AM27-AK27&amp;" day(s) late",(IF(AM27-AK27=0,"on time",AK27-AM27&amp;" day(s) early"))),"")</f>
        <v/>
      </c>
      <c r="BW27" s="324" t="str">
        <f ca="1">IF(AT27="","",IF(BC27&lt;&gt;"","Completed ",IF(AND(BB27&lt;&gt;"",AW27&gt;TODAY()),"Forecast Completion on "&amp;DAY(AW27)&amp;"-"&amp;MONTH(AW27)&amp;"-"&amp;YEAR(AW27)&amp;CHAR(10)&amp;IF(AW27-AV27&gt;0,(AW27-AV27)&amp;" day(s) late",(IF(AW27-AV27=0,"on time",(AV27-AW27)&amp;" day(s) early"))),IF(AW27&lt;TODAY(),"Forecast Completion in the past, please update","Baseline Complete"))))</f>
        <v/>
      </c>
      <c r="BX27" s="324" t="str">
        <f ca="1">IF(BW27="Completed ",IF(AX27-AV27&gt;0,AX27-AV27&amp;" day(s) late",(IF(AX27-AV27=0,"on time",AV27-AX27&amp;" day(s) early"))),"")</f>
        <v/>
      </c>
      <c r="BY27" s="324" t="str">
        <f t="shared" ca="1" si="73"/>
        <v/>
      </c>
      <c r="BZ27" s="324" t="str">
        <f>IF(COUNTA(AT27:AX27),"Stage Gate 5",IF(COUNTA(AI27:AM27),"Stage Gate 4", IF(COUNTA(X27:AB27),"Stage Gate 3",  IF(COUNTA(M27:Q27),"Stage Gate 2", "Stage Gate 1"))))</f>
        <v>Stage Gate 1</v>
      </c>
    </row>
    <row r="28" spans="1:78" x14ac:dyDescent="0.2">
      <c r="A28" s="325"/>
      <c r="B28" s="321"/>
      <c r="C28" s="321"/>
      <c r="D28" s="320"/>
      <c r="E28" s="320"/>
      <c r="F28" s="320"/>
      <c r="G28" s="266"/>
      <c r="H28" s="269"/>
      <c r="I28" s="348" t="str">
        <f t="shared" si="53"/>
        <v/>
      </c>
      <c r="J28" s="349"/>
      <c r="K28" s="346" t="str">
        <f t="shared" si="54"/>
        <v/>
      </c>
      <c r="L28" s="330" t="str">
        <f t="shared" ca="1" si="55"/>
        <v/>
      </c>
      <c r="M28" s="345"/>
      <c r="N28" s="343"/>
      <c r="O28" s="328"/>
      <c r="P28" s="344"/>
      <c r="Q28" s="343"/>
      <c r="R28" s="322"/>
      <c r="S28" s="322"/>
      <c r="T28" s="329" t="str">
        <f t="shared" si="56"/>
        <v/>
      </c>
      <c r="U28" s="329" t="str">
        <f t="shared" si="57"/>
        <v/>
      </c>
      <c r="V28" s="329" t="str">
        <f t="shared" si="58"/>
        <v/>
      </c>
      <c r="W28" s="330" t="str">
        <f t="shared" si="59"/>
        <v/>
      </c>
      <c r="X28" s="327"/>
      <c r="Y28" s="343"/>
      <c r="Z28" s="328"/>
      <c r="AA28" s="343"/>
      <c r="AB28" s="343"/>
      <c r="AC28" s="328"/>
      <c r="AD28" s="328"/>
      <c r="AE28" s="329" t="str">
        <f t="shared" si="60"/>
        <v/>
      </c>
      <c r="AF28" s="329" t="str">
        <f t="shared" si="61"/>
        <v/>
      </c>
      <c r="AG28" s="329" t="str">
        <f t="shared" si="62"/>
        <v/>
      </c>
      <c r="AH28" s="330" t="str">
        <f t="shared" si="63"/>
        <v/>
      </c>
      <c r="AI28" s="327"/>
      <c r="AJ28" s="343"/>
      <c r="AK28" s="328"/>
      <c r="AL28" s="343"/>
      <c r="AM28" s="343"/>
      <c r="AN28" s="328"/>
      <c r="AO28" s="328"/>
      <c r="AP28" s="329" t="str">
        <f t="shared" si="64"/>
        <v/>
      </c>
      <c r="AQ28" s="329" t="str">
        <f t="shared" si="65"/>
        <v/>
      </c>
      <c r="AR28" s="329" t="str">
        <f t="shared" si="66"/>
        <v/>
      </c>
      <c r="AS28" s="330" t="str">
        <f t="shared" si="67"/>
        <v/>
      </c>
      <c r="AT28" s="331"/>
      <c r="AU28" s="344"/>
      <c r="AV28" s="332"/>
      <c r="AW28" s="344"/>
      <c r="AX28" s="344"/>
      <c r="AY28" s="326" t="str">
        <f t="shared" si="68"/>
        <v/>
      </c>
      <c r="AZ28" s="326"/>
      <c r="BA28" s="333" t="str">
        <f>IFERROR(IF(1-(AU28-AT28)/(AV28-AT28)&gt;0.9,"G",IF(1-(AU28-AT28)/(AV28-AT28)&gt;0.85,"A","R")),"")</f>
        <v/>
      </c>
      <c r="BB28" s="333" t="str">
        <f>IF(AW28="","",IF((AV28-AT28)/(AW28-AT28)&gt;0.9,"G",(IF((AV28-AT28)/(AW28-AT28)&gt;0.85,"A","R"))))</f>
        <v/>
      </c>
      <c r="BC28" s="333" t="str">
        <f>IF(AX28="","",IF((AV28-AT28)/(AX28-AT28)&gt;0.9,"G",(IF((AV28-AT28)/(AX28-AT28)&gt;0.85,"A","R"))))</f>
        <v/>
      </c>
      <c r="BD28" s="334" t="str">
        <f t="shared" si="69"/>
        <v/>
      </c>
      <c r="BE28" s="335"/>
      <c r="BF28" s="336"/>
      <c r="BG28" s="337"/>
      <c r="BH28" s="338"/>
      <c r="BI28" s="336"/>
      <c r="BJ28" s="339" t="e">
        <f t="shared" si="70"/>
        <v>#DIV/0!</v>
      </c>
      <c r="BK28" s="339" t="e">
        <f t="shared" si="71"/>
        <v>#DIV/0!</v>
      </c>
      <c r="BL28" s="340" t="str">
        <f t="shared" si="72"/>
        <v/>
      </c>
      <c r="BM28" s="318"/>
      <c r="BN28" s="319"/>
      <c r="BO28" s="341" t="str">
        <f>IF(AND(BL28="",BD28="",AS28="",W28=""),"",IF(AND(BL28="G",BD28="G",AS28="G",W28="G"),"G",IF(OR(BL28="R",BD28="R",AS28="R",W28="R"),"R",VLOOKUP(CONCATENATE(W28,AS28,BD28,BL28),'Rag Coding'!A:B,2,FALSE))))</f>
        <v/>
      </c>
      <c r="BP28" s="323">
        <f>'Dashboard Page'!N27</f>
        <v>0</v>
      </c>
      <c r="BQ28" s="324" t="str">
        <f ca="1">IF(M28="","",IF(V28&lt;&gt;"","Completed ",IF(AND(U28&lt;&gt;"",P28&gt;TODAY()),"Forecast Completion on "&amp;DAY(P28)&amp;"-"&amp;MONTH(P28)&amp;"-"&amp;YEAR(P28)&amp;CHAR(10)&amp;IF(P28-O28&gt;0,(P28-O28)&amp;" day(s) late",(IF(P28-O28=0,"on time",(O28-P28)&amp;" day(s) early"))),IF(P28&lt;TODAY(),"Forecast Completion in the past, please update","Baseline Complete"))))</f>
        <v/>
      </c>
      <c r="BR28" s="324" t="str">
        <f ca="1">IF(BQ28="Completed ",IF(Q28-O28&gt;0,Q28-O28&amp;" day(s) late",(IF(Q28-O28=0,"on time",O28-Q28&amp;" day(s) early"))),"")</f>
        <v/>
      </c>
      <c r="BS28" s="324" t="str">
        <f ca="1">IF(X28="","",IF(AG28&lt;&gt;"","Completed ",IF(AND(AF28&lt;&gt;"",AA28&gt;TODAY()),"Forecast Completion on "&amp;DAY(AA28)&amp;"-"&amp;MONTH(AA28)&amp;"-"&amp;YEAR(AA28)&amp;CHAR(10)&amp;IF(AA28-Z28&gt;0,(AA28-Z28)&amp;" day(s) late",(IF(AA28-Z28=0,"on time",(Z28-AA28)&amp;" day(s) early"))),IF(AA28&lt;TODAY(),"Forecast Completion in the past, please update","Baseline Complete"))))</f>
        <v/>
      </c>
      <c r="BT28" s="324" t="str">
        <f ca="1">IF(BS28="Completed ",IF(AB28-Z28&gt;0,AB28-Z28&amp;" day(s) late",(IF(AB28-Z28=0,"on time",Z28-AB28&amp;" day(s) early"))),"")</f>
        <v/>
      </c>
      <c r="BU28" s="324" t="str">
        <f ca="1">IF(AI28="","",IF(AR28&lt;&gt;"","Completed ",IF(AND(AQ28&lt;&gt;"",AL28&gt;TODAY()),"Forecast Completion on "&amp;DAY(AL28)&amp;"-"&amp;MONTH(AL28)&amp;"-"&amp;YEAR(AL28)&amp;CHAR(10)&amp;IF(AL28-AK28&gt;0,(AL28-AK28)&amp;" day(s) late",(IF(AL28-AK28=0,"on time",(AK28-AL28)&amp;" day(s) early"))),IF(AL28&lt;TODAY(),"Forecast Completion in the past, please update","Baseline Complete"))))</f>
        <v/>
      </c>
      <c r="BV28" s="324" t="str">
        <f ca="1">IF(BU28="Completed ",IF(AM28-AK28&gt;0,AM28-AK28&amp;" day(s) late",(IF(AM28-AK28=0,"on time",AK28-AM28&amp;" day(s) early"))),"")</f>
        <v/>
      </c>
      <c r="BW28" s="324" t="str">
        <f ca="1">IF(AT28="","",IF(BC28&lt;&gt;"","Completed ",IF(AND(BB28&lt;&gt;"",AW28&gt;TODAY()),"Forecast Completion on "&amp;DAY(AW28)&amp;"-"&amp;MONTH(AW28)&amp;"-"&amp;YEAR(AW28)&amp;CHAR(10)&amp;IF(AW28-AV28&gt;0,(AW28-AV28)&amp;" day(s) late",(IF(AW28-AV28=0,"on time",(AV28-AW28)&amp;" day(s) early"))),IF(AW28&lt;TODAY(),"Forecast Completion in the past, please update","Baseline Complete"))))</f>
        <v/>
      </c>
      <c r="BX28" s="324" t="str">
        <f ca="1">IF(BW28="Completed ",IF(AX28-AV28&gt;0,AX28-AV28&amp;" day(s) late",(IF(AX28-AV28=0,"on time",AV28-AX28&amp;" day(s) early"))),"")</f>
        <v/>
      </c>
      <c r="BY28" s="324" t="str">
        <f t="shared" ca="1" si="73"/>
        <v/>
      </c>
      <c r="BZ28" s="324" t="str">
        <f>IF(COUNTA(AT28:AX28),"Stage Gate 5",IF(COUNTA(AI28:AM28),"Stage Gate 4", IF(COUNTA(X28:AB28),"Stage Gate 3",  IF(COUNTA(M28:Q28),"Stage Gate 2", "Stage Gate 1"))))</f>
        <v>Stage Gate 1</v>
      </c>
    </row>
    <row r="29" spans="1:78" x14ac:dyDescent="0.2">
      <c r="A29" s="325"/>
      <c r="B29" s="321"/>
      <c r="C29" s="321"/>
      <c r="D29" s="320"/>
      <c r="E29" s="320"/>
      <c r="F29" s="320"/>
      <c r="G29" s="266"/>
      <c r="H29" s="269"/>
      <c r="I29" s="348" t="str">
        <f t="shared" si="53"/>
        <v/>
      </c>
      <c r="J29" s="349"/>
      <c r="K29" s="346" t="str">
        <f t="shared" si="54"/>
        <v/>
      </c>
      <c r="L29" s="330" t="str">
        <f t="shared" ca="1" si="55"/>
        <v/>
      </c>
      <c r="M29" s="345"/>
      <c r="N29" s="343"/>
      <c r="O29" s="328"/>
      <c r="P29" s="344"/>
      <c r="Q29" s="343"/>
      <c r="R29" s="322"/>
      <c r="S29" s="322"/>
      <c r="T29" s="329" t="str">
        <f t="shared" si="56"/>
        <v/>
      </c>
      <c r="U29" s="329" t="str">
        <f t="shared" si="57"/>
        <v/>
      </c>
      <c r="V29" s="329" t="str">
        <f t="shared" si="58"/>
        <v/>
      </c>
      <c r="W29" s="330" t="str">
        <f t="shared" si="59"/>
        <v/>
      </c>
      <c r="X29" s="327"/>
      <c r="Y29" s="343"/>
      <c r="Z29" s="328"/>
      <c r="AA29" s="343"/>
      <c r="AB29" s="343"/>
      <c r="AC29" s="328"/>
      <c r="AD29" s="328"/>
      <c r="AE29" s="329" t="str">
        <f t="shared" si="60"/>
        <v/>
      </c>
      <c r="AF29" s="329" t="str">
        <f t="shared" si="61"/>
        <v/>
      </c>
      <c r="AG29" s="329" t="str">
        <f t="shared" si="62"/>
        <v/>
      </c>
      <c r="AH29" s="330" t="str">
        <f t="shared" si="63"/>
        <v/>
      </c>
      <c r="AI29" s="327"/>
      <c r="AJ29" s="343"/>
      <c r="AK29" s="328"/>
      <c r="AL29" s="343"/>
      <c r="AM29" s="343"/>
      <c r="AN29" s="328"/>
      <c r="AO29" s="328"/>
      <c r="AP29" s="329" t="str">
        <f t="shared" si="64"/>
        <v/>
      </c>
      <c r="AQ29" s="329" t="str">
        <f t="shared" si="65"/>
        <v/>
      </c>
      <c r="AR29" s="329" t="str">
        <f t="shared" si="66"/>
        <v/>
      </c>
      <c r="AS29" s="330" t="str">
        <f t="shared" si="67"/>
        <v/>
      </c>
      <c r="AT29" s="331"/>
      <c r="AU29" s="344"/>
      <c r="AV29" s="332"/>
      <c r="AW29" s="344"/>
      <c r="AX29" s="344"/>
      <c r="AY29" s="326" t="str">
        <f t="shared" si="68"/>
        <v/>
      </c>
      <c r="AZ29" s="326"/>
      <c r="BA29" s="333" t="str">
        <f>IFERROR(IF(1-(AU29-AT29)/(AV29-AT29)&gt;0.9,"G",IF(1-(AU29-AT29)/(AV29-AT29)&gt;0.85,"A","R")),"")</f>
        <v/>
      </c>
      <c r="BB29" s="333" t="str">
        <f>IF(AW29="","",IF((AV29-AT29)/(AW29-AT29)&gt;0.9,"G",(IF((AV29-AT29)/(AW29-AT29)&gt;0.85,"A","R"))))</f>
        <v/>
      </c>
      <c r="BC29" s="333" t="str">
        <f>IF(AX29="","",IF((AV29-AT29)/(AX29-AT29)&gt;0.9,"G",(IF((AV29-AT29)/(AX29-AT29)&gt;0.85,"A","R"))))</f>
        <v/>
      </c>
      <c r="BD29" s="334" t="str">
        <f t="shared" si="69"/>
        <v/>
      </c>
      <c r="BE29" s="335"/>
      <c r="BF29" s="336"/>
      <c r="BG29" s="337"/>
      <c r="BH29" s="338"/>
      <c r="BI29" s="336"/>
      <c r="BJ29" s="339" t="e">
        <f t="shared" si="70"/>
        <v>#DIV/0!</v>
      </c>
      <c r="BK29" s="339" t="e">
        <f t="shared" si="71"/>
        <v>#DIV/0!</v>
      </c>
      <c r="BL29" s="340" t="str">
        <f t="shared" si="72"/>
        <v/>
      </c>
      <c r="BM29" s="318"/>
      <c r="BN29" s="319"/>
      <c r="BO29" s="341" t="str">
        <f>IF(AND(BL29="",BD29="",AS29="",W29=""),"",IF(AND(BL29="G",BD29="G",AS29="G",W29="G"),"G",IF(OR(BL29="R",BD29="R",AS29="R",W29="R"),"R",VLOOKUP(CONCATENATE(W29,AS29,BD29,BL29),'Rag Coding'!A:B,2,FALSE))))</f>
        <v/>
      </c>
      <c r="BP29" s="323">
        <f>'Dashboard Page'!N27</f>
        <v>0</v>
      </c>
      <c r="BQ29" s="324" t="str">
        <f ca="1">IF(M29="","",IF(V29&lt;&gt;"","Completed ",IF(AND(U29&lt;&gt;"",P29&gt;TODAY()),"Forecast Completion on "&amp;DAY(P29)&amp;"-"&amp;MONTH(P29)&amp;"-"&amp;YEAR(P29)&amp;CHAR(10)&amp;IF(P29-O29&gt;0,(P29-O29)&amp;" day(s) late",(IF(P29-O29=0,"on time",(O29-P29)&amp;" day(s) early"))),IF(P29&lt;TODAY(),"Forecast Completion in the past, please update","Baseline Complete"))))</f>
        <v/>
      </c>
      <c r="BR29" s="324" t="str">
        <f ca="1">IF(BQ29="Completed ",IF(Q29-O29&gt;0,Q29-O29&amp;" day(s) late",(IF(Q29-O29=0,"on time",O29-Q29&amp;" day(s) early"))),"")</f>
        <v/>
      </c>
      <c r="BS29" s="324" t="str">
        <f ca="1">IF(X29="","",IF(AG29&lt;&gt;"","Completed ",IF(AND(AF29&lt;&gt;"",AA29&gt;TODAY()),"Forecast Completion on "&amp;DAY(AA29)&amp;"-"&amp;MONTH(AA29)&amp;"-"&amp;YEAR(AA29)&amp;CHAR(10)&amp;IF(AA29-Z29&gt;0,(AA29-Z29)&amp;" day(s) late",(IF(AA29-Z29=0,"on time",(Z29-AA29)&amp;" day(s) early"))),IF(AA29&lt;TODAY(),"Forecast Completion in the past, please update","Baseline Complete"))))</f>
        <v/>
      </c>
      <c r="BT29" s="324" t="str">
        <f ca="1">IF(BS29="Completed ",IF(AB29-Z29&gt;0,AB29-Z29&amp;" day(s) late",(IF(AB29-Z29=0,"on time",Z29-AB29&amp;" day(s) early"))),"")</f>
        <v/>
      </c>
      <c r="BU29" s="324" t="str">
        <f ca="1">IF(AI29="","",IF(AR29&lt;&gt;"","Completed ",IF(AND(AQ29&lt;&gt;"",AL29&gt;TODAY()),"Forecast Completion on "&amp;DAY(AL29)&amp;"-"&amp;MONTH(AL29)&amp;"-"&amp;YEAR(AL29)&amp;CHAR(10)&amp;IF(AL29-AK29&gt;0,(AL29-AK29)&amp;" day(s) late",(IF(AL29-AK29=0,"on time",(AK29-AL29)&amp;" day(s) early"))),IF(AL29&lt;TODAY(),"Forecast Completion in the past, please update","Baseline Complete"))))</f>
        <v/>
      </c>
      <c r="BV29" s="324" t="str">
        <f ca="1">IF(BU29="Completed ",IF(AM29-AK29&gt;0,AM29-AK29&amp;" day(s) late",(IF(AM29-AK29=0,"on time",AK29-AM29&amp;" day(s) early"))),"")</f>
        <v/>
      </c>
      <c r="BW29" s="324" t="str">
        <f ca="1">IF(AT29="","",IF(BC29&lt;&gt;"","Completed ",IF(AND(BB29&lt;&gt;"",AW29&gt;TODAY()),"Forecast Completion on "&amp;DAY(AW29)&amp;"-"&amp;MONTH(AW29)&amp;"-"&amp;YEAR(AW29)&amp;CHAR(10)&amp;IF(AW29-AV29&gt;0,(AW29-AV29)&amp;" day(s) late",(IF(AW29-AV29=0,"on time",(AV29-AW29)&amp;" day(s) early"))),IF(AW29&lt;TODAY(),"Forecast Completion in the past, please update","Baseline Complete"))))</f>
        <v/>
      </c>
      <c r="BX29" s="324" t="str">
        <f ca="1">IF(BW29="Completed ",IF(AX29-AV29&gt;0,AX29-AV29&amp;" day(s) late",(IF(AX29-AV29=0,"on time",AV29-AX29&amp;" day(s) early"))),"")</f>
        <v/>
      </c>
      <c r="BY29" s="324" t="str">
        <f t="shared" ca="1" si="73"/>
        <v/>
      </c>
      <c r="BZ29" s="324" t="str">
        <f>IF(COUNTA(AT29:AX29),"Stage Gate 5",IF(COUNTA(AI29:AM29),"Stage Gate 4", IF(COUNTA(X29:AB29),"Stage Gate 3",  IF(COUNTA(M29:Q29),"Stage Gate 2", "Stage Gate 1"))))</f>
        <v>Stage Gate 1</v>
      </c>
    </row>
    <row r="30" spans="1:78" x14ac:dyDescent="0.2">
      <c r="A30" s="325"/>
      <c r="B30" s="321"/>
      <c r="C30" s="321"/>
      <c r="D30" s="320"/>
      <c r="E30" s="320"/>
      <c r="F30" s="320"/>
      <c r="G30" s="266"/>
      <c r="H30" s="269"/>
      <c r="I30" s="348" t="str">
        <f t="shared" si="53"/>
        <v/>
      </c>
      <c r="J30" s="349"/>
      <c r="K30" s="346" t="str">
        <f t="shared" si="54"/>
        <v/>
      </c>
      <c r="L30" s="330" t="str">
        <f t="shared" ca="1" si="55"/>
        <v/>
      </c>
      <c r="M30" s="345"/>
      <c r="N30" s="343"/>
      <c r="O30" s="328"/>
      <c r="P30" s="344"/>
      <c r="Q30" s="343"/>
      <c r="R30" s="322"/>
      <c r="S30" s="322"/>
      <c r="T30" s="329" t="str">
        <f t="shared" si="56"/>
        <v/>
      </c>
      <c r="U30" s="329" t="str">
        <f t="shared" si="57"/>
        <v/>
      </c>
      <c r="V30" s="329" t="str">
        <f t="shared" si="58"/>
        <v/>
      </c>
      <c r="W30" s="330" t="str">
        <f t="shared" si="59"/>
        <v/>
      </c>
      <c r="X30" s="327"/>
      <c r="Y30" s="343"/>
      <c r="Z30" s="328"/>
      <c r="AA30" s="343"/>
      <c r="AB30" s="343"/>
      <c r="AC30" s="328"/>
      <c r="AD30" s="328"/>
      <c r="AE30" s="329" t="str">
        <f t="shared" si="60"/>
        <v/>
      </c>
      <c r="AF30" s="329" t="str">
        <f t="shared" si="61"/>
        <v/>
      </c>
      <c r="AG30" s="329" t="str">
        <f t="shared" si="62"/>
        <v/>
      </c>
      <c r="AH30" s="330" t="str">
        <f t="shared" si="63"/>
        <v/>
      </c>
      <c r="AI30" s="327"/>
      <c r="AJ30" s="343"/>
      <c r="AK30" s="328"/>
      <c r="AL30" s="343"/>
      <c r="AM30" s="343"/>
      <c r="AN30" s="328"/>
      <c r="AO30" s="328"/>
      <c r="AP30" s="329" t="str">
        <f t="shared" si="64"/>
        <v/>
      </c>
      <c r="AQ30" s="329" t="str">
        <f t="shared" si="65"/>
        <v/>
      </c>
      <c r="AR30" s="329" t="str">
        <f t="shared" si="66"/>
        <v/>
      </c>
      <c r="AS30" s="330" t="str">
        <f t="shared" si="67"/>
        <v/>
      </c>
      <c r="AT30" s="331"/>
      <c r="AU30" s="344"/>
      <c r="AV30" s="332"/>
      <c r="AW30" s="344"/>
      <c r="AX30" s="344"/>
      <c r="AY30" s="326" t="str">
        <f t="shared" si="68"/>
        <v/>
      </c>
      <c r="AZ30" s="326"/>
      <c r="BA30" s="333" t="str">
        <f>IFERROR(IF(1-(AU30-AT30)/(AV30-AT30)&gt;0.9,"G",IF(1-(AU30-AT30)/(AV30-AT30)&gt;0.85,"A","R")),"")</f>
        <v/>
      </c>
      <c r="BB30" s="333" t="str">
        <f>IF(AW30="","",IF((AV30-AT30)/(AW30-AT30)&gt;0.9,"G",(IF((AV30-AT30)/(AW30-AT30)&gt;0.85,"A","R"))))</f>
        <v/>
      </c>
      <c r="BC30" s="333" t="str">
        <f>IF(AX30="","",IF((AV30-AT30)/(AX30-AT30)&gt;0.9,"G",(IF((AV30-AT30)/(AX30-AT30)&gt;0.85,"A","R"))))</f>
        <v/>
      </c>
      <c r="BD30" s="334" t="str">
        <f t="shared" si="69"/>
        <v/>
      </c>
      <c r="BE30" s="335"/>
      <c r="BF30" s="336"/>
      <c r="BG30" s="337"/>
      <c r="BH30" s="338"/>
      <c r="BI30" s="336"/>
      <c r="BJ30" s="339" t="e">
        <f t="shared" si="70"/>
        <v>#DIV/0!</v>
      </c>
      <c r="BK30" s="339" t="e">
        <f t="shared" si="71"/>
        <v>#DIV/0!</v>
      </c>
      <c r="BL30" s="340" t="str">
        <f t="shared" si="72"/>
        <v/>
      </c>
      <c r="BM30" s="318"/>
      <c r="BN30" s="319"/>
      <c r="BO30" s="341" t="str">
        <f>IF(AND(BL30="",BD30="",AS30="",W30=""),"",IF(AND(BL30="G",BD30="G",AS30="G",W30="G"),"G",IF(OR(BL30="R",BD30="R",AS30="R",W30="R"),"R",VLOOKUP(CONCATENATE(W30,AS30,BD30,BL30),'Rag Coding'!A:B,2,FALSE))))</f>
        <v/>
      </c>
      <c r="BP30" s="323">
        <f>'Dashboard Page'!N27</f>
        <v>0</v>
      </c>
      <c r="BQ30" s="324" t="str">
        <f ca="1">IF(M30="","",IF(V30&lt;&gt;"","Completed ",IF(AND(U30&lt;&gt;"",P30&gt;TODAY()),"Forecast Completion on "&amp;DAY(P30)&amp;"-"&amp;MONTH(P30)&amp;"-"&amp;YEAR(P30)&amp;CHAR(10)&amp;IF(P30-O30&gt;0,(P30-O30)&amp;" day(s) late",(IF(P30-O30=0,"on time",(O30-P30)&amp;" day(s) early"))),IF(P30&lt;TODAY(),"Forecast Completion in the past, please update","Baseline Complete"))))</f>
        <v/>
      </c>
      <c r="BR30" s="324" t="str">
        <f ca="1">IF(BQ30="Completed ",IF(Q30-O30&gt;0,Q30-O30&amp;" day(s) late",(IF(Q30-O30=0,"on time",O30-Q30&amp;" day(s) early"))),"")</f>
        <v/>
      </c>
      <c r="BS30" s="324" t="str">
        <f ca="1">IF(X30="","",IF(AG30&lt;&gt;"","Completed ",IF(AND(AF30&lt;&gt;"",AA30&gt;TODAY()),"Forecast Completion on "&amp;DAY(AA30)&amp;"-"&amp;MONTH(AA30)&amp;"-"&amp;YEAR(AA30)&amp;CHAR(10)&amp;IF(AA30-Z30&gt;0,(AA30-Z30)&amp;" day(s) late",(IF(AA30-Z30=0,"on time",(Z30-AA30)&amp;" day(s) early"))),IF(AA30&lt;TODAY(),"Forecast Completion in the past, please update","Baseline Complete"))))</f>
        <v/>
      </c>
      <c r="BT30" s="324" t="str">
        <f ca="1">IF(BS30="Completed ",IF(AB30-Z30&gt;0,AB30-Z30&amp;" day(s) late",(IF(AB30-Z30=0,"on time",Z30-AB30&amp;" day(s) early"))),"")</f>
        <v/>
      </c>
      <c r="BU30" s="324" t="str">
        <f ca="1">IF(AI30="","",IF(AR30&lt;&gt;"","Completed ",IF(AND(AQ30&lt;&gt;"",AL30&gt;TODAY()),"Forecast Completion on "&amp;DAY(AL30)&amp;"-"&amp;MONTH(AL30)&amp;"-"&amp;YEAR(AL30)&amp;CHAR(10)&amp;IF(AL30-AK30&gt;0,(AL30-AK30)&amp;" day(s) late",(IF(AL30-AK30=0,"on time",(AK30-AL30)&amp;" day(s) early"))),IF(AL30&lt;TODAY(),"Forecast Completion in the past, please update","Baseline Complete"))))</f>
        <v/>
      </c>
      <c r="BV30" s="324" t="str">
        <f ca="1">IF(BU30="Completed ",IF(AM30-AK30&gt;0,AM30-AK30&amp;" day(s) late",(IF(AM30-AK30=0,"on time",AK30-AM30&amp;" day(s) early"))),"")</f>
        <v/>
      </c>
      <c r="BW30" s="324" t="str">
        <f ca="1">IF(AT30="","",IF(BC30&lt;&gt;"","Completed ",IF(AND(BB30&lt;&gt;"",AW30&gt;TODAY()),"Forecast Completion on "&amp;DAY(AW30)&amp;"-"&amp;MONTH(AW30)&amp;"-"&amp;YEAR(AW30)&amp;CHAR(10)&amp;IF(AW30-AV30&gt;0,(AW30-AV30)&amp;" day(s) late",(IF(AW30-AV30=0,"on time",(AV30-AW30)&amp;" day(s) early"))),IF(AW30&lt;TODAY(),"Forecast Completion in the past, please update","Baseline Complete"))))</f>
        <v/>
      </c>
      <c r="BX30" s="324" t="str">
        <f ca="1">IF(BW30="Completed ",IF(AX30-AV30&gt;0,AX30-AV30&amp;" day(s) late",(IF(AX30-AV30=0,"on time",AV30-AX30&amp;" day(s) early"))),"")</f>
        <v/>
      </c>
      <c r="BY30" s="324" t="str">
        <f t="shared" ca="1" si="73"/>
        <v/>
      </c>
      <c r="BZ30" s="324" t="str">
        <f>IF(COUNTA(AT30:AX30),"Stage Gate 5",IF(COUNTA(AI30:AM30),"Stage Gate 4", IF(COUNTA(X30:AB30),"Stage Gate 3",  IF(COUNTA(M30:Q30),"Stage Gate 2", "Stage Gate 1"))))</f>
        <v>Stage Gate 1</v>
      </c>
    </row>
    <row r="31" spans="1:78" x14ac:dyDescent="0.2">
      <c r="A31" s="325"/>
      <c r="B31" s="321"/>
      <c r="C31" s="321"/>
      <c r="D31" s="320"/>
      <c r="E31" s="320"/>
      <c r="F31" s="320"/>
      <c r="G31" s="266"/>
      <c r="H31" s="269"/>
      <c r="I31" s="348" t="str">
        <f t="shared" si="53"/>
        <v/>
      </c>
      <c r="J31" s="349"/>
      <c r="K31" s="346" t="str">
        <f t="shared" si="54"/>
        <v/>
      </c>
      <c r="L31" s="330" t="str">
        <f t="shared" ca="1" si="55"/>
        <v/>
      </c>
      <c r="M31" s="345"/>
      <c r="N31" s="343"/>
      <c r="O31" s="328"/>
      <c r="P31" s="344"/>
      <c r="Q31" s="343"/>
      <c r="R31" s="322"/>
      <c r="S31" s="322"/>
      <c r="T31" s="329" t="str">
        <f t="shared" si="56"/>
        <v/>
      </c>
      <c r="U31" s="329" t="str">
        <f t="shared" si="57"/>
        <v/>
      </c>
      <c r="V31" s="329" t="str">
        <f t="shared" si="58"/>
        <v/>
      </c>
      <c r="W31" s="330" t="str">
        <f t="shared" si="59"/>
        <v/>
      </c>
      <c r="X31" s="327"/>
      <c r="Y31" s="343"/>
      <c r="Z31" s="328"/>
      <c r="AA31" s="343"/>
      <c r="AB31" s="343"/>
      <c r="AC31" s="328"/>
      <c r="AD31" s="328"/>
      <c r="AE31" s="329" t="str">
        <f t="shared" si="60"/>
        <v/>
      </c>
      <c r="AF31" s="329" t="str">
        <f t="shared" si="61"/>
        <v/>
      </c>
      <c r="AG31" s="329" t="str">
        <f t="shared" si="62"/>
        <v/>
      </c>
      <c r="AH31" s="330" t="str">
        <f t="shared" si="63"/>
        <v/>
      </c>
      <c r="AI31" s="327"/>
      <c r="AJ31" s="343"/>
      <c r="AK31" s="328"/>
      <c r="AL31" s="343"/>
      <c r="AM31" s="343"/>
      <c r="AN31" s="328"/>
      <c r="AO31" s="328"/>
      <c r="AP31" s="329" t="str">
        <f t="shared" si="64"/>
        <v/>
      </c>
      <c r="AQ31" s="329" t="str">
        <f t="shared" si="65"/>
        <v/>
      </c>
      <c r="AR31" s="329" t="str">
        <f t="shared" si="66"/>
        <v/>
      </c>
      <c r="AS31" s="330" t="str">
        <f t="shared" si="67"/>
        <v/>
      </c>
      <c r="AT31" s="331"/>
      <c r="AU31" s="344"/>
      <c r="AV31" s="332"/>
      <c r="AW31" s="344"/>
      <c r="AX31" s="344"/>
      <c r="AY31" s="326" t="str">
        <f t="shared" si="68"/>
        <v/>
      </c>
      <c r="AZ31" s="326"/>
      <c r="BA31" s="333" t="str">
        <f>IFERROR(IF(1-(AU31-AT31)/(AV31-AT31)&gt;0.9,"G",IF(1-(AU31-AT31)/(AV31-AT31)&gt;0.85,"A","R")),"")</f>
        <v/>
      </c>
      <c r="BB31" s="333" t="str">
        <f>IF(AW31="","",IF((AV31-AT31)/(AW31-AT31)&gt;0.9,"G",(IF((AV31-AT31)/(AW31-AT31)&gt;0.85,"A","R"))))</f>
        <v/>
      </c>
      <c r="BC31" s="333" t="str">
        <f>IF(AX31="","",IF((AV31-AT31)/(AX31-AT31)&gt;0.9,"G",(IF((AV31-AT31)/(AX31-AT31)&gt;0.85,"A","R"))))</f>
        <v/>
      </c>
      <c r="BD31" s="334" t="str">
        <f t="shared" si="69"/>
        <v/>
      </c>
      <c r="BE31" s="335"/>
      <c r="BF31" s="336"/>
      <c r="BG31" s="337"/>
      <c r="BH31" s="338"/>
      <c r="BI31" s="336"/>
      <c r="BJ31" s="339" t="e">
        <f t="shared" si="70"/>
        <v>#DIV/0!</v>
      </c>
      <c r="BK31" s="339" t="e">
        <f t="shared" si="71"/>
        <v>#DIV/0!</v>
      </c>
      <c r="BL31" s="340" t="str">
        <f t="shared" si="72"/>
        <v/>
      </c>
      <c r="BM31" s="318"/>
      <c r="BN31" s="319"/>
      <c r="BO31" s="341" t="str">
        <f>IF(AND(BL31="",BD31="",AS31="",W31=""),"",IF(AND(BL31="G",BD31="G",AS31="G",W31="G"),"G",IF(OR(BL31="R",BD31="R",AS31="R",W31="R"),"R",VLOOKUP(CONCATENATE(W31,AS31,BD31,BL31),'Rag Coding'!A:B,2,FALSE))))</f>
        <v/>
      </c>
      <c r="BP31" s="323">
        <f>'Dashboard Page'!N27</f>
        <v>0</v>
      </c>
      <c r="BQ31" s="324" t="str">
        <f ca="1">IF(M31="","",IF(V31&lt;&gt;"","Completed ",IF(AND(U31&lt;&gt;"",P31&gt;TODAY()),"Forecast Completion on "&amp;DAY(P31)&amp;"-"&amp;MONTH(P31)&amp;"-"&amp;YEAR(P31)&amp;CHAR(10)&amp;IF(P31-O31&gt;0,(P31-O31)&amp;" day(s) late",(IF(P31-O31=0,"on time",(O31-P31)&amp;" day(s) early"))),IF(P31&lt;TODAY(),"Forecast Completion in the past, please update","Baseline Complete"))))</f>
        <v/>
      </c>
      <c r="BR31" s="324" t="str">
        <f ca="1">IF(BQ31="Completed ",IF(Q31-O31&gt;0,Q31-O31&amp;" day(s) late",(IF(Q31-O31=0,"on time",O31-Q31&amp;" day(s) early"))),"")</f>
        <v/>
      </c>
      <c r="BS31" s="324" t="str">
        <f ca="1">IF(X31="","",IF(AG31&lt;&gt;"","Completed ",IF(AND(AF31&lt;&gt;"",AA31&gt;TODAY()),"Forecast Completion on "&amp;DAY(AA31)&amp;"-"&amp;MONTH(AA31)&amp;"-"&amp;YEAR(AA31)&amp;CHAR(10)&amp;IF(AA31-Z31&gt;0,(AA31-Z31)&amp;" day(s) late",(IF(AA31-Z31=0,"on time",(Z31-AA31)&amp;" day(s) early"))),IF(AA31&lt;TODAY(),"Forecast Completion in the past, please update","Baseline Complete"))))</f>
        <v/>
      </c>
      <c r="BT31" s="324" t="str">
        <f ca="1">IF(BS31="Completed ",IF(AB31-Z31&gt;0,AB31-Z31&amp;" day(s) late",(IF(AB31-Z31=0,"on time",Z31-AB31&amp;" day(s) early"))),"")</f>
        <v/>
      </c>
      <c r="BU31" s="324" t="str">
        <f ca="1">IF(AI31="","",IF(AR31&lt;&gt;"","Completed ",IF(AND(AQ31&lt;&gt;"",AL31&gt;TODAY()),"Forecast Completion on "&amp;DAY(AL31)&amp;"-"&amp;MONTH(AL31)&amp;"-"&amp;YEAR(AL31)&amp;CHAR(10)&amp;IF(AL31-AK31&gt;0,(AL31-AK31)&amp;" day(s) late",(IF(AL31-AK31=0,"on time",(AK31-AL31)&amp;" day(s) early"))),IF(AL31&lt;TODAY(),"Forecast Completion in the past, please update","Baseline Complete"))))</f>
        <v/>
      </c>
      <c r="BV31" s="324" t="str">
        <f ca="1">IF(BU31="Completed ",IF(AM31-AK31&gt;0,AM31-AK31&amp;" day(s) late",(IF(AM31-AK31=0,"on time",AK31-AM31&amp;" day(s) early"))),"")</f>
        <v/>
      </c>
      <c r="BW31" s="324" t="str">
        <f ca="1">IF(AT31="","",IF(BC31&lt;&gt;"","Completed ",IF(AND(BB31&lt;&gt;"",AW31&gt;TODAY()),"Forecast Completion on "&amp;DAY(AW31)&amp;"-"&amp;MONTH(AW31)&amp;"-"&amp;YEAR(AW31)&amp;CHAR(10)&amp;IF(AW31-AV31&gt;0,(AW31-AV31)&amp;" day(s) late",(IF(AW31-AV31=0,"on time",(AV31-AW31)&amp;" day(s) early"))),IF(AW31&lt;TODAY(),"Forecast Completion in the past, please update","Baseline Complete"))))</f>
        <v/>
      </c>
      <c r="BX31" s="324" t="str">
        <f ca="1">IF(BW31="Completed ",IF(AX31-AV31&gt;0,AX31-AV31&amp;" day(s) late",(IF(AX31-AV31=0,"on time",AV31-AX31&amp;" day(s) early"))),"")</f>
        <v/>
      </c>
      <c r="BY31" s="324" t="str">
        <f t="shared" ca="1" si="73"/>
        <v/>
      </c>
      <c r="BZ31" s="324" t="str">
        <f>IF(COUNTA(AT31:AX31),"Stage Gate 5",IF(COUNTA(AI31:AM31),"Stage Gate 4", IF(COUNTA(X31:AB31),"Stage Gate 3",  IF(COUNTA(M31:Q31),"Stage Gate 2", "Stage Gate 1"))))</f>
        <v>Stage Gate 1</v>
      </c>
    </row>
    <row r="32" spans="1:78" x14ac:dyDescent="0.2">
      <c r="A32" s="325"/>
      <c r="B32" s="321"/>
      <c r="C32" s="321"/>
      <c r="D32" s="320"/>
      <c r="E32" s="320"/>
      <c r="F32" s="320"/>
      <c r="G32" s="266"/>
      <c r="H32" s="269"/>
      <c r="I32" s="348" t="str">
        <f t="shared" si="53"/>
        <v/>
      </c>
      <c r="J32" s="349"/>
      <c r="K32" s="346" t="str">
        <f t="shared" si="54"/>
        <v/>
      </c>
      <c r="L32" s="330" t="str">
        <f t="shared" ca="1" si="55"/>
        <v/>
      </c>
      <c r="M32" s="345"/>
      <c r="N32" s="343"/>
      <c r="O32" s="328"/>
      <c r="P32" s="344"/>
      <c r="Q32" s="343"/>
      <c r="R32" s="322"/>
      <c r="S32" s="322"/>
      <c r="T32" s="329" t="str">
        <f t="shared" si="56"/>
        <v/>
      </c>
      <c r="U32" s="329" t="str">
        <f t="shared" si="57"/>
        <v/>
      </c>
      <c r="V32" s="329" t="str">
        <f t="shared" si="58"/>
        <v/>
      </c>
      <c r="W32" s="330" t="str">
        <f t="shared" si="59"/>
        <v/>
      </c>
      <c r="X32" s="327"/>
      <c r="Y32" s="343"/>
      <c r="Z32" s="328"/>
      <c r="AA32" s="343"/>
      <c r="AB32" s="343"/>
      <c r="AC32" s="328"/>
      <c r="AD32" s="328"/>
      <c r="AE32" s="329" t="str">
        <f t="shared" si="60"/>
        <v/>
      </c>
      <c r="AF32" s="329" t="str">
        <f t="shared" si="61"/>
        <v/>
      </c>
      <c r="AG32" s="329" t="str">
        <f t="shared" si="62"/>
        <v/>
      </c>
      <c r="AH32" s="330" t="str">
        <f t="shared" si="63"/>
        <v/>
      </c>
      <c r="AI32" s="327"/>
      <c r="AJ32" s="343"/>
      <c r="AK32" s="328"/>
      <c r="AL32" s="343"/>
      <c r="AM32" s="343"/>
      <c r="AN32" s="328"/>
      <c r="AO32" s="328"/>
      <c r="AP32" s="329" t="str">
        <f t="shared" si="64"/>
        <v/>
      </c>
      <c r="AQ32" s="329" t="str">
        <f t="shared" si="65"/>
        <v/>
      </c>
      <c r="AR32" s="329" t="str">
        <f t="shared" si="66"/>
        <v/>
      </c>
      <c r="AS32" s="330" t="str">
        <f t="shared" si="67"/>
        <v/>
      </c>
      <c r="AT32" s="331"/>
      <c r="AU32" s="344"/>
      <c r="AV32" s="332"/>
      <c r="AW32" s="344"/>
      <c r="AX32" s="344"/>
      <c r="AY32" s="326" t="str">
        <f t="shared" si="68"/>
        <v/>
      </c>
      <c r="AZ32" s="326"/>
      <c r="BA32" s="333" t="str">
        <f>IFERROR(IF(1-(AU32-AT32)/(AV32-AT32)&gt;0.9,"G",IF(1-(AU32-AT32)/(AV32-AT32)&gt;0.85,"A","R")),"")</f>
        <v/>
      </c>
      <c r="BB32" s="333" t="str">
        <f>IF(AW32="","",IF((AV32-AT32)/(AW32-AT32)&gt;0.9,"G",(IF((AV32-AT32)/(AW32-AT32)&gt;0.85,"A","R"))))</f>
        <v/>
      </c>
      <c r="BC32" s="333" t="str">
        <f>IF(AX32="","",IF((AV32-AT32)/(AX32-AT32)&gt;0.9,"G",(IF((AV32-AT32)/(AX32-AT32)&gt;0.85,"A","R"))))</f>
        <v/>
      </c>
      <c r="BD32" s="334" t="str">
        <f t="shared" si="69"/>
        <v/>
      </c>
      <c r="BE32" s="335"/>
      <c r="BF32" s="336"/>
      <c r="BG32" s="337"/>
      <c r="BH32" s="338"/>
      <c r="BI32" s="336"/>
      <c r="BJ32" s="339" t="e">
        <f t="shared" si="70"/>
        <v>#DIV/0!</v>
      </c>
      <c r="BK32" s="339" t="e">
        <f t="shared" si="71"/>
        <v>#DIV/0!</v>
      </c>
      <c r="BL32" s="340" t="str">
        <f t="shared" si="72"/>
        <v/>
      </c>
      <c r="BM32" s="318"/>
      <c r="BN32" s="319"/>
      <c r="BO32" s="341" t="str">
        <f>IF(AND(BL32="",BD32="",AS32="",W32=""),"",IF(AND(BL32="G",BD32="G",AS32="G",W32="G"),"G",IF(OR(BL32="R",BD32="R",AS32="R",W32="R"),"R",VLOOKUP(CONCATENATE(W32,AS32,BD32,BL32),'Rag Coding'!A:B,2,FALSE))))</f>
        <v/>
      </c>
      <c r="BP32" s="323">
        <f>'Dashboard Page'!N27</f>
        <v>0</v>
      </c>
      <c r="BQ32" s="324" t="str">
        <f ca="1">IF(M32="","",IF(V32&lt;&gt;"","Completed ",IF(AND(U32&lt;&gt;"",P32&gt;TODAY()),"Forecast Completion on "&amp;DAY(P32)&amp;"-"&amp;MONTH(P32)&amp;"-"&amp;YEAR(P32)&amp;CHAR(10)&amp;IF(P32-O32&gt;0,(P32-O32)&amp;" day(s) late",(IF(P32-O32=0,"on time",(O32-P32)&amp;" day(s) early"))),IF(P32&lt;TODAY(),"Forecast Completion in the past, please update","Baseline Complete"))))</f>
        <v/>
      </c>
      <c r="BR32" s="324" t="str">
        <f ca="1">IF(BQ32="Completed ",IF(Q32-O32&gt;0,Q32-O32&amp;" day(s) late",(IF(Q32-O32=0,"on time",O32-Q32&amp;" day(s) early"))),"")</f>
        <v/>
      </c>
      <c r="BS32" s="324" t="str">
        <f ca="1">IF(X32="","",IF(AG32&lt;&gt;"","Completed ",IF(AND(AF32&lt;&gt;"",AA32&gt;TODAY()),"Forecast Completion on "&amp;DAY(AA32)&amp;"-"&amp;MONTH(AA32)&amp;"-"&amp;YEAR(AA32)&amp;CHAR(10)&amp;IF(AA32-Z32&gt;0,(AA32-Z32)&amp;" day(s) late",(IF(AA32-Z32=0,"on time",(Z32-AA32)&amp;" day(s) early"))),IF(AA32&lt;TODAY(),"Forecast Completion in the past, please update","Baseline Complete"))))</f>
        <v/>
      </c>
      <c r="BT32" s="324" t="str">
        <f ca="1">IF(BS32="Completed ",IF(AB32-Z32&gt;0,AB32-Z32&amp;" day(s) late",(IF(AB32-Z32=0,"on time",Z32-AB32&amp;" day(s) early"))),"")</f>
        <v/>
      </c>
      <c r="BU32" s="324" t="str">
        <f ca="1">IF(AI32="","",IF(AR32&lt;&gt;"","Completed ",IF(AND(AQ32&lt;&gt;"",AL32&gt;TODAY()),"Forecast Completion on "&amp;DAY(AL32)&amp;"-"&amp;MONTH(AL32)&amp;"-"&amp;YEAR(AL32)&amp;CHAR(10)&amp;IF(AL32-AK32&gt;0,(AL32-AK32)&amp;" day(s) late",(IF(AL32-AK32=0,"on time",(AK32-AL32)&amp;" day(s) early"))),IF(AL32&lt;TODAY(),"Forecast Completion in the past, please update","Baseline Complete"))))</f>
        <v/>
      </c>
      <c r="BV32" s="324" t="str">
        <f ca="1">IF(BU32="Completed ",IF(AM32-AK32&gt;0,AM32-AK32&amp;" day(s) late",(IF(AM32-AK32=0,"on time",AK32-AM32&amp;" day(s) early"))),"")</f>
        <v/>
      </c>
      <c r="BW32" s="324" t="str">
        <f ca="1">IF(AT32="","",IF(BC32&lt;&gt;"","Completed ",IF(AND(BB32&lt;&gt;"",AW32&gt;TODAY()),"Forecast Completion on "&amp;DAY(AW32)&amp;"-"&amp;MONTH(AW32)&amp;"-"&amp;YEAR(AW32)&amp;CHAR(10)&amp;IF(AW32-AV32&gt;0,(AW32-AV32)&amp;" day(s) late",(IF(AW32-AV32=0,"on time",(AV32-AW32)&amp;" day(s) early"))),IF(AW32&lt;TODAY(),"Forecast Completion in the past, please update","Baseline Complete"))))</f>
        <v/>
      </c>
      <c r="BX32" s="324" t="str">
        <f ca="1">IF(BW32="Completed ",IF(AX32-AV32&gt;0,AX32-AV32&amp;" day(s) late",(IF(AX32-AV32=0,"on time",AV32-AX32&amp;" day(s) early"))),"")</f>
        <v/>
      </c>
      <c r="BY32" s="324" t="str">
        <f t="shared" ca="1" si="73"/>
        <v/>
      </c>
      <c r="BZ32" s="324" t="str">
        <f>IF(COUNTA(AT32:AX32),"Stage Gate 5",IF(COUNTA(AI32:AM32),"Stage Gate 4", IF(COUNTA(X32:AB32),"Stage Gate 3",  IF(COUNTA(M32:Q32),"Stage Gate 2", "Stage Gate 1"))))</f>
        <v>Stage Gate 1</v>
      </c>
    </row>
    <row r="33" spans="1:78" x14ac:dyDescent="0.2">
      <c r="A33" s="325"/>
      <c r="B33" s="321"/>
      <c r="C33" s="321"/>
      <c r="D33" s="320"/>
      <c r="E33" s="320"/>
      <c r="F33" s="320"/>
      <c r="G33" s="266"/>
      <c r="H33" s="269"/>
      <c r="I33" s="348" t="str">
        <f t="shared" si="53"/>
        <v/>
      </c>
      <c r="J33" s="349"/>
      <c r="K33" s="346" t="str">
        <f t="shared" si="54"/>
        <v/>
      </c>
      <c r="L33" s="330" t="str">
        <f t="shared" ca="1" si="55"/>
        <v/>
      </c>
      <c r="M33" s="345"/>
      <c r="N33" s="343"/>
      <c r="O33" s="328"/>
      <c r="P33" s="344"/>
      <c r="Q33" s="343"/>
      <c r="R33" s="322"/>
      <c r="S33" s="322"/>
      <c r="T33" s="329" t="str">
        <f t="shared" si="56"/>
        <v/>
      </c>
      <c r="U33" s="329" t="str">
        <f t="shared" si="57"/>
        <v/>
      </c>
      <c r="V33" s="329" t="str">
        <f t="shared" si="58"/>
        <v/>
      </c>
      <c r="W33" s="330" t="str">
        <f t="shared" si="59"/>
        <v/>
      </c>
      <c r="X33" s="327"/>
      <c r="Y33" s="343"/>
      <c r="Z33" s="328"/>
      <c r="AA33" s="343"/>
      <c r="AB33" s="343"/>
      <c r="AC33" s="328"/>
      <c r="AD33" s="328"/>
      <c r="AE33" s="329" t="str">
        <f t="shared" si="60"/>
        <v/>
      </c>
      <c r="AF33" s="329" t="str">
        <f t="shared" si="61"/>
        <v/>
      </c>
      <c r="AG33" s="329" t="str">
        <f t="shared" si="62"/>
        <v/>
      </c>
      <c r="AH33" s="330" t="str">
        <f t="shared" si="63"/>
        <v/>
      </c>
      <c r="AI33" s="327"/>
      <c r="AJ33" s="343"/>
      <c r="AK33" s="328"/>
      <c r="AL33" s="343"/>
      <c r="AM33" s="343"/>
      <c r="AN33" s="328"/>
      <c r="AO33" s="328"/>
      <c r="AP33" s="329" t="str">
        <f t="shared" si="64"/>
        <v/>
      </c>
      <c r="AQ33" s="329" t="str">
        <f t="shared" si="65"/>
        <v/>
      </c>
      <c r="AR33" s="329" t="str">
        <f t="shared" si="66"/>
        <v/>
      </c>
      <c r="AS33" s="330" t="str">
        <f t="shared" si="67"/>
        <v/>
      </c>
      <c r="AT33" s="331"/>
      <c r="AU33" s="344"/>
      <c r="AV33" s="332"/>
      <c r="AW33" s="344"/>
      <c r="AX33" s="344"/>
      <c r="AY33" s="326" t="str">
        <f t="shared" si="68"/>
        <v/>
      </c>
      <c r="AZ33" s="326"/>
      <c r="BA33" s="333" t="str">
        <f>IFERROR(IF(1-(AU33-AT33)/(AV33-AT33)&gt;0.9,"G",IF(1-(AU33-AT33)/(AV33-AT33)&gt;0.85,"A","R")),"")</f>
        <v/>
      </c>
      <c r="BB33" s="333" t="str">
        <f>IF(AW33="","",IF((AV33-AT33)/(AW33-AT33)&gt;0.9,"G",(IF((AV33-AT33)/(AW33-AT33)&gt;0.85,"A","R"))))</f>
        <v/>
      </c>
      <c r="BC33" s="333" t="str">
        <f>IF(AX33="","",IF((AV33-AT33)/(AX33-AT33)&gt;0.9,"G",(IF((AV33-AT33)/(AX33-AT33)&gt;0.85,"A","R"))))</f>
        <v/>
      </c>
      <c r="BD33" s="334" t="str">
        <f t="shared" si="69"/>
        <v/>
      </c>
      <c r="BE33" s="335"/>
      <c r="BF33" s="336"/>
      <c r="BG33" s="337"/>
      <c r="BH33" s="338"/>
      <c r="BI33" s="336"/>
      <c r="BJ33" s="339" t="e">
        <f t="shared" si="70"/>
        <v>#DIV/0!</v>
      </c>
      <c r="BK33" s="339" t="e">
        <f t="shared" si="71"/>
        <v>#DIV/0!</v>
      </c>
      <c r="BL33" s="340" t="str">
        <f t="shared" si="72"/>
        <v/>
      </c>
      <c r="BM33" s="318"/>
      <c r="BN33" s="319"/>
      <c r="BO33" s="341" t="str">
        <f>IF(AND(BL33="",BD33="",AS33="",W33=""),"",IF(AND(BL33="G",BD33="G",AS33="G",W33="G"),"G",IF(OR(BL33="R",BD33="R",AS33="R",W33="R"),"R",VLOOKUP(CONCATENATE(W33,AS33,BD33,BL33),'Rag Coding'!A:B,2,FALSE))))</f>
        <v/>
      </c>
      <c r="BP33" s="323">
        <f>'Dashboard Page'!N27</f>
        <v>0</v>
      </c>
      <c r="BQ33" s="324" t="str">
        <f ca="1">IF(M33="","",IF(V33&lt;&gt;"","Completed ",IF(AND(U33&lt;&gt;"",P33&gt;TODAY()),"Forecast Completion on "&amp;DAY(P33)&amp;"-"&amp;MONTH(P33)&amp;"-"&amp;YEAR(P33)&amp;CHAR(10)&amp;IF(P33-O33&gt;0,(P33-O33)&amp;" day(s) late",(IF(P33-O33=0,"on time",(O33-P33)&amp;" day(s) early"))),IF(P33&lt;TODAY(),"Forecast Completion in the past, please update","Baseline Complete"))))</f>
        <v/>
      </c>
      <c r="BR33" s="324" t="str">
        <f ca="1">IF(BQ33="Completed ",IF(Q33-O33&gt;0,Q33-O33&amp;" day(s) late",(IF(Q33-O33=0,"on time",O33-Q33&amp;" day(s) early"))),"")</f>
        <v/>
      </c>
      <c r="BS33" s="324" t="str">
        <f ca="1">IF(X33="","",IF(AG33&lt;&gt;"","Completed ",IF(AND(AF33&lt;&gt;"",AA33&gt;TODAY()),"Forecast Completion on "&amp;DAY(AA33)&amp;"-"&amp;MONTH(AA33)&amp;"-"&amp;YEAR(AA33)&amp;CHAR(10)&amp;IF(AA33-Z33&gt;0,(AA33-Z33)&amp;" day(s) late",(IF(AA33-Z33=0,"on time",(Z33-AA33)&amp;" day(s) early"))),IF(AA33&lt;TODAY(),"Forecast Completion in the past, please update","Baseline Complete"))))</f>
        <v/>
      </c>
      <c r="BT33" s="324" t="str">
        <f ca="1">IF(BS33="Completed ",IF(AB33-Z33&gt;0,AB33-Z33&amp;" day(s) late",(IF(AB33-Z33=0,"on time",Z33-AB33&amp;" day(s) early"))),"")</f>
        <v/>
      </c>
      <c r="BU33" s="324" t="str">
        <f ca="1">IF(AI33="","",IF(AR33&lt;&gt;"","Completed ",IF(AND(AQ33&lt;&gt;"",AL33&gt;TODAY()),"Forecast Completion on "&amp;DAY(AL33)&amp;"-"&amp;MONTH(AL33)&amp;"-"&amp;YEAR(AL33)&amp;CHAR(10)&amp;IF(AL33-AK33&gt;0,(AL33-AK33)&amp;" day(s) late",(IF(AL33-AK33=0,"on time",(AK33-AL33)&amp;" day(s) early"))),IF(AL33&lt;TODAY(),"Forecast Completion in the past, please update","Baseline Complete"))))</f>
        <v/>
      </c>
      <c r="BV33" s="324" t="str">
        <f ca="1">IF(BU33="Completed ",IF(AM33-AK33&gt;0,AM33-AK33&amp;" day(s) late",(IF(AM33-AK33=0,"on time",AK33-AM33&amp;" day(s) early"))),"")</f>
        <v/>
      </c>
      <c r="BW33" s="324" t="str">
        <f ca="1">IF(AT33="","",IF(BC33&lt;&gt;"","Completed ",IF(AND(BB33&lt;&gt;"",AW33&gt;TODAY()),"Forecast Completion on "&amp;DAY(AW33)&amp;"-"&amp;MONTH(AW33)&amp;"-"&amp;YEAR(AW33)&amp;CHAR(10)&amp;IF(AW33-AV33&gt;0,(AW33-AV33)&amp;" day(s) late",(IF(AW33-AV33=0,"on time",(AV33-AW33)&amp;" day(s) early"))),IF(AW33&lt;TODAY(),"Forecast Completion in the past, please update","Baseline Complete"))))</f>
        <v/>
      </c>
      <c r="BX33" s="324" t="str">
        <f ca="1">IF(BW33="Completed ",IF(AX33-AV33&gt;0,AX33-AV33&amp;" day(s) late",(IF(AX33-AV33=0,"on time",AV33-AX33&amp;" day(s) early"))),"")</f>
        <v/>
      </c>
      <c r="BY33" s="324" t="str">
        <f t="shared" ca="1" si="73"/>
        <v/>
      </c>
      <c r="BZ33" s="324" t="str">
        <f>IF(COUNTA(AT33:AX33),"Stage Gate 5",IF(COUNTA(AI33:AM33),"Stage Gate 4", IF(COUNTA(X33:AB33),"Stage Gate 3",  IF(COUNTA(M33:Q33),"Stage Gate 2", "Stage Gate 1"))))</f>
        <v>Stage Gate 1</v>
      </c>
    </row>
    <row r="34" spans="1:78" x14ac:dyDescent="0.2">
      <c r="A34" s="325"/>
      <c r="B34" s="321"/>
      <c r="C34" s="321"/>
      <c r="D34" s="320"/>
      <c r="E34" s="320"/>
      <c r="F34" s="320"/>
      <c r="G34" s="266"/>
      <c r="H34" s="291"/>
      <c r="I34" s="348" t="str">
        <f t="shared" ref="I34" si="74">IF(H34="","",DATE(YEAR(H34),MONTH(H34)+1,DAY(H34)))</f>
        <v/>
      </c>
      <c r="J34" s="349"/>
      <c r="K34" s="346" t="str">
        <f t="shared" ref="K34" si="75">IF(H34="","",IF(J34="","Board Date"&amp;CHAR(10)&amp;TEXT(I34,"dd/mm/yyyy"),"Completed"&amp;CHAR(10)&amp;TEXT(J34,"dd/mm/yyyy")))</f>
        <v/>
      </c>
      <c r="L34" s="330" t="str">
        <f t="shared" ref="L34" ca="1" si="76">IF(AND(J34="",I34=""),"",IF(AND(J34="",I34&lt;TODAY()),"R","G"))</f>
        <v/>
      </c>
      <c r="M34" s="345"/>
      <c r="N34" s="343"/>
      <c r="O34" s="328"/>
      <c r="P34" s="344"/>
      <c r="Q34" s="343"/>
      <c r="R34" s="322"/>
      <c r="S34" s="322"/>
      <c r="T34" s="329" t="str">
        <f t="shared" ref="T34" si="77">IFERROR(IF(1-(N34-M34)/(O34-M34)&gt;0.9,"G",IF(1-(N34-M34)/(O34-M34)&gt;0.85,"A","R")),"")</f>
        <v/>
      </c>
      <c r="U34" s="329" t="str">
        <f t="shared" ref="U34" si="78">IF(P34="","",IF((O34-M34)/(P34-M34)&gt;0.9,"G",(IF((O34-M34)/(P34-M34)&gt;0.85,"A","R"))))</f>
        <v/>
      </c>
      <c r="V34" s="329" t="str">
        <f t="shared" ref="V34" si="79">IF(Q34="","",IF((O34-M34)/(Q34-M34)&gt;0.9,"G",(IF((O34-M34)/(Q34-M34)&gt;0.85,"A","R"))))</f>
        <v/>
      </c>
      <c r="W34" s="330" t="str">
        <f t="shared" ref="W34" si="80">IF(V34="",IF(U34="",T34,U34),V34)</f>
        <v/>
      </c>
      <c r="X34" s="345"/>
      <c r="Y34" s="343"/>
      <c r="Z34" s="328"/>
      <c r="AA34" s="343"/>
      <c r="AB34" s="343"/>
      <c r="AC34" s="328"/>
      <c r="AD34" s="328"/>
      <c r="AE34" s="329" t="str">
        <f t="shared" ref="AE34" si="81">IFERROR(IF(1-(Y34-X34)/(Z34-X34)&gt;0.9,"G",IF(1-(Y34-X34)/(Z34-X34)&gt;0.85,"A","R")),"")</f>
        <v/>
      </c>
      <c r="AF34" s="329" t="str">
        <f t="shared" ref="AF34" si="82">IF(AA34="","",IF((Z34-X34)/(AA34-X34)&gt;0.9,"G",(IF((Z34-X34)/(AA34-X34)&gt;0.85,"A","R"))))</f>
        <v/>
      </c>
      <c r="AG34" s="329" t="str">
        <f t="shared" ref="AG34" si="83">IF(AB34="","",IF((Z34-X34)/(AB34-X34)&gt;0.9,"G",(IF((Z34-X34)/(AB34-X34)&gt;0.85,"A","R"))))</f>
        <v/>
      </c>
      <c r="AH34" s="330" t="str">
        <f t="shared" ref="AH34" si="84">IF(AG34="",IF(AF34="",AE34,AF34),AG34)</f>
        <v/>
      </c>
      <c r="AI34" s="345"/>
      <c r="AJ34" s="343"/>
      <c r="AK34" s="328"/>
      <c r="AL34" s="343"/>
      <c r="AM34" s="343"/>
      <c r="AN34" s="328"/>
      <c r="AO34" s="328"/>
      <c r="AP34" s="329" t="str">
        <f t="shared" ref="AP34" si="85">IFERROR(IF(1-(AJ34-AI34)/(AK34-AI34)&gt;0.9,"G",IF(1-(AJ34-AI34)/(AK34-AI34)&gt;0.85,"A","R")),"")</f>
        <v/>
      </c>
      <c r="AQ34" s="329" t="str">
        <f t="shared" ref="AQ34" si="86">IF(AL34="","",IF((AK34-AI34)/(AL34-AI34)&gt;0.9,"G",(IF((AK34-AI34)/(AL34-AI34)&gt;0.85,"A","R"))))</f>
        <v/>
      </c>
      <c r="AR34" s="329" t="str">
        <f t="shared" ref="AR34" si="87">IF(AM34="","",IF((AK34-AI34)/(AM34-AI34)&gt;0.9,"G",(IF((AK34-AI34)/(AM34-AI34)&gt;0.85,"A","R"))))</f>
        <v/>
      </c>
      <c r="AS34" s="330" t="str">
        <f t="shared" ref="AS34" si="88">IF(AR34="",IF(AQ34="",AP34,AQ34),AR34)</f>
        <v/>
      </c>
      <c r="AT34" s="293"/>
      <c r="AU34" s="344"/>
      <c r="AV34" s="332"/>
      <c r="AW34" s="344"/>
      <c r="AX34" s="344"/>
      <c r="AY34" s="326" t="str">
        <f t="shared" ref="AY34" si="89">IF(AX34="","",DATE(YEAR(AX34),MONTH(AX34)+3,DAY(AX34)))</f>
        <v/>
      </c>
      <c r="AZ34" s="326"/>
      <c r="BA34" s="333" t="str">
        <f>IFERROR(IF(1-(AU34-AT34)/(AV34-AT34)&gt;0.9,"G",IF(1-(AU34-AT34)/(AV34-AT34)&gt;0.85,"A","R")),"")</f>
        <v/>
      </c>
      <c r="BB34" s="333" t="str">
        <f>IF(AW34="","",IF((AV34-AT34)/(AW34-AT34)&gt;0.9,"G",(IF((AV34-AT34)/(AW34-AT34)&gt;0.85,"A","R"))))</f>
        <v/>
      </c>
      <c r="BC34" s="333" t="str">
        <f>IF(AX34="","",IF((AV34-AT34)/(AX34-AT34)&gt;0.9,"G",(IF((AV34-AT34)/(AX34-AT34)&gt;0.85,"A","R"))))</f>
        <v/>
      </c>
      <c r="BD34" s="256" t="str">
        <f t="shared" ref="BD34" si="90">IF(BC34="",IF(BB34="",BA34,BB34),BC34)</f>
        <v/>
      </c>
      <c r="BE34" s="335"/>
      <c r="BF34" s="336"/>
      <c r="BG34" s="337"/>
      <c r="BH34" s="309"/>
      <c r="BI34" s="308"/>
      <c r="BJ34" s="310" t="e">
        <f t="shared" ref="BJ34" si="91">(BF34-BE34)/BE34</f>
        <v>#DIV/0!</v>
      </c>
      <c r="BK34" s="310" t="e">
        <f t="shared" ref="BK34" si="92">(BG34-BE34)/BE34</f>
        <v>#DIV/0!</v>
      </c>
      <c r="BL34" s="311" t="str">
        <f t="shared" ref="BL34" si="93">IF(BE34="","",IF(AND(BJ34&lt;0.025,BK34&lt;0.025),"G",IF(OR(BJ34&gt;0.05,BK34&gt;0.05),"R",IF(AND(BJ34&gt;0.025,BK34&gt;0.025),"A","G"))))</f>
        <v/>
      </c>
      <c r="BM34" s="304"/>
      <c r="BN34" s="305"/>
      <c r="BO34" s="312" t="str">
        <f>IF(AND(BL34="",BD34="",AS34="",W34=""),"",IF(AND(BL34="G",BD34="G",AS34="G",W34="G"),"G",IF(OR(BL34="R",BD34="R",AS34="R",W34="R"),"R",VLOOKUP(CONCATENATE(W34,AS34,BD34,BL34),'Rag Coding'!A:B,2,FALSE))))</f>
        <v/>
      </c>
      <c r="BP34" s="306">
        <f>'Dashboard Page'!N28</f>
        <v>0</v>
      </c>
      <c r="BQ34" s="307" t="str">
        <f ca="1">IF(M34="","",IF(V34&lt;&gt;"","Completed ",IF(AND(U34&lt;&gt;"",P34&gt;TODAY()),"Forecast Completion on "&amp;DAY(P34)&amp;"-"&amp;MONTH(P34)&amp;"-"&amp;YEAR(P34)&amp;CHAR(10)&amp;IF(P34-O34&gt;0,(P34-O34)&amp;" day(s) late",(IF(P34-O34=0,"on time",(O34-P34)&amp;" day(s) early"))),IF(P34&lt;TODAY(),"Forecast Completion in the past, please update","Baseline Complete"))))</f>
        <v/>
      </c>
      <c r="BR34" s="307" t="str">
        <f ca="1">IF(BQ34="Completed ",IF(Q34-O34&gt;0,Q34-O34&amp;" day(s) late",(IF(Q34-O34=0,"on time",O34-Q34&amp;" day(s) early"))),"")</f>
        <v/>
      </c>
      <c r="BS34" s="307" t="str">
        <f ca="1">IF(X34="","",IF(AG34&lt;&gt;"","Completed ",IF(AND(AF34&lt;&gt;"",AA34&gt;TODAY()),"Forecast Completion on "&amp;DAY(AA34)&amp;"-"&amp;MONTH(AA34)&amp;"-"&amp;YEAR(AA34)&amp;CHAR(10)&amp;IF(AA34-Z34&gt;0,(AA34-Z34)&amp;" day(s) late",(IF(AA34-Z34=0,"on time",(Z34-AA34)&amp;" day(s) early"))),IF(AA34&lt;TODAY(),"Forecast Completion in the past, please update","Baseline Complete"))))</f>
        <v/>
      </c>
      <c r="BT34" s="307" t="str">
        <f ca="1">IF(BS34="Completed ",IF(AB34-Z34&gt;0,AB34-Z34&amp;" day(s) late",(IF(AB34-Z34=0,"on time",Z34-AB34&amp;" day(s) early"))),"")</f>
        <v/>
      </c>
      <c r="BU34" s="307" t="str">
        <f ca="1">IF(AI34="","",IF(AR34&lt;&gt;"","Completed ",IF(AND(AQ34&lt;&gt;"",AL34&gt;TODAY()),"Forecast Completion on "&amp;DAY(AL34)&amp;"-"&amp;MONTH(AL34)&amp;"-"&amp;YEAR(AL34)&amp;CHAR(10)&amp;IF(AL34-AK34&gt;0,(AL34-AK34)&amp;" day(s) late",(IF(AL34-AK34=0,"on time",(AK34-AL34)&amp;" day(s) early"))),IF(AL34&lt;TODAY(),"Forecast Completion in the past, please update","Baseline Complete"))))</f>
        <v/>
      </c>
      <c r="BV34" s="307" t="str">
        <f ca="1">IF(BU34="Completed ",IF(AM34-AK34&gt;0,AM34-AK34&amp;" day(s) late",(IF(AM34-AK34=0,"on time",AK34-AM34&amp;" day(s) early"))),"")</f>
        <v/>
      </c>
      <c r="BW34" s="307" t="str">
        <f ca="1">IF(AT34="","",IF(BC34&lt;&gt;"","Completed ",IF(AND(BB34&lt;&gt;"",AW34&gt;TODAY()),"Forecast Completion on "&amp;DAY(AW34)&amp;"-"&amp;MONTH(AW34)&amp;"-"&amp;YEAR(AW34)&amp;CHAR(10)&amp;IF(AW34-AV34&gt;0,(AW34-AV34)&amp;" day(s) late",(IF(AW34-AV34=0,"on time",(AV34-AW34)&amp;" day(s) early"))),IF(AW34&lt;TODAY(),"Forecast Completion in the past, please update","Baseline Complete"))))</f>
        <v/>
      </c>
      <c r="BX34" s="307" t="str">
        <f ca="1">IF(BW34="Completed ",IF(AX34-AV34&gt;0,AX34-AV34&amp;" day(s) late",(IF(AX34-AV34=0,"on time",AV34-AX34&amp;" day(s) early"))),"")</f>
        <v/>
      </c>
      <c r="BY34" s="307" t="str">
        <f t="shared" ref="BY34" ca="1" si="94">IF(BW34="Completed ",IF(BF34-BE34&gt;0,"Over budget by £"&amp;(BF34-BE34),"Under budget by £"&amp;BE34-BF34),IF(BF34="","","Current Forecast Spend £"&amp;BF34))</f>
        <v/>
      </c>
      <c r="BZ34" s="307" t="str">
        <f>IF(COUNTA(AT34:AX34),"Stage Gate 5",IF(COUNTA(AI34:AM34),"Stage Gate 4", IF(COUNTA(X34:AB34),"Stage Gate 3",  IF(COUNTA(M34:Q34),"Stage Gate 2", "Stage Gate 1"))))</f>
        <v>Stage Gate 1</v>
      </c>
    </row>
    <row r="35" spans="1:78" x14ac:dyDescent="0.2">
      <c r="A35" s="325"/>
      <c r="B35" s="321"/>
      <c r="C35" s="321"/>
      <c r="D35" s="320"/>
      <c r="E35" s="320"/>
      <c r="F35" s="320"/>
      <c r="G35" s="266"/>
      <c r="H35" s="291"/>
      <c r="I35" s="348" t="str">
        <f t="shared" si="52"/>
        <v/>
      </c>
      <c r="J35" s="349"/>
      <c r="K35" s="346" t="str">
        <f t="shared" si="43"/>
        <v/>
      </c>
      <c r="L35" s="330" t="str">
        <f t="shared" ca="1" si="44"/>
        <v/>
      </c>
      <c r="M35" s="345"/>
      <c r="N35" s="343"/>
      <c r="O35" s="328"/>
      <c r="P35" s="344"/>
      <c r="Q35" s="343"/>
      <c r="R35" s="322"/>
      <c r="S35" s="322"/>
      <c r="T35" s="329" t="str">
        <f t="shared" si="32"/>
        <v/>
      </c>
      <c r="U35" s="329" t="str">
        <f t="shared" si="33"/>
        <v/>
      </c>
      <c r="V35" s="329" t="str">
        <f t="shared" si="34"/>
        <v/>
      </c>
      <c r="W35" s="330" t="str">
        <f t="shared" si="42"/>
        <v/>
      </c>
      <c r="X35" s="345"/>
      <c r="Y35" s="343"/>
      <c r="Z35" s="328"/>
      <c r="AA35" s="343"/>
      <c r="AB35" s="343"/>
      <c r="AC35" s="328"/>
      <c r="AD35" s="328"/>
      <c r="AE35" s="329" t="str">
        <f t="shared" si="35"/>
        <v/>
      </c>
      <c r="AF35" s="329" t="str">
        <f t="shared" si="36"/>
        <v/>
      </c>
      <c r="AG35" s="329" t="str">
        <f t="shared" si="37"/>
        <v/>
      </c>
      <c r="AH35" s="330" t="str">
        <f t="shared" si="38"/>
        <v/>
      </c>
      <c r="AI35" s="345"/>
      <c r="AJ35" s="343"/>
      <c r="AK35" s="328"/>
      <c r="AL35" s="343"/>
      <c r="AM35" s="343"/>
      <c r="AN35" s="328"/>
      <c r="AO35" s="328"/>
      <c r="AP35" s="329" t="str">
        <f t="shared" si="45"/>
        <v/>
      </c>
      <c r="AQ35" s="329" t="str">
        <f t="shared" si="46"/>
        <v/>
      </c>
      <c r="AR35" s="329" t="str">
        <f t="shared" si="47"/>
        <v/>
      </c>
      <c r="AS35" s="330" t="str">
        <f t="shared" si="48"/>
        <v/>
      </c>
      <c r="AT35" s="293"/>
      <c r="AU35" s="344"/>
      <c r="AV35" s="332"/>
      <c r="AW35" s="344"/>
      <c r="AX35" s="344"/>
      <c r="AY35" s="326" t="str">
        <f t="shared" si="39"/>
        <v/>
      </c>
      <c r="AZ35" s="326"/>
      <c r="BA35" s="333" t="str">
        <f>IFERROR(IF(1-(AU35-AT35)/(AV35-AT35)&gt;0.9,"G",IF(1-(AU35-AT35)/(AV35-AT35)&gt;0.85,"A","R")),"")</f>
        <v/>
      </c>
      <c r="BB35" s="333" t="str">
        <f>IF(AW35="","",IF((AV35-AT35)/(AW35-AT35)&gt;0.9,"G",(IF((AV35-AT35)/(AW35-AT35)&gt;0.85,"A","R"))))</f>
        <v/>
      </c>
      <c r="BC35" s="333" t="str">
        <f>IF(AX35="","",IF((AV35-AT35)/(AX35-AT35)&gt;0.9,"G",(IF((AV35-AT35)/(AX35-AT35)&gt;0.85,"A","R"))))</f>
        <v/>
      </c>
      <c r="BD35" s="256" t="str">
        <f t="shared" si="49"/>
        <v/>
      </c>
      <c r="BE35" s="335"/>
      <c r="BF35" s="336"/>
      <c r="BG35" s="337"/>
      <c r="BH35" s="62"/>
      <c r="BI35" s="60"/>
      <c r="BJ35" s="63" t="e">
        <f t="shared" si="50"/>
        <v>#DIV/0!</v>
      </c>
      <c r="BK35" s="63" t="e">
        <f t="shared" si="51"/>
        <v>#DIV/0!</v>
      </c>
      <c r="BL35" s="64" t="str">
        <f t="shared" si="40"/>
        <v/>
      </c>
      <c r="BM35" s="18"/>
      <c r="BN35" s="19"/>
      <c r="BO35" s="65" t="str">
        <f>IF(AND(BL35="",BD35="",AS35="",W35=""),"",IF(AND(BL35="G",BD35="G",AS35="G",W35="G"),"G",IF(OR(BL35="R",BD35="R",AS35="R",W35="R"),"R",VLOOKUP(CONCATENATE(W35,AS35,BD35,BL35),'Rag Coding'!A:B,2,FALSE))))</f>
        <v/>
      </c>
      <c r="BP35" s="37">
        <f>'Dashboard Page'!N29</f>
        <v>0</v>
      </c>
      <c r="BQ35" s="39" t="str">
        <f ca="1">IF(M35="","",IF(V35&lt;&gt;"","Completed ",IF(AND(U35&lt;&gt;"",P35&gt;TODAY()),"Forecast Completion on "&amp;DAY(P35)&amp;"-"&amp;MONTH(P35)&amp;"-"&amp;YEAR(P35)&amp;CHAR(10)&amp;IF(P35-O35&gt;0,(P35-O35)&amp;" day(s) late",(IF(P35-O35=0,"on time",(O35-P35)&amp;" day(s) early"))),IF(P35&lt;TODAY(),"Forecast Completion in the past, please update","Baseline Complete"))))</f>
        <v/>
      </c>
      <c r="BR35" s="39" t="str">
        <f ca="1">IF(BQ35="Completed ",IF(Q35-O35&gt;0,Q35-O35&amp;" day(s) late",(IF(Q35-O35=0,"on time",O35-Q35&amp;" day(s) early"))),"")</f>
        <v/>
      </c>
      <c r="BS35" s="39" t="str">
        <f ca="1">IF(X35="","",IF(AG35&lt;&gt;"","Completed ",IF(AND(AF35&lt;&gt;"",AA35&gt;TODAY()),"Forecast Completion on "&amp;DAY(AA35)&amp;"-"&amp;MONTH(AA35)&amp;"-"&amp;YEAR(AA35)&amp;CHAR(10)&amp;IF(AA35-Z35&gt;0,(AA35-Z35)&amp;" day(s) late",(IF(AA35-Z35=0,"on time",(Z35-AA35)&amp;" day(s) early"))),IF(AA35&lt;TODAY(),"Forecast Completion in the past, please update","Baseline Complete"))))</f>
        <v/>
      </c>
      <c r="BT35" s="39" t="str">
        <f ca="1">IF(BS35="Completed ",IF(AB35-Z35&gt;0,AB35-Z35&amp;" day(s) late",(IF(AB35-Z35=0,"on time",Z35-AB35&amp;" day(s) early"))),"")</f>
        <v/>
      </c>
      <c r="BU35" s="39" t="str">
        <f ca="1">IF(AI35="","",IF(AR35&lt;&gt;"","Completed ",IF(AND(AQ35&lt;&gt;"",AL35&gt;TODAY()),"Forecast Completion on "&amp;DAY(AL35)&amp;"-"&amp;MONTH(AL35)&amp;"-"&amp;YEAR(AL35)&amp;CHAR(10)&amp;IF(AL35-AK35&gt;0,(AL35-AK35)&amp;" day(s) late",(IF(AL35-AK35=0,"on time",(AK35-AL35)&amp;" day(s) early"))),IF(AL35&lt;TODAY(),"Forecast Completion in the past, please update","Baseline Complete"))))</f>
        <v/>
      </c>
      <c r="BV35" s="39" t="str">
        <f ca="1">IF(BU35="Completed ",IF(AM35-AK35&gt;0,AM35-AK35&amp;" day(s) late",(IF(AM35-AK35=0,"on time",AK35-AM35&amp;" day(s) early"))),"")</f>
        <v/>
      </c>
      <c r="BW35" s="39" t="str">
        <f ca="1">IF(AT35="","",IF(BC35&lt;&gt;"","Completed ",IF(AND(BB35&lt;&gt;"",AW35&gt;TODAY()),"Forecast Completion on "&amp;DAY(AW35)&amp;"-"&amp;MONTH(AW35)&amp;"-"&amp;YEAR(AW35)&amp;CHAR(10)&amp;IF(AW35-AV35&gt;0,(AW35-AV35)&amp;" day(s) late",(IF(AW35-AV35=0,"on time",(AV35-AW35)&amp;" day(s) early"))),IF(AW35&lt;TODAY(),"Forecast Completion in the past, please update","Baseline Complete"))))</f>
        <v/>
      </c>
      <c r="BX35" s="39" t="str">
        <f ca="1">IF(BW35="Completed ",IF(AX35-AV35&gt;0,AX35-AV35&amp;" day(s) late",(IF(AX35-AV35=0,"on time",AV35-AX35&amp;" day(s) early"))),"")</f>
        <v/>
      </c>
      <c r="BY35" s="39" t="str">
        <f t="shared" ca="1" si="41"/>
        <v/>
      </c>
      <c r="BZ35" s="39" t="str">
        <f>IF(COUNTA(AT35:AX35),"Stage Gate 5",IF(COUNTA(AI35:AM35),"Stage Gate 4", IF(COUNTA(X35:AB35),"Stage Gate 3",  IF(COUNTA(M35:Q35),"Stage Gate 2", "Stage Gate 1"))))</f>
        <v>Stage Gate 1</v>
      </c>
    </row>
    <row r="36" spans="1:78" x14ac:dyDescent="0.2">
      <c r="A36" s="44"/>
      <c r="B36" s="21"/>
      <c r="C36" s="21"/>
      <c r="D36" s="20"/>
      <c r="E36" s="20"/>
      <c r="F36" s="100"/>
      <c r="G36" s="266"/>
      <c r="H36" s="269"/>
      <c r="I36" s="229" t="str">
        <f t="shared" si="52"/>
        <v/>
      </c>
      <c r="J36" s="349"/>
      <c r="K36" s="162" t="str">
        <f t="shared" si="43"/>
        <v/>
      </c>
      <c r="L36" s="54" t="str">
        <f t="shared" ca="1" si="44"/>
        <v/>
      </c>
      <c r="M36" s="148"/>
      <c r="N36" s="120"/>
      <c r="O36" s="52"/>
      <c r="P36" s="121"/>
      <c r="Q36" s="120"/>
      <c r="R36" s="28"/>
      <c r="S36" s="28"/>
      <c r="T36" s="53" t="str">
        <f t="shared" si="32"/>
        <v/>
      </c>
      <c r="U36" s="53" t="str">
        <f t="shared" si="33"/>
        <v/>
      </c>
      <c r="V36" s="53" t="str">
        <f t="shared" si="34"/>
        <v/>
      </c>
      <c r="W36" s="54" t="str">
        <f t="shared" si="42"/>
        <v/>
      </c>
      <c r="X36" s="51"/>
      <c r="Y36" s="120"/>
      <c r="Z36" s="52"/>
      <c r="AA36" s="120"/>
      <c r="AB36" s="120"/>
      <c r="AC36" s="52"/>
      <c r="AD36" s="52"/>
      <c r="AE36" s="53" t="str">
        <f t="shared" si="35"/>
        <v/>
      </c>
      <c r="AF36" s="53" t="str">
        <f t="shared" si="36"/>
        <v/>
      </c>
      <c r="AG36" s="53" t="str">
        <f t="shared" si="37"/>
        <v/>
      </c>
      <c r="AH36" s="330" t="str">
        <f t="shared" si="38"/>
        <v/>
      </c>
      <c r="AI36" s="345"/>
      <c r="AJ36" s="120"/>
      <c r="AK36" s="52"/>
      <c r="AL36" s="120"/>
      <c r="AM36" s="120"/>
      <c r="AN36" s="52"/>
      <c r="AO36" s="52"/>
      <c r="AP36" s="53" t="str">
        <f t="shared" si="45"/>
        <v/>
      </c>
      <c r="AQ36" s="53" t="str">
        <f t="shared" si="46"/>
        <v/>
      </c>
      <c r="AR36" s="53" t="str">
        <f t="shared" si="47"/>
        <v/>
      </c>
      <c r="AS36" s="330" t="str">
        <f t="shared" si="48"/>
        <v/>
      </c>
      <c r="AT36" s="293"/>
      <c r="AU36" s="121"/>
      <c r="AV36" s="56"/>
      <c r="AW36" s="121"/>
      <c r="AX36" s="121"/>
      <c r="AY36" s="45" t="str">
        <f t="shared" si="39"/>
        <v/>
      </c>
      <c r="AZ36" s="45"/>
      <c r="BA36" s="57" t="str">
        <f>IFERROR(IF(1-(AU36-AT36)/(AV36-AT36)&gt;0.9,"G",IF(1-(AU36-AT36)/(AV36-AT36)&gt;0.85,"A","R")),"")</f>
        <v/>
      </c>
      <c r="BB36" s="57" t="str">
        <f>IF(AW36="","",IF((AV36-AT36)/(AW36-AT36)&gt;0.9,"G",(IF((AV36-AT36)/(AW36-AT36)&gt;0.85,"A","R"))))</f>
        <v/>
      </c>
      <c r="BC36" s="57" t="str">
        <f>IF(AX36="","",IF((AV36-AT36)/(AX36-AT36)&gt;0.9,"G",(IF((AV36-AT36)/(AX36-AT36)&gt;0.85,"A","R"))))</f>
        <v/>
      </c>
      <c r="BD36" s="58" t="str">
        <f t="shared" si="49"/>
        <v/>
      </c>
      <c r="BE36" s="335"/>
      <c r="BF36" s="336"/>
      <c r="BG36" s="337"/>
      <c r="BH36" s="62"/>
      <c r="BI36" s="60"/>
      <c r="BJ36" s="63" t="e">
        <f t="shared" si="50"/>
        <v>#DIV/0!</v>
      </c>
      <c r="BK36" s="63" t="e">
        <f t="shared" si="51"/>
        <v>#DIV/0!</v>
      </c>
      <c r="BL36" s="64" t="str">
        <f t="shared" si="40"/>
        <v/>
      </c>
      <c r="BM36" s="18"/>
      <c r="BN36" s="19"/>
      <c r="BO36" s="65" t="str">
        <f>IF(AND(BL36="",BD36="",AS36="",W36=""),"",IF(AND(BL36="G",BD36="G",AS36="G",W36="G"),"G",IF(OR(BL36="R",BD36="R",AS36="R",W36="R"),"R",VLOOKUP(CONCATENATE(W36,AS36,BD36,BL36),'Rag Coding'!A:B,2,FALSE))))</f>
        <v/>
      </c>
      <c r="BP36" s="37">
        <f>'Dashboard Page'!N31</f>
        <v>0</v>
      </c>
      <c r="BQ36" s="39" t="str">
        <f ca="1">IF(M36="","",IF(V36&lt;&gt;"","Completed ",IF(AND(U36&lt;&gt;"",P36&gt;TODAY()),"Forecast Completion on "&amp;DAY(P36)&amp;"-"&amp;MONTH(P36)&amp;"-"&amp;YEAR(P36)&amp;CHAR(10)&amp;IF(P36-O36&gt;0,(P36-O36)&amp;" day(s) late",(IF(P36-O36=0,"on time",(O36-P36)&amp;" day(s) early"))),IF(P36&lt;TODAY(),"Forecast Completion in the past, please update","Baseline Complete"))))</f>
        <v/>
      </c>
      <c r="BR36" s="39" t="str">
        <f ca="1">IF(BQ36="Completed ",IF(Q36-O36&gt;0,Q36-O36&amp;" day(s) late",(IF(Q36-O36=0,"on time",O36-Q36&amp;" day(s) early"))),"")</f>
        <v/>
      </c>
      <c r="BS36" s="39" t="str">
        <f ca="1">IF(X36="","",IF(AG36&lt;&gt;"","Completed ",IF(AND(AF36&lt;&gt;"",AA36&gt;TODAY()),"Forecast Completion on "&amp;DAY(AA36)&amp;"-"&amp;MONTH(AA36)&amp;"-"&amp;YEAR(AA36)&amp;CHAR(10)&amp;IF(AA36-Z36&gt;0,(AA36-Z36)&amp;" day(s) late",(IF(AA36-Z36=0,"on time",(Z36-AA36)&amp;" day(s) early"))),IF(AA36&lt;TODAY(),"Forecast Completion in the past, please update","Baseline Complete"))))</f>
        <v/>
      </c>
      <c r="BT36" s="39" t="str">
        <f ca="1">IF(BS36="Completed ",IF(AB36-Z36&gt;0,AB36-Z36&amp;" day(s) late",(IF(AB36-Z36=0,"on time",Z36-AB36&amp;" day(s) early"))),"")</f>
        <v/>
      </c>
      <c r="BU36" s="39" t="str">
        <f ca="1">IF(AI36="","",IF(AR36&lt;&gt;"","Completed ",IF(AND(AQ36&lt;&gt;"",AL36&gt;TODAY()),"Forecast Completion on "&amp;DAY(AL36)&amp;"-"&amp;MONTH(AL36)&amp;"-"&amp;YEAR(AL36)&amp;CHAR(10)&amp;IF(AL36-AK36&gt;0,(AL36-AK36)&amp;" day(s) late",(IF(AL36-AK36=0,"on time",(AK36-AL36)&amp;" day(s) early"))),IF(AL36&lt;TODAY(),"Forecast Completion in the past, please update","Baseline Complete"))))</f>
        <v/>
      </c>
      <c r="BV36" s="39" t="str">
        <f ca="1">IF(BU36="Completed ",IF(AM36-AK36&gt;0,AM36-AK36&amp;" day(s) late",(IF(AM36-AK36=0,"on time",AK36-AM36&amp;" day(s) early"))),"")</f>
        <v/>
      </c>
      <c r="BW36" s="39" t="str">
        <f ca="1">IF(AT36="","",IF(BC36&lt;&gt;"","Completed ",IF(AND(BB36&lt;&gt;"",AW36&gt;TODAY()),"Forecast Completion on "&amp;DAY(AW36)&amp;"-"&amp;MONTH(AW36)&amp;"-"&amp;YEAR(AW36)&amp;CHAR(10)&amp;IF(AW36-AV36&gt;0,(AW36-AV36)&amp;" day(s) late",(IF(AW36-AV36=0,"on time",(AV36-AW36)&amp;" day(s) early"))),IF(AW36&lt;TODAY(),"Forecast Completion in the past, please update","Baseline Complete"))))</f>
        <v/>
      </c>
      <c r="BX36" s="39" t="str">
        <f ca="1">IF(BW36="Completed ",IF(AX36-AV36&gt;0,AX36-AV36&amp;" day(s) late",(IF(AX36-AV36=0,"on time",AV36-AX36&amp;" day(s) early"))),"")</f>
        <v/>
      </c>
      <c r="BY36" s="39" t="str">
        <f t="shared" ca="1" si="41"/>
        <v/>
      </c>
      <c r="BZ36" s="39" t="str">
        <f>IF(COUNTA(AT36:AX36),"Stage Gate 5",IF(COUNTA(AI36:AM36),"Stage Gate 4", IF(COUNTA(X36:AB36),"Stage Gate 3",  IF(COUNTA(M36:Q36),"Stage Gate 2", "Stage Gate 1"))))</f>
        <v>Stage Gate 1</v>
      </c>
    </row>
    <row r="37" spans="1:78" x14ac:dyDescent="0.2">
      <c r="A37" s="44"/>
      <c r="B37" s="21"/>
      <c r="C37" s="21"/>
      <c r="D37" s="20"/>
      <c r="E37" s="20"/>
      <c r="F37" s="100"/>
      <c r="G37" s="266"/>
      <c r="H37" s="269"/>
      <c r="I37" s="229" t="str">
        <f t="shared" si="52"/>
        <v/>
      </c>
      <c r="J37" s="349"/>
      <c r="K37" s="162" t="str">
        <f t="shared" si="43"/>
        <v/>
      </c>
      <c r="L37" s="54" t="str">
        <f t="shared" ca="1" si="44"/>
        <v/>
      </c>
      <c r="M37" s="148"/>
      <c r="N37" s="120"/>
      <c r="O37" s="52"/>
      <c r="P37" s="121"/>
      <c r="Q37" s="120"/>
      <c r="R37" s="28"/>
      <c r="S37" s="28"/>
      <c r="T37" s="53" t="str">
        <f t="shared" si="32"/>
        <v/>
      </c>
      <c r="U37" s="53" t="str">
        <f t="shared" si="33"/>
        <v/>
      </c>
      <c r="V37" s="53" t="str">
        <f t="shared" si="34"/>
        <v/>
      </c>
      <c r="W37" s="54" t="str">
        <f t="shared" si="42"/>
        <v/>
      </c>
      <c r="X37" s="51"/>
      <c r="Y37" s="120"/>
      <c r="Z37" s="52"/>
      <c r="AA37" s="120"/>
      <c r="AB37" s="120"/>
      <c r="AC37" s="52"/>
      <c r="AD37" s="52"/>
      <c r="AE37" s="53" t="str">
        <f t="shared" si="35"/>
        <v/>
      </c>
      <c r="AF37" s="53" t="str">
        <f t="shared" si="36"/>
        <v/>
      </c>
      <c r="AG37" s="53" t="str">
        <f t="shared" si="37"/>
        <v/>
      </c>
      <c r="AH37" s="330" t="str">
        <f t="shared" si="38"/>
        <v/>
      </c>
      <c r="AI37" s="345"/>
      <c r="AJ37" s="120"/>
      <c r="AK37" s="52"/>
      <c r="AL37" s="120"/>
      <c r="AM37" s="120"/>
      <c r="AN37" s="52"/>
      <c r="AO37" s="52"/>
      <c r="AP37" s="53" t="str">
        <f t="shared" si="45"/>
        <v/>
      </c>
      <c r="AQ37" s="53" t="str">
        <f t="shared" si="46"/>
        <v/>
      </c>
      <c r="AR37" s="53" t="str">
        <f t="shared" si="47"/>
        <v/>
      </c>
      <c r="AS37" s="54" t="str">
        <f t="shared" si="48"/>
        <v/>
      </c>
      <c r="AT37" s="55"/>
      <c r="AU37" s="121"/>
      <c r="AV37" s="56"/>
      <c r="AW37" s="121"/>
      <c r="AX37" s="121"/>
      <c r="AY37" s="45" t="str">
        <f t="shared" si="39"/>
        <v/>
      </c>
      <c r="AZ37" s="45"/>
      <c r="BA37" s="57" t="str">
        <f>IFERROR(IF(1-(AU37-AT37)/(AV37-AT37)&gt;0.9,"G",IF(1-(AU37-AT37)/(AV37-AT37)&gt;0.85,"A","R")),"")</f>
        <v/>
      </c>
      <c r="BB37" s="57" t="str">
        <f>IF(AW37="","",IF((AV37-AT37)/(AW37-AT37)&gt;0.9,"G",(IF((AV37-AT37)/(AW37-AT37)&gt;0.85,"A","R"))))</f>
        <v/>
      </c>
      <c r="BC37" s="57" t="str">
        <f>IF(AX37="","",IF((AV37-AT37)/(AX37-AT37)&gt;0.9,"G",(IF((AV37-AT37)/(AX37-AT37)&gt;0.85,"A","R"))))</f>
        <v/>
      </c>
      <c r="BD37" s="58" t="str">
        <f t="shared" si="49"/>
        <v/>
      </c>
      <c r="BE37" s="335"/>
      <c r="BF37" s="336"/>
      <c r="BG37" s="337"/>
      <c r="BH37" s="62"/>
      <c r="BI37" s="60"/>
      <c r="BJ37" s="63" t="e">
        <f t="shared" si="50"/>
        <v>#DIV/0!</v>
      </c>
      <c r="BK37" s="63" t="e">
        <f t="shared" si="51"/>
        <v>#DIV/0!</v>
      </c>
      <c r="BL37" s="64" t="str">
        <f t="shared" si="40"/>
        <v/>
      </c>
      <c r="BM37" s="18"/>
      <c r="BN37" s="19"/>
      <c r="BO37" s="65" t="str">
        <f>IF(AND(BL37="",BD37="",AS37="",W37=""),"",IF(AND(BL37="G",BD37="G",AS37="G",W37="G"),"G",IF(OR(BL37="R",BD37="R",AS37="R",W37="R"),"R",VLOOKUP(CONCATENATE(W37,AS37,BD37,BL37),'Rag Coding'!A:B,2,FALSE))))</f>
        <v/>
      </c>
      <c r="BP37" s="37">
        <f>'Dashboard Page'!N32</f>
        <v>0</v>
      </c>
      <c r="BQ37" s="39" t="str">
        <f ca="1">IF(M37="","",IF(V37&lt;&gt;"","Completed ",IF(AND(U37&lt;&gt;"",P37&gt;TODAY()),"Forecast Completion on "&amp;DAY(P37)&amp;"-"&amp;MONTH(P37)&amp;"-"&amp;YEAR(P37)&amp;CHAR(10)&amp;IF(P37-O37&gt;0,(P37-O37)&amp;" day(s) late",(IF(P37-O37=0,"on time",(O37-P37)&amp;" day(s) early"))),IF(P37&lt;TODAY(),"Forecast Completion in the past, please update","Baseline Complete"))))</f>
        <v/>
      </c>
      <c r="BR37" s="39" t="str">
        <f ca="1">IF(BQ37="Completed ",IF(Q37-O37&gt;0,Q37-O37&amp;" day(s) late",(IF(Q37-O37=0,"on time",O37-Q37&amp;" day(s) early"))),"")</f>
        <v/>
      </c>
      <c r="BS37" s="39" t="str">
        <f ca="1">IF(X37="","",IF(AG37&lt;&gt;"","Completed ",IF(AND(AF37&lt;&gt;"",AA37&gt;TODAY()),"Forecast Completion on "&amp;DAY(AA37)&amp;"-"&amp;MONTH(AA37)&amp;"-"&amp;YEAR(AA37)&amp;CHAR(10)&amp;IF(AA37-Z37&gt;0,(AA37-Z37)&amp;" day(s) late",(IF(AA37-Z37=0,"on time",(Z37-AA37)&amp;" day(s) early"))),IF(AA37&lt;TODAY(),"Forecast Completion in the past, please update","Baseline Complete"))))</f>
        <v/>
      </c>
      <c r="BT37" s="39" t="str">
        <f ca="1">IF(BS37="Completed ",IF(AB37-Z37&gt;0,AB37-Z37&amp;" day(s) late",(IF(AB37-Z37=0,"on time",Z37-AB37&amp;" day(s) early"))),"")</f>
        <v/>
      </c>
      <c r="BU37" s="39" t="str">
        <f ca="1">IF(AI37="","",IF(AR37&lt;&gt;"","Completed ",IF(AND(AQ37&lt;&gt;"",AL37&gt;TODAY()),"Forecast Completion on "&amp;DAY(AL37)&amp;"-"&amp;MONTH(AL37)&amp;"-"&amp;YEAR(AL37)&amp;CHAR(10)&amp;IF(AL37-AK37&gt;0,(AL37-AK37)&amp;" day(s) late",(IF(AL37-AK37=0,"on time",(AK37-AL37)&amp;" day(s) early"))),IF(AL37&lt;TODAY(),"Forecast Completion in the past, please update","Baseline Complete"))))</f>
        <v/>
      </c>
      <c r="BV37" s="39" t="str">
        <f ca="1">IF(BU37="Completed ",IF(AM37-AK37&gt;0,AM37-AK37&amp;" day(s) late",(IF(AM37-AK37=0,"on time",AK37-AM37&amp;" day(s) early"))),"")</f>
        <v/>
      </c>
      <c r="BW37" s="39" t="str">
        <f ca="1">IF(AT37="","",IF(BC37&lt;&gt;"","Completed ",IF(AND(BB37&lt;&gt;"",AW37&gt;TODAY()),"Forecast Completion on "&amp;DAY(AW37)&amp;"-"&amp;MONTH(AW37)&amp;"-"&amp;YEAR(AW37)&amp;CHAR(10)&amp;IF(AW37-AV37&gt;0,(AW37-AV37)&amp;" day(s) late",(IF(AW37-AV37=0,"on time",(AV37-AW37)&amp;" day(s) early"))),IF(AW37&lt;TODAY(),"Forecast Completion in the past, please update","Baseline Complete"))))</f>
        <v/>
      </c>
      <c r="BX37" s="39" t="str">
        <f ca="1">IF(BW37="Completed ",IF(AX37-AV37&gt;0,AX37-AV37&amp;" day(s) late",(IF(AX37-AV37=0,"on time",AV37-AX37&amp;" day(s) early"))),"")</f>
        <v/>
      </c>
      <c r="BY37" s="39" t="str">
        <f t="shared" ca="1" si="41"/>
        <v/>
      </c>
      <c r="BZ37" s="39" t="str">
        <f>IF(COUNTA(AT37:AX37),"Stage Gate 5",IF(COUNTA(AI37:AM37),"Stage Gate 4", IF(COUNTA(X37:AB37),"Stage Gate 3",  IF(COUNTA(M37:Q37),"Stage Gate 2", "Stage Gate 1"))))</f>
        <v>Stage Gate 1</v>
      </c>
    </row>
    <row r="38" spans="1:78" x14ac:dyDescent="0.2">
      <c r="A38" s="325"/>
      <c r="B38" s="321"/>
      <c r="C38" s="321"/>
      <c r="D38" s="320"/>
      <c r="E38" s="320"/>
      <c r="F38" s="320"/>
      <c r="G38" s="266"/>
      <c r="H38" s="269"/>
      <c r="I38" s="348" t="str">
        <f t="shared" ref="I38" si="95">IF(H38="","",DATE(YEAR(H38),MONTH(H38)+1,DAY(H38)))</f>
        <v/>
      </c>
      <c r="J38" s="349"/>
      <c r="K38" s="346" t="str">
        <f t="shared" ref="K38" si="96">IF(H38="","",IF(J38="","Board Date"&amp;CHAR(10)&amp;TEXT(I38,"dd/mm/yyyy"),"Completed"&amp;CHAR(10)&amp;TEXT(J38,"dd/mm/yyyy")))</f>
        <v/>
      </c>
      <c r="L38" s="330" t="str">
        <f t="shared" ref="L38" ca="1" si="97">IF(AND(J38="",I38=""),"",IF(AND(J38="",I38&lt;TODAY()),"R","G"))</f>
        <v/>
      </c>
      <c r="M38" s="345"/>
      <c r="N38" s="343"/>
      <c r="O38" s="328"/>
      <c r="P38" s="344"/>
      <c r="Q38" s="343"/>
      <c r="R38" s="322"/>
      <c r="S38" s="322"/>
      <c r="T38" s="329" t="str">
        <f t="shared" ref="T38" si="98">IFERROR(IF(1-(N38-M38)/(O38-M38)&gt;0.9,"G",IF(1-(N38-M38)/(O38-M38)&gt;0.85,"A","R")),"")</f>
        <v/>
      </c>
      <c r="U38" s="329" t="str">
        <f t="shared" ref="U38" si="99">IF(P38="","",IF((O38-M38)/(P38-M38)&gt;0.9,"G",(IF((O38-M38)/(P38-M38)&gt;0.85,"A","R"))))</f>
        <v/>
      </c>
      <c r="V38" s="329" t="str">
        <f t="shared" ref="V38" si="100">IF(Q38="","",IF((O38-M38)/(Q38-M38)&gt;0.9,"G",(IF((O38-M38)/(Q38-M38)&gt;0.85,"A","R"))))</f>
        <v/>
      </c>
      <c r="W38" s="330" t="str">
        <f t="shared" ref="W38" si="101">IF(V38="",IF(U38="",T38,U38),V38)</f>
        <v/>
      </c>
      <c r="X38" s="327"/>
      <c r="Y38" s="343"/>
      <c r="Z38" s="328"/>
      <c r="AA38" s="343"/>
      <c r="AB38" s="343"/>
      <c r="AC38" s="328"/>
      <c r="AD38" s="328"/>
      <c r="AE38" s="329" t="str">
        <f t="shared" ref="AE38" si="102">IFERROR(IF(1-(Y38-X38)/(Z38-X38)&gt;0.9,"G",IF(1-(Y38-X38)/(Z38-X38)&gt;0.85,"A","R")),"")</f>
        <v/>
      </c>
      <c r="AF38" s="329" t="str">
        <f t="shared" ref="AF38" si="103">IF(AA38="","",IF((Z38-X38)/(AA38-X38)&gt;0.9,"G",(IF((Z38-X38)/(AA38-X38)&gt;0.85,"A","R"))))</f>
        <v/>
      </c>
      <c r="AG38" s="329" t="str">
        <f t="shared" ref="AG38" si="104">IF(AB38="","",IF((Z38-X38)/(AB38-X38)&gt;0.9,"G",(IF((Z38-X38)/(AB38-X38)&gt;0.85,"A","R"))))</f>
        <v/>
      </c>
      <c r="AH38" s="330" t="str">
        <f t="shared" ref="AH38" si="105">IF(AG38="",IF(AF38="",AE38,AF38),AG38)</f>
        <v/>
      </c>
      <c r="AI38" s="327"/>
      <c r="AJ38" s="343"/>
      <c r="AK38" s="328"/>
      <c r="AL38" s="343"/>
      <c r="AM38" s="343"/>
      <c r="AN38" s="328"/>
      <c r="AO38" s="328"/>
      <c r="AP38" s="329" t="str">
        <f t="shared" ref="AP38" si="106">IFERROR(IF(1-(AJ38-AI38)/(AK38-AI38)&gt;0.9,"G",IF(1-(AJ38-AI38)/(AK38-AI38)&gt;0.85,"A","R")),"")</f>
        <v/>
      </c>
      <c r="AQ38" s="329" t="str">
        <f t="shared" ref="AQ38" si="107">IF(AL38="","",IF((AK38-AI38)/(AL38-AI38)&gt;0.9,"G",(IF((AK38-AI38)/(AL38-AI38)&gt;0.85,"A","R"))))</f>
        <v/>
      </c>
      <c r="AR38" s="329" t="str">
        <f t="shared" ref="AR38" si="108">IF(AM38="","",IF((AK38-AI38)/(AM38-AI38)&gt;0.9,"G",(IF((AK38-AI38)/(AM38-AI38)&gt;0.85,"A","R"))))</f>
        <v/>
      </c>
      <c r="AS38" s="330" t="str">
        <f t="shared" ref="AS38" si="109">IF(AR38="",IF(AQ38="",AP38,AQ38),AR38)</f>
        <v/>
      </c>
      <c r="AT38" s="331"/>
      <c r="AU38" s="344"/>
      <c r="AV38" s="332"/>
      <c r="AW38" s="344"/>
      <c r="AX38" s="344"/>
      <c r="AY38" s="326" t="str">
        <f t="shared" ref="AY38" si="110">IF(AX38="","",DATE(YEAR(AX38),MONTH(AX38)+3,DAY(AX38)))</f>
        <v/>
      </c>
      <c r="AZ38" s="326"/>
      <c r="BA38" s="333" t="str">
        <f>IFERROR(IF(1-(AU38-AT38)/(AV38-AT38)&gt;0.9,"G",IF(1-(AU38-AT38)/(AV38-AT38)&gt;0.85,"A","R")),"")</f>
        <v/>
      </c>
      <c r="BB38" s="333" t="str">
        <f>IF(AW38="","",IF((AV38-AT38)/(AW38-AT38)&gt;0.9,"G",(IF((AV38-AT38)/(AW38-AT38)&gt;0.85,"A","R"))))</f>
        <v/>
      </c>
      <c r="BC38" s="333" t="str">
        <f>IF(AX38="","",IF((AV38-AT38)/(AX38-AT38)&gt;0.9,"G",(IF((AV38-AT38)/(AX38-AT38)&gt;0.85,"A","R"))))</f>
        <v/>
      </c>
      <c r="BD38" s="256" t="str">
        <f t="shared" ref="BD38" si="111">IF(BC38="",IF(BB38="",BA38,BB38),BC38)</f>
        <v/>
      </c>
      <c r="BE38" s="335"/>
      <c r="BF38" s="336"/>
      <c r="BG38" s="337"/>
      <c r="BH38" s="309"/>
      <c r="BI38" s="308"/>
      <c r="BJ38" s="310" t="e">
        <f t="shared" ref="BJ38" si="112">(BF38-BE38)/BE38</f>
        <v>#DIV/0!</v>
      </c>
      <c r="BK38" s="310" t="e">
        <f t="shared" ref="BK38" si="113">(BG38-BE38)/BE38</f>
        <v>#DIV/0!</v>
      </c>
      <c r="BL38" s="311" t="str">
        <f t="shared" ref="BL38" si="114">IF(BE38="","",IF(AND(BJ38&lt;0.025,BK38&lt;0.025),"G",IF(OR(BJ38&gt;0.05,BK38&gt;0.05),"R",IF(AND(BJ38&gt;0.025,BK38&gt;0.025),"A","G"))))</f>
        <v/>
      </c>
      <c r="BM38" s="304"/>
      <c r="BN38" s="305"/>
      <c r="BO38" s="312" t="str">
        <f>IF(AND(BL38="",BD38="",AS38="",W38=""),"",IF(AND(BL38="G",BD38="G",AS38="G",W38="G"),"G",IF(OR(BL38="R",BD38="R",AS38="R",W38="R"),"R",VLOOKUP(CONCATENATE(W38,AS38,BD38,BL38),'Rag Coding'!A:B,2,FALSE))))</f>
        <v/>
      </c>
      <c r="BP38" s="306">
        <f>'Dashboard Page'!N32</f>
        <v>0</v>
      </c>
      <c r="BQ38" s="307" t="str">
        <f ca="1">IF(M38="","",IF(V38&lt;&gt;"","Completed ",IF(AND(U38&lt;&gt;"",P38&gt;TODAY()),"Forecast Completion on "&amp;DAY(P38)&amp;"-"&amp;MONTH(P38)&amp;"-"&amp;YEAR(P38)&amp;CHAR(10)&amp;IF(P38-O38&gt;0,(P38-O38)&amp;" day(s) late",(IF(P38-O38=0,"on time",(O38-P38)&amp;" day(s) early"))),IF(P38&lt;TODAY(),"Forecast Completion in the past, please update","Baseline Complete"))))</f>
        <v/>
      </c>
      <c r="BR38" s="307" t="str">
        <f ca="1">IF(BQ38="Completed ",IF(Q38-O38&gt;0,Q38-O38&amp;" day(s) late",(IF(Q38-O38=0,"on time",O38-Q38&amp;" day(s) early"))),"")</f>
        <v/>
      </c>
      <c r="BS38" s="307" t="str">
        <f ca="1">IF(X38="","",IF(AG38&lt;&gt;"","Completed ",IF(AND(AF38&lt;&gt;"",AA38&gt;TODAY()),"Forecast Completion on "&amp;DAY(AA38)&amp;"-"&amp;MONTH(AA38)&amp;"-"&amp;YEAR(AA38)&amp;CHAR(10)&amp;IF(AA38-Z38&gt;0,(AA38-Z38)&amp;" day(s) late",(IF(AA38-Z38=0,"on time",(Z38-AA38)&amp;" day(s) early"))),IF(AA38&lt;TODAY(),"Forecast Completion in the past, please update","Baseline Complete"))))</f>
        <v/>
      </c>
      <c r="BT38" s="307" t="str">
        <f ca="1">IF(BS38="Completed ",IF(AB38-Z38&gt;0,AB38-Z38&amp;" day(s) late",(IF(AB38-Z38=0,"on time",Z38-AB38&amp;" day(s) early"))),"")</f>
        <v/>
      </c>
      <c r="BU38" s="307" t="str">
        <f ca="1">IF(AI38="","",IF(AR38&lt;&gt;"","Completed ",IF(AND(AQ38&lt;&gt;"",AL38&gt;TODAY()),"Forecast Completion on "&amp;DAY(AL38)&amp;"-"&amp;MONTH(AL38)&amp;"-"&amp;YEAR(AL38)&amp;CHAR(10)&amp;IF(AL38-AK38&gt;0,(AL38-AK38)&amp;" day(s) late",(IF(AL38-AK38=0,"on time",(AK38-AL38)&amp;" day(s) early"))),IF(AL38&lt;TODAY(),"Forecast Completion in the past, please update","Baseline Complete"))))</f>
        <v/>
      </c>
      <c r="BV38" s="307" t="str">
        <f ca="1">IF(BU38="Completed ",IF(AM38-AK38&gt;0,AM38-AK38&amp;" day(s) late",(IF(AM38-AK38=0,"on time",AK38-AM38&amp;" day(s) early"))),"")</f>
        <v/>
      </c>
      <c r="BW38" s="307" t="str">
        <f ca="1">IF(AT38="","",IF(BC38&lt;&gt;"","Completed ",IF(AND(BB38&lt;&gt;"",AW38&gt;TODAY()),"Forecast Completion on "&amp;DAY(AW38)&amp;"-"&amp;MONTH(AW38)&amp;"-"&amp;YEAR(AW38)&amp;CHAR(10)&amp;IF(AW38-AV38&gt;0,(AW38-AV38)&amp;" day(s) late",(IF(AW38-AV38=0,"on time",(AV38-AW38)&amp;" day(s) early"))),IF(AW38&lt;TODAY(),"Forecast Completion in the past, please update","Baseline Complete"))))</f>
        <v/>
      </c>
      <c r="BX38" s="307" t="str">
        <f ca="1">IF(BW38="Completed ",IF(AX38-AV38&gt;0,AX38-AV38&amp;" day(s) late",(IF(AX38-AV38=0,"on time",AV38-AX38&amp;" day(s) early"))),"")</f>
        <v/>
      </c>
      <c r="BY38" s="307" t="str">
        <f t="shared" ref="BY38" ca="1" si="115">IF(BW38="Completed ",IF(BF38-BE38&gt;0,"Over budget by £"&amp;(BF38-BE38),"Under budget by £"&amp;BE38-BF38),IF(BF38="","","Current Forecast Spend £"&amp;BF38))</f>
        <v/>
      </c>
      <c r="BZ38" s="307" t="str">
        <f t="shared" ref="BZ38" si="116">IF(COUNTA(AT38:AX38),"Stage Gate 5",IF(COUNTA(AI38:AM38),"Stage Gate 4", IF(COUNTA(X38:AB38),"Stage Gate 3",  IF(COUNTA(M38:Q38),"Stage Gate 2", "Stage Gate 1"))))</f>
        <v>Stage Gate 1</v>
      </c>
    </row>
    <row r="39" spans="1:78" x14ac:dyDescent="0.2">
      <c r="A39" s="279"/>
      <c r="B39" s="299"/>
      <c r="C39" s="299"/>
      <c r="D39" s="264"/>
      <c r="E39" s="264"/>
      <c r="F39" s="300"/>
      <c r="G39" s="276"/>
      <c r="H39" s="278"/>
      <c r="I39" s="347" t="str">
        <f t="shared" si="52"/>
        <v/>
      </c>
      <c r="J39" s="263"/>
      <c r="K39" s="298" t="str">
        <f t="shared" si="43"/>
        <v/>
      </c>
      <c r="L39" s="271" t="str">
        <f t="shared" ca="1" si="44"/>
        <v/>
      </c>
      <c r="M39" s="262"/>
      <c r="N39" s="270"/>
      <c r="O39" s="274"/>
      <c r="P39" s="292"/>
      <c r="Q39" s="270"/>
      <c r="R39" s="254"/>
      <c r="S39" s="254"/>
      <c r="T39" s="294" t="str">
        <f t="shared" si="32"/>
        <v/>
      </c>
      <c r="U39" s="294" t="str">
        <f t="shared" si="33"/>
        <v/>
      </c>
      <c r="V39" s="294" t="str">
        <f t="shared" si="34"/>
        <v/>
      </c>
      <c r="W39" s="271" t="str">
        <f t="shared" si="42"/>
        <v/>
      </c>
      <c r="X39" s="281"/>
      <c r="Y39" s="270"/>
      <c r="Z39" s="274"/>
      <c r="AA39" s="270"/>
      <c r="AB39" s="270"/>
      <c r="AC39" s="274"/>
      <c r="AD39" s="274"/>
      <c r="AE39" s="294" t="str">
        <f t="shared" si="35"/>
        <v/>
      </c>
      <c r="AF39" s="294" t="str">
        <f t="shared" si="36"/>
        <v/>
      </c>
      <c r="AG39" s="294" t="str">
        <f t="shared" si="37"/>
        <v/>
      </c>
      <c r="AH39" s="271" t="str">
        <f t="shared" si="38"/>
        <v/>
      </c>
      <c r="AI39" s="281"/>
      <c r="AJ39" s="270"/>
      <c r="AK39" s="274"/>
      <c r="AL39" s="270"/>
      <c r="AM39" s="270"/>
      <c r="AN39" s="274"/>
      <c r="AO39" s="274"/>
      <c r="AP39" s="294" t="str">
        <f t="shared" si="45"/>
        <v/>
      </c>
      <c r="AQ39" s="294" t="str">
        <f t="shared" si="46"/>
        <v/>
      </c>
      <c r="AR39" s="294" t="str">
        <f t="shared" si="47"/>
        <v/>
      </c>
      <c r="AS39" s="271" t="str">
        <f t="shared" si="48"/>
        <v/>
      </c>
      <c r="AT39" s="273"/>
      <c r="AU39" s="292"/>
      <c r="AV39" s="315"/>
      <c r="AW39" s="292"/>
      <c r="AX39" s="292"/>
      <c r="AY39" s="282" t="str">
        <f t="shared" si="39"/>
        <v/>
      </c>
      <c r="AZ39" s="282"/>
      <c r="BA39" s="260" t="str">
        <f>IFERROR(IF(1-(AU39-AT39)/(AV39-AT39)&gt;0.9,"G",IF(1-(AU39-AT39)/(AV39-AT39)&gt;0.85,"A","R")),"")</f>
        <v/>
      </c>
      <c r="BB39" s="260" t="str">
        <f>IF(AW39="","",IF((AV39-AT39)/(AW39-AT39)&gt;0.9,"G",(IF((AV39-AT39)/(AW39-AT39)&gt;0.85,"A","R"))))</f>
        <v/>
      </c>
      <c r="BC39" s="260" t="str">
        <f>IF(AX39="","",IF((AV39-AT39)/(AX39-AT39)&gt;0.9,"G",(IF((AV39-AT39)/(AX39-AT39)&gt;0.85,"A","R"))))</f>
        <v/>
      </c>
      <c r="BD39" s="286" t="str">
        <f t="shared" si="49"/>
        <v/>
      </c>
      <c r="BE39" s="335"/>
      <c r="BF39" s="336"/>
      <c r="BG39" s="337"/>
      <c r="BH39" s="62"/>
      <c r="BI39" s="60"/>
      <c r="BJ39" s="63" t="e">
        <f t="shared" si="50"/>
        <v>#DIV/0!</v>
      </c>
      <c r="BK39" s="63" t="e">
        <f t="shared" si="51"/>
        <v>#DIV/0!</v>
      </c>
      <c r="BL39" s="64" t="str">
        <f t="shared" si="40"/>
        <v/>
      </c>
      <c r="BM39" s="18"/>
      <c r="BN39" s="19"/>
      <c r="BO39" s="65" t="str">
        <f>IF(AND(BL39="",BD39="",AS39="",W39=""),"",IF(AND(BL39="G",BD39="G",AS39="G",W39="G"),"G",IF(OR(BL39="R",BD39="R",AS39="R",W39="R"),"R",VLOOKUP(CONCATENATE(W39,AS39,BD39,BL39),'Rag Coding'!A:B,2,FALSE))))</f>
        <v/>
      </c>
      <c r="BP39" s="37">
        <f>'Dashboard Page'!N33</f>
        <v>0</v>
      </c>
      <c r="BQ39" s="39" t="str">
        <f ca="1">IF(M39="","",IF(V39&lt;&gt;"","Completed ",IF(AND(U39&lt;&gt;"",P39&gt;TODAY()),"Forecast Completion on "&amp;DAY(P39)&amp;"-"&amp;MONTH(P39)&amp;"-"&amp;YEAR(P39)&amp;CHAR(10)&amp;IF(P39-O39&gt;0,(P39-O39)&amp;" day(s) late",(IF(P39-O39=0,"on time",(O39-P39)&amp;" day(s) early"))),IF(P39&lt;TODAY(),"Forecast Completion in the past, please update","Baseline Complete"))))</f>
        <v/>
      </c>
      <c r="BR39" s="39" t="str">
        <f ca="1">IF(BQ39="Completed ",IF(Q39-O39&gt;0,Q39-O39&amp;" day(s) late",(IF(Q39-O39=0,"on time",O39-Q39&amp;" day(s) early"))),"")</f>
        <v/>
      </c>
      <c r="BS39" s="39" t="str">
        <f ca="1">IF(X39="","",IF(AG39&lt;&gt;"","Completed ",IF(AND(AF39&lt;&gt;"",AA39&gt;TODAY()),"Forecast Completion on "&amp;DAY(AA39)&amp;"-"&amp;MONTH(AA39)&amp;"-"&amp;YEAR(AA39)&amp;CHAR(10)&amp;IF(AA39-Z39&gt;0,(AA39-Z39)&amp;" day(s) late",(IF(AA39-Z39=0,"on time",(Z39-AA39)&amp;" day(s) early"))),IF(AA39&lt;TODAY(),"Forecast Completion in the past, please update","Baseline Complete"))))</f>
        <v/>
      </c>
      <c r="BT39" s="39" t="str">
        <f ca="1">IF(BS39="Completed ",IF(AB39-Z39&gt;0,AB39-Z39&amp;" day(s) late",(IF(AB39-Z39=0,"on time",Z39-AB39&amp;" day(s) early"))),"")</f>
        <v/>
      </c>
      <c r="BU39" s="39" t="str">
        <f ca="1">IF(AI39="","",IF(AR39&lt;&gt;"","Completed ",IF(AND(AQ39&lt;&gt;"",AL39&gt;TODAY()),"Forecast Completion on "&amp;DAY(AL39)&amp;"-"&amp;MONTH(AL39)&amp;"-"&amp;YEAR(AL39)&amp;CHAR(10)&amp;IF(AL39-AK39&gt;0,(AL39-AK39)&amp;" day(s) late",(IF(AL39-AK39=0,"on time",(AK39-AL39)&amp;" day(s) early"))),IF(AL39&lt;TODAY(),"Forecast Completion in the past, please update","Baseline Complete"))))</f>
        <v/>
      </c>
      <c r="BV39" s="39" t="str">
        <f ca="1">IF(BU39="Completed ",IF(AM39-AK39&gt;0,AM39-AK39&amp;" day(s) late",(IF(AM39-AK39=0,"on time",AK39-AM39&amp;" day(s) early"))),"")</f>
        <v/>
      </c>
      <c r="BW39" s="39" t="str">
        <f ca="1">IF(AT39="","",IF(BC39&lt;&gt;"","Completed ",IF(AND(BB39&lt;&gt;"",AW39&gt;TODAY()),"Forecast Completion on "&amp;DAY(AW39)&amp;"-"&amp;MONTH(AW39)&amp;"-"&amp;YEAR(AW39)&amp;CHAR(10)&amp;IF(AW39-AV39&gt;0,(AW39-AV39)&amp;" day(s) late",(IF(AW39-AV39=0,"on time",(AV39-AW39)&amp;" day(s) early"))),IF(AW39&lt;TODAY(),"Forecast Completion in the past, please update","Baseline Complete"))))</f>
        <v/>
      </c>
      <c r="BX39" s="39" t="str">
        <f ca="1">IF(BW39="Completed ",IF(AX39-AV39&gt;0,AX39-AV39&amp;" day(s) late",(IF(AX39-AV39=0,"on time",AV39-AX39&amp;" day(s) early"))),"")</f>
        <v/>
      </c>
      <c r="BY39" s="39" t="str">
        <f t="shared" ca="1" si="41"/>
        <v/>
      </c>
      <c r="BZ39" s="39" t="str">
        <f>IF(COUNTA(AT39:AX39),"Stage Gate 5",IF(COUNTA(AI39:AM39),"Stage Gate 4", IF(COUNTA(X39:AB39),"Stage Gate 3",  IF(COUNTA(M39:Q39),"Stage Gate 2", "Stage Gate 1"))))</f>
        <v>Stage Gate 1</v>
      </c>
    </row>
    <row r="40" spans="1:78" x14ac:dyDescent="0.2">
      <c r="A40" s="325"/>
      <c r="B40" s="321"/>
      <c r="C40" s="321"/>
      <c r="D40" s="320"/>
      <c r="E40" s="320"/>
      <c r="F40" s="320"/>
      <c r="G40" s="266"/>
      <c r="H40" s="269"/>
      <c r="I40" s="348" t="str">
        <f t="shared" si="52"/>
        <v/>
      </c>
      <c r="J40" s="349"/>
      <c r="K40" s="346" t="str">
        <f t="shared" si="43"/>
        <v/>
      </c>
      <c r="L40" s="330" t="str">
        <f t="shared" ca="1" si="44"/>
        <v/>
      </c>
      <c r="M40" s="345"/>
      <c r="N40" s="343"/>
      <c r="O40" s="328"/>
      <c r="P40" s="344"/>
      <c r="Q40" s="343"/>
      <c r="R40" s="322"/>
      <c r="S40" s="322"/>
      <c r="T40" s="329" t="str">
        <f t="shared" si="32"/>
        <v/>
      </c>
      <c r="U40" s="329" t="str">
        <f t="shared" si="33"/>
        <v/>
      </c>
      <c r="V40" s="329" t="str">
        <f t="shared" si="34"/>
        <v/>
      </c>
      <c r="W40" s="330" t="str">
        <f t="shared" si="42"/>
        <v/>
      </c>
      <c r="X40" s="327"/>
      <c r="Y40" s="343"/>
      <c r="Z40" s="328"/>
      <c r="AA40" s="343"/>
      <c r="AB40" s="343"/>
      <c r="AC40" s="328"/>
      <c r="AD40" s="328"/>
      <c r="AE40" s="329" t="str">
        <f t="shared" si="35"/>
        <v/>
      </c>
      <c r="AF40" s="329" t="str">
        <f t="shared" si="36"/>
        <v/>
      </c>
      <c r="AG40" s="329" t="str">
        <f t="shared" si="37"/>
        <v/>
      </c>
      <c r="AH40" s="330" t="str">
        <f t="shared" si="38"/>
        <v/>
      </c>
      <c r="AI40" s="327"/>
      <c r="AJ40" s="343"/>
      <c r="AK40" s="328"/>
      <c r="AL40" s="343"/>
      <c r="AM40" s="343"/>
      <c r="AN40" s="328"/>
      <c r="AO40" s="328"/>
      <c r="AP40" s="329" t="str">
        <f t="shared" si="45"/>
        <v/>
      </c>
      <c r="AQ40" s="329" t="str">
        <f t="shared" si="46"/>
        <v/>
      </c>
      <c r="AR40" s="329" t="str">
        <f t="shared" si="47"/>
        <v/>
      </c>
      <c r="AS40" s="330" t="str">
        <f t="shared" si="48"/>
        <v/>
      </c>
      <c r="AT40" s="331"/>
      <c r="AU40" s="344"/>
      <c r="AV40" s="332"/>
      <c r="AW40" s="344"/>
      <c r="AX40" s="344"/>
      <c r="AY40" s="326" t="str">
        <f t="shared" si="39"/>
        <v/>
      </c>
      <c r="AZ40" s="326"/>
      <c r="BA40" s="333" t="str">
        <f>IFERROR(IF(1-(AU40-AT40)/(AV40-AT40)&gt;0.9,"G",IF(1-(AU40-AT40)/(AV40-AT40)&gt;0.85,"A","R")),"")</f>
        <v/>
      </c>
      <c r="BB40" s="333" t="str">
        <f>IF(AW40="","",IF((AV40-AT40)/(AW40-AT40)&gt;0.9,"G",(IF((AV40-AT40)/(AW40-AT40)&gt;0.85,"A","R"))))</f>
        <v/>
      </c>
      <c r="BC40" s="333" t="str">
        <f>IF(AX40="","",IF((AV40-AT40)/(AX40-AT40)&gt;0.9,"G",(IF((AV40-AT40)/(AX40-AT40)&gt;0.85,"A","R"))))</f>
        <v/>
      </c>
      <c r="BD40" s="334" t="str">
        <f t="shared" si="49"/>
        <v/>
      </c>
      <c r="BE40" s="335"/>
      <c r="BF40" s="336"/>
      <c r="BG40" s="337"/>
      <c r="BH40" s="338"/>
      <c r="BI40" s="336"/>
      <c r="BJ40" s="339" t="e">
        <f t="shared" si="50"/>
        <v>#DIV/0!</v>
      </c>
      <c r="BK40" s="339" t="e">
        <f t="shared" si="51"/>
        <v>#DIV/0!</v>
      </c>
      <c r="BL40" s="340" t="str">
        <f t="shared" si="40"/>
        <v/>
      </c>
      <c r="BM40" s="318"/>
      <c r="BN40" s="319"/>
      <c r="BO40" s="341" t="str">
        <f>IF(AND(BL40="",BD40="",AS40="",W40=""),"",IF(AND(BL40="G",BD40="G",AS40="G",W40="G"),"G",IF(OR(BL40="R",BD40="R",AS40="R",W40="R"),"R",VLOOKUP(CONCATENATE(W40,AS40,BD40,BL40),'Rag Coding'!A:B,2,FALSE))))</f>
        <v/>
      </c>
      <c r="BP40" s="323">
        <f>'Dashboard Page'!N34</f>
        <v>0</v>
      </c>
      <c r="BQ40" s="324" t="str">
        <f ca="1">IF(M40="","",IF(V40&lt;&gt;"","Completed ",IF(AND(U40&lt;&gt;"",P40&gt;TODAY()),"Forecast Completion on "&amp;DAY(P40)&amp;"-"&amp;MONTH(P40)&amp;"-"&amp;YEAR(P40)&amp;CHAR(10)&amp;IF(P40-O40&gt;0,(P40-O40)&amp;" day(s) late",(IF(P40-O40=0,"on time",(O40-P40)&amp;" day(s) early"))),IF(P40&lt;TODAY(),"Forecast Completion in the past, please update","Baseline Complete"))))</f>
        <v/>
      </c>
      <c r="BR40" s="324" t="str">
        <f ca="1">IF(BQ40="Completed ",IF(Q40-O40&gt;0,Q40-O40&amp;" day(s) late",(IF(Q40-O40=0,"on time",O40-Q40&amp;" day(s) early"))),"")</f>
        <v/>
      </c>
      <c r="BS40" s="324" t="str">
        <f ca="1">IF(X40="","",IF(AG40&lt;&gt;"","Completed ",IF(AND(AF40&lt;&gt;"",AA40&gt;TODAY()),"Forecast Completion on "&amp;DAY(AA40)&amp;"-"&amp;MONTH(AA40)&amp;"-"&amp;YEAR(AA40)&amp;CHAR(10)&amp;IF(AA40-Z40&gt;0,(AA40-Z40)&amp;" day(s) late",(IF(AA40-Z40=0,"on time",(Z40-AA40)&amp;" day(s) early"))),IF(AA40&lt;TODAY(),"Forecast Completion in the past, please update","Baseline Complete"))))</f>
        <v/>
      </c>
      <c r="BT40" s="324" t="str">
        <f ca="1">IF(BS40="Completed ",IF(AB40-Z40&gt;0,AB40-Z40&amp;" day(s) late",(IF(AB40-Z40=0,"on time",Z40-AB40&amp;" day(s) early"))),"")</f>
        <v/>
      </c>
      <c r="BU40" s="324" t="str">
        <f ca="1">IF(AI40="","",IF(AR40&lt;&gt;"","Completed ",IF(AND(AQ40&lt;&gt;"",AL40&gt;TODAY()),"Forecast Completion on "&amp;DAY(AL40)&amp;"-"&amp;MONTH(AL40)&amp;"-"&amp;YEAR(AL40)&amp;CHAR(10)&amp;IF(AL40-AK40&gt;0,(AL40-AK40)&amp;" day(s) late",(IF(AL40-AK40=0,"on time",(AK40-AL40)&amp;" day(s) early"))),IF(AL40&lt;TODAY(),"Forecast Completion in the past, please update","Baseline Complete"))))</f>
        <v/>
      </c>
      <c r="BV40" s="324" t="str">
        <f ca="1">IF(BU40="Completed ",IF(AM40-AK40&gt;0,AM40-AK40&amp;" day(s) late",(IF(AM40-AK40=0,"on time",AK40-AM40&amp;" day(s) early"))),"")</f>
        <v/>
      </c>
      <c r="BW40" s="324" t="str">
        <f ca="1">IF(AT40="","",IF(BC40&lt;&gt;"","Completed ",IF(AND(BB40&lt;&gt;"",AW40&gt;TODAY()),"Forecast Completion on "&amp;DAY(AW40)&amp;"-"&amp;MONTH(AW40)&amp;"-"&amp;YEAR(AW40)&amp;CHAR(10)&amp;IF(AW40-AV40&gt;0,(AW40-AV40)&amp;" day(s) late",(IF(AW40-AV40=0,"on time",(AV40-AW40)&amp;" day(s) early"))),IF(AW40&lt;TODAY(),"Forecast Completion in the past, please update","Baseline Complete"))))</f>
        <v/>
      </c>
      <c r="BX40" s="324" t="str">
        <f ca="1">IF(BW40="Completed ",IF(AX40-AV40&gt;0,AX40-AV40&amp;" day(s) late",(IF(AX40-AV40=0,"on time",AV40-AX40&amp;" day(s) early"))),"")</f>
        <v/>
      </c>
      <c r="BY40" s="324" t="str">
        <f t="shared" ca="1" si="41"/>
        <v/>
      </c>
      <c r="BZ40" s="324" t="str">
        <f>IF(COUNTA(AT40:AX40),"Stage Gate 5",IF(COUNTA(AI40:AM40),"Stage Gate 4", IF(COUNTA(X40:AB40),"Stage Gate 3",  IF(COUNTA(M40:Q40),"Stage Gate 2", "Stage Gate 1"))))</f>
        <v>Stage Gate 1</v>
      </c>
    </row>
    <row r="44" spans="1:78" x14ac:dyDescent="0.2">
      <c r="BM44" s="211"/>
    </row>
  </sheetData>
  <sheetProtection autoFilter="0"/>
  <protectedRanges>
    <protectedRange sqref="BF3:BF40" name="Range18"/>
    <protectedRange sqref="AZ3:AZ40" name="Range4"/>
    <protectedRange sqref="AX14:AX40 AX3:AX12" name="Range3"/>
    <protectedRange sqref="AX13 AW3:AW40" name="Range2"/>
    <protectedRange sqref="AU3:AU40" name="Range1"/>
    <protectedRange sqref="AJ3:AJ40" name="Range5"/>
    <protectedRange sqref="AL3:AL40" name="Range6"/>
    <protectedRange sqref="AM3:AM40" name="Range7"/>
    <protectedRange sqref="AO3:AO40" name="Range8"/>
    <protectedRange sqref="Y3:Y40" name="Range9"/>
    <protectedRange sqref="AA3:AB40" name="Range10"/>
    <protectedRange sqref="AD3:AD40" name="Range11"/>
    <protectedRange sqref="N3:N40" name="Range12"/>
    <protectedRange sqref="AA3:AB40" name="Range13"/>
    <protectedRange sqref="AD3:AD40" name="Range14"/>
    <protectedRange sqref="N3:N40" name="Range15"/>
    <protectedRange sqref="P3:Q40" name="Range16"/>
    <protectedRange sqref="BM3:BN40" name="Range17"/>
  </protectedRanges>
  <autoFilter ref="A2:G40"/>
  <dataConsolidate/>
  <mergeCells count="10">
    <mergeCell ref="BQ1:BZ1"/>
    <mergeCell ref="BO1:BP1"/>
    <mergeCell ref="A1:G1"/>
    <mergeCell ref="AT1:BD1"/>
    <mergeCell ref="BE1:BL1"/>
    <mergeCell ref="BM1:BN1"/>
    <mergeCell ref="AI1:AS1"/>
    <mergeCell ref="M1:W1"/>
    <mergeCell ref="X1:AH1"/>
    <mergeCell ref="H1:J1"/>
  </mergeCells>
  <conditionalFormatting sqref="L35:L37 AE35:AH37 BA35:BD37 AP35:AS37 T35:T37 BO35:BO37 BL35:BL37 V35:W37 V39:W40 BL39:BL40 BO39:BO40 T39:T40 AP39:AS40 BA39:BD40 AE39:AH40 L39:L40 V6:W23 BL6:BL23 BO6:BO23 T6:T23 AP6:AS23 BA6:BD23 AE6:AH23 L6:L23">
    <cfRule type="containsText" dxfId="266" priority="345" operator="containsText" text="A">
      <formula>NOT(ISERROR(SEARCH("A",L6)))</formula>
    </cfRule>
    <cfRule type="containsText" dxfId="265" priority="346" operator="containsText" text="G">
      <formula>NOT(ISERROR(SEARCH("G",L6)))</formula>
    </cfRule>
    <cfRule type="containsText" dxfId="264" priority="347" operator="containsText" text="R">
      <formula>NOT(ISERROR(SEARCH("R",L6)))</formula>
    </cfRule>
  </conditionalFormatting>
  <conditionalFormatting sqref="U35:U37 U39:U40 U6:U23">
    <cfRule type="containsText" dxfId="263" priority="330" operator="containsText" text="A">
      <formula>NOT(ISERROR(SEARCH("A",U6)))</formula>
    </cfRule>
    <cfRule type="containsText" dxfId="262" priority="331" operator="containsText" text="G">
      <formula>NOT(ISERROR(SEARCH("G",U6)))</formula>
    </cfRule>
    <cfRule type="containsText" dxfId="261" priority="332" operator="containsText" text="R">
      <formula>NOT(ISERROR(SEARCH("R",U6)))</formula>
    </cfRule>
  </conditionalFormatting>
  <conditionalFormatting sqref="L35:L37 L39:L40 W6:W17 L6:L23">
    <cfRule type="cellIs" dxfId="260" priority="263" operator="equal">
      <formula>"B"</formula>
    </cfRule>
  </conditionalFormatting>
  <conditionalFormatting sqref="L34 AE34:AH34 BA34:BD34 AP34:AS34 T34 BO34 BL34 V34:W34">
    <cfRule type="containsText" dxfId="259" priority="236" operator="containsText" text="A">
      <formula>NOT(ISERROR(SEARCH("A",L34)))</formula>
    </cfRule>
    <cfRule type="containsText" dxfId="258" priority="237" operator="containsText" text="G">
      <formula>NOT(ISERROR(SEARCH("G",L34)))</formula>
    </cfRule>
    <cfRule type="containsText" dxfId="257" priority="238" operator="containsText" text="R">
      <formula>NOT(ISERROR(SEARCH("R",L34)))</formula>
    </cfRule>
  </conditionalFormatting>
  <conditionalFormatting sqref="U34">
    <cfRule type="containsText" dxfId="256" priority="233" operator="containsText" text="A">
      <formula>NOT(ISERROR(SEARCH("A",U34)))</formula>
    </cfRule>
    <cfRule type="containsText" dxfId="255" priority="234" operator="containsText" text="G">
      <formula>NOT(ISERROR(SEARCH("G",U34)))</formula>
    </cfRule>
    <cfRule type="containsText" dxfId="254" priority="235" operator="containsText" text="R">
      <formula>NOT(ISERROR(SEARCH("R",U34)))</formula>
    </cfRule>
  </conditionalFormatting>
  <conditionalFormatting sqref="L34">
    <cfRule type="cellIs" dxfId="253" priority="232" operator="equal">
      <formula>"B"</formula>
    </cfRule>
  </conditionalFormatting>
  <conditionalFormatting sqref="V38:W38 BL38 BO38 T38 AP38:AS38 BA38:BD38 AE38:AH38 L38">
    <cfRule type="containsText" dxfId="252" priority="215" operator="containsText" text="A">
      <formula>NOT(ISERROR(SEARCH("A",L38)))</formula>
    </cfRule>
    <cfRule type="containsText" dxfId="251" priority="216" operator="containsText" text="G">
      <formula>NOT(ISERROR(SEARCH("G",L38)))</formula>
    </cfRule>
    <cfRule type="containsText" dxfId="250" priority="217" operator="containsText" text="R">
      <formula>NOT(ISERROR(SEARCH("R",L38)))</formula>
    </cfRule>
  </conditionalFormatting>
  <conditionalFormatting sqref="U38">
    <cfRule type="containsText" dxfId="249" priority="212" operator="containsText" text="A">
      <formula>NOT(ISERROR(SEARCH("A",U38)))</formula>
    </cfRule>
    <cfRule type="containsText" dxfId="248" priority="213" operator="containsText" text="G">
      <formula>NOT(ISERROR(SEARCH("G",U38)))</formula>
    </cfRule>
    <cfRule type="containsText" dxfId="247" priority="214" operator="containsText" text="R">
      <formula>NOT(ISERROR(SEARCH("R",U38)))</formula>
    </cfRule>
  </conditionalFormatting>
  <conditionalFormatting sqref="L38">
    <cfRule type="cellIs" dxfId="246" priority="211" operator="equal">
      <formula>"B"</formula>
    </cfRule>
  </conditionalFormatting>
  <conditionalFormatting sqref="V24:W24 BL24 BO24 T24 AP24:AS24 BA24:BD24 AE24:AH24 L24">
    <cfRule type="containsText" dxfId="245" priority="103" operator="containsText" text="A">
      <formula>NOT(ISERROR(SEARCH("A",L24)))</formula>
    </cfRule>
    <cfRule type="containsText" dxfId="244" priority="104" operator="containsText" text="G">
      <formula>NOT(ISERROR(SEARCH("G",L24)))</formula>
    </cfRule>
    <cfRule type="containsText" dxfId="243" priority="105" operator="containsText" text="R">
      <formula>NOT(ISERROR(SEARCH("R",L24)))</formula>
    </cfRule>
  </conditionalFormatting>
  <conditionalFormatting sqref="U24">
    <cfRule type="containsText" dxfId="242" priority="100" operator="containsText" text="A">
      <formula>NOT(ISERROR(SEARCH("A",U24)))</formula>
    </cfRule>
    <cfRule type="containsText" dxfId="241" priority="101" operator="containsText" text="G">
      <formula>NOT(ISERROR(SEARCH("G",U24)))</formula>
    </cfRule>
    <cfRule type="containsText" dxfId="240" priority="102" operator="containsText" text="R">
      <formula>NOT(ISERROR(SEARCH("R",U24)))</formula>
    </cfRule>
  </conditionalFormatting>
  <conditionalFormatting sqref="L24">
    <cfRule type="cellIs" dxfId="239" priority="99" operator="equal">
      <formula>"B"</formula>
    </cfRule>
  </conditionalFormatting>
  <conditionalFormatting sqref="V25:W25 BL25 BO25 T25 AP25:AS25 BA25:BD25 AE25:AH25 L25">
    <cfRule type="containsText" dxfId="238" priority="89" operator="containsText" text="A">
      <formula>NOT(ISERROR(SEARCH("A",L25)))</formula>
    </cfRule>
    <cfRule type="containsText" dxfId="237" priority="90" operator="containsText" text="G">
      <formula>NOT(ISERROR(SEARCH("G",L25)))</formula>
    </cfRule>
    <cfRule type="containsText" dxfId="236" priority="91" operator="containsText" text="R">
      <formula>NOT(ISERROR(SEARCH("R",L25)))</formula>
    </cfRule>
  </conditionalFormatting>
  <conditionalFormatting sqref="U25">
    <cfRule type="containsText" dxfId="235" priority="86" operator="containsText" text="A">
      <formula>NOT(ISERROR(SEARCH("A",U25)))</formula>
    </cfRule>
    <cfRule type="containsText" dxfId="234" priority="87" operator="containsText" text="G">
      <formula>NOT(ISERROR(SEARCH("G",U25)))</formula>
    </cfRule>
    <cfRule type="containsText" dxfId="233" priority="88" operator="containsText" text="R">
      <formula>NOT(ISERROR(SEARCH("R",U25)))</formula>
    </cfRule>
  </conditionalFormatting>
  <conditionalFormatting sqref="L25">
    <cfRule type="cellIs" dxfId="232" priority="85" operator="equal">
      <formula>"B"</formula>
    </cfRule>
  </conditionalFormatting>
  <conditionalFormatting sqref="V26:W26 BL26 BO26 T26 AP26:AS26 BA26:BD26 AE26:AH26 L26">
    <cfRule type="containsText" dxfId="231" priority="82" operator="containsText" text="A">
      <formula>NOT(ISERROR(SEARCH("A",L26)))</formula>
    </cfRule>
    <cfRule type="containsText" dxfId="230" priority="83" operator="containsText" text="G">
      <formula>NOT(ISERROR(SEARCH("G",L26)))</formula>
    </cfRule>
    <cfRule type="containsText" dxfId="229" priority="84" operator="containsText" text="R">
      <formula>NOT(ISERROR(SEARCH("R",L26)))</formula>
    </cfRule>
  </conditionalFormatting>
  <conditionalFormatting sqref="U26">
    <cfRule type="containsText" dxfId="228" priority="79" operator="containsText" text="A">
      <formula>NOT(ISERROR(SEARCH("A",U26)))</formula>
    </cfRule>
    <cfRule type="containsText" dxfId="227" priority="80" operator="containsText" text="G">
      <formula>NOT(ISERROR(SEARCH("G",U26)))</formula>
    </cfRule>
    <cfRule type="containsText" dxfId="226" priority="81" operator="containsText" text="R">
      <formula>NOT(ISERROR(SEARCH("R",U26)))</formula>
    </cfRule>
  </conditionalFormatting>
  <conditionalFormatting sqref="L26">
    <cfRule type="cellIs" dxfId="225" priority="78" operator="equal">
      <formula>"B"</formula>
    </cfRule>
  </conditionalFormatting>
  <conditionalFormatting sqref="V27:W27 BL27 BO27 T27 AP27:AS27 BA27:BD27 AE27:AH27 L27">
    <cfRule type="containsText" dxfId="224" priority="75" operator="containsText" text="A">
      <formula>NOT(ISERROR(SEARCH("A",L27)))</formula>
    </cfRule>
    <cfRule type="containsText" dxfId="223" priority="76" operator="containsText" text="G">
      <formula>NOT(ISERROR(SEARCH("G",L27)))</formula>
    </cfRule>
    <cfRule type="containsText" dxfId="222" priority="77" operator="containsText" text="R">
      <formula>NOT(ISERROR(SEARCH("R",L27)))</formula>
    </cfRule>
  </conditionalFormatting>
  <conditionalFormatting sqref="U27">
    <cfRule type="containsText" dxfId="221" priority="72" operator="containsText" text="A">
      <formula>NOT(ISERROR(SEARCH("A",U27)))</formula>
    </cfRule>
    <cfRule type="containsText" dxfId="220" priority="73" operator="containsText" text="G">
      <formula>NOT(ISERROR(SEARCH("G",U27)))</formula>
    </cfRule>
    <cfRule type="containsText" dxfId="219" priority="74" operator="containsText" text="R">
      <formula>NOT(ISERROR(SEARCH("R",U27)))</formula>
    </cfRule>
  </conditionalFormatting>
  <conditionalFormatting sqref="L27">
    <cfRule type="cellIs" dxfId="218" priority="71" operator="equal">
      <formula>"B"</formula>
    </cfRule>
  </conditionalFormatting>
  <conditionalFormatting sqref="V28:W28 BL28 BO28 T28 AP28:AS28 BA28:BD28 AE28:AH28 L28">
    <cfRule type="containsText" dxfId="217" priority="68" operator="containsText" text="A">
      <formula>NOT(ISERROR(SEARCH("A",L28)))</formula>
    </cfRule>
    <cfRule type="containsText" dxfId="216" priority="69" operator="containsText" text="G">
      <formula>NOT(ISERROR(SEARCH("G",L28)))</formula>
    </cfRule>
    <cfRule type="containsText" dxfId="215" priority="70" operator="containsText" text="R">
      <formula>NOT(ISERROR(SEARCH("R",L28)))</formula>
    </cfRule>
  </conditionalFormatting>
  <conditionalFormatting sqref="U28">
    <cfRule type="containsText" dxfId="214" priority="65" operator="containsText" text="A">
      <formula>NOT(ISERROR(SEARCH("A",U28)))</formula>
    </cfRule>
    <cfRule type="containsText" dxfId="213" priority="66" operator="containsText" text="G">
      <formula>NOT(ISERROR(SEARCH("G",U28)))</formula>
    </cfRule>
    <cfRule type="containsText" dxfId="212" priority="67" operator="containsText" text="R">
      <formula>NOT(ISERROR(SEARCH("R",U28)))</formula>
    </cfRule>
  </conditionalFormatting>
  <conditionalFormatting sqref="L28">
    <cfRule type="cellIs" dxfId="211" priority="64" operator="equal">
      <formula>"B"</formula>
    </cfRule>
  </conditionalFormatting>
  <conditionalFormatting sqref="V29:W29 BL29 BO29 T29 AP29:AS29 BA29:BD29 AE29:AH29 L29">
    <cfRule type="containsText" dxfId="210" priority="61" operator="containsText" text="A">
      <formula>NOT(ISERROR(SEARCH("A",L29)))</formula>
    </cfRule>
    <cfRule type="containsText" dxfId="209" priority="62" operator="containsText" text="G">
      <formula>NOT(ISERROR(SEARCH("G",L29)))</formula>
    </cfRule>
    <cfRule type="containsText" dxfId="208" priority="63" operator="containsText" text="R">
      <formula>NOT(ISERROR(SEARCH("R",L29)))</formula>
    </cfRule>
  </conditionalFormatting>
  <conditionalFormatting sqref="U29">
    <cfRule type="containsText" dxfId="207" priority="58" operator="containsText" text="A">
      <formula>NOT(ISERROR(SEARCH("A",U29)))</formula>
    </cfRule>
    <cfRule type="containsText" dxfId="206" priority="59" operator="containsText" text="G">
      <formula>NOT(ISERROR(SEARCH("G",U29)))</formula>
    </cfRule>
    <cfRule type="containsText" dxfId="205" priority="60" operator="containsText" text="R">
      <formula>NOT(ISERROR(SEARCH("R",U29)))</formula>
    </cfRule>
  </conditionalFormatting>
  <conditionalFormatting sqref="L29">
    <cfRule type="cellIs" dxfId="204" priority="57" operator="equal">
      <formula>"B"</formula>
    </cfRule>
  </conditionalFormatting>
  <conditionalFormatting sqref="V30:W30 BL30 BO30 T30 AP30:AS30 BA30:BD30 AE30:AH30 L30">
    <cfRule type="containsText" dxfId="203" priority="54" operator="containsText" text="A">
      <formula>NOT(ISERROR(SEARCH("A",L30)))</formula>
    </cfRule>
    <cfRule type="containsText" dxfId="202" priority="55" operator="containsText" text="G">
      <formula>NOT(ISERROR(SEARCH("G",L30)))</formula>
    </cfRule>
    <cfRule type="containsText" dxfId="201" priority="56" operator="containsText" text="R">
      <formula>NOT(ISERROR(SEARCH("R",L30)))</formula>
    </cfRule>
  </conditionalFormatting>
  <conditionalFormatting sqref="U30">
    <cfRule type="containsText" dxfId="200" priority="51" operator="containsText" text="A">
      <formula>NOT(ISERROR(SEARCH("A",U30)))</formula>
    </cfRule>
    <cfRule type="containsText" dxfId="199" priority="52" operator="containsText" text="G">
      <formula>NOT(ISERROR(SEARCH("G",U30)))</formula>
    </cfRule>
    <cfRule type="containsText" dxfId="198" priority="53" operator="containsText" text="R">
      <formula>NOT(ISERROR(SEARCH("R",U30)))</formula>
    </cfRule>
  </conditionalFormatting>
  <conditionalFormatting sqref="L30">
    <cfRule type="cellIs" dxfId="197" priority="50" operator="equal">
      <formula>"B"</formula>
    </cfRule>
  </conditionalFormatting>
  <conditionalFormatting sqref="V31:W31 BL31 BO31 T31 AP31:AS31 BA31:BD31 AE31:AH31 L31">
    <cfRule type="containsText" dxfId="196" priority="47" operator="containsText" text="A">
      <formula>NOT(ISERROR(SEARCH("A",L31)))</formula>
    </cfRule>
    <cfRule type="containsText" dxfId="195" priority="48" operator="containsText" text="G">
      <formula>NOT(ISERROR(SEARCH("G",L31)))</formula>
    </cfRule>
    <cfRule type="containsText" dxfId="194" priority="49" operator="containsText" text="R">
      <formula>NOT(ISERROR(SEARCH("R",L31)))</formula>
    </cfRule>
  </conditionalFormatting>
  <conditionalFormatting sqref="U31">
    <cfRule type="containsText" dxfId="193" priority="44" operator="containsText" text="A">
      <formula>NOT(ISERROR(SEARCH("A",U31)))</formula>
    </cfRule>
    <cfRule type="containsText" dxfId="192" priority="45" operator="containsText" text="G">
      <formula>NOT(ISERROR(SEARCH("G",U31)))</formula>
    </cfRule>
    <cfRule type="containsText" dxfId="191" priority="46" operator="containsText" text="R">
      <formula>NOT(ISERROR(SEARCH("R",U31)))</formula>
    </cfRule>
  </conditionalFormatting>
  <conditionalFormatting sqref="L31">
    <cfRule type="cellIs" dxfId="190" priority="43" operator="equal">
      <formula>"B"</formula>
    </cfRule>
  </conditionalFormatting>
  <conditionalFormatting sqref="V32:W32 BL32 BO32 T32 AP32:AS32 BA32:BD32 AE32:AH32 L32">
    <cfRule type="containsText" dxfId="189" priority="40" operator="containsText" text="A">
      <formula>NOT(ISERROR(SEARCH("A",L32)))</formula>
    </cfRule>
    <cfRule type="containsText" dxfId="188" priority="41" operator="containsText" text="G">
      <formula>NOT(ISERROR(SEARCH("G",L32)))</formula>
    </cfRule>
    <cfRule type="containsText" dxfId="187" priority="42" operator="containsText" text="R">
      <formula>NOT(ISERROR(SEARCH("R",L32)))</formula>
    </cfRule>
  </conditionalFormatting>
  <conditionalFormatting sqref="U32">
    <cfRule type="containsText" dxfId="186" priority="37" operator="containsText" text="A">
      <formula>NOT(ISERROR(SEARCH("A",U32)))</formula>
    </cfRule>
    <cfRule type="containsText" dxfId="185" priority="38" operator="containsText" text="G">
      <formula>NOT(ISERROR(SEARCH("G",U32)))</formula>
    </cfRule>
    <cfRule type="containsText" dxfId="184" priority="39" operator="containsText" text="R">
      <formula>NOT(ISERROR(SEARCH("R",U32)))</formula>
    </cfRule>
  </conditionalFormatting>
  <conditionalFormatting sqref="L32">
    <cfRule type="cellIs" dxfId="183" priority="36" operator="equal">
      <formula>"B"</formula>
    </cfRule>
  </conditionalFormatting>
  <conditionalFormatting sqref="V33:W33 BL33 BO33 T33 AP33:AS33 BA33:BD33 AE33:AH33 L33">
    <cfRule type="containsText" dxfId="182" priority="33" operator="containsText" text="A">
      <formula>NOT(ISERROR(SEARCH("A",L33)))</formula>
    </cfRule>
    <cfRule type="containsText" dxfId="181" priority="34" operator="containsText" text="G">
      <formula>NOT(ISERROR(SEARCH("G",L33)))</formula>
    </cfRule>
    <cfRule type="containsText" dxfId="180" priority="35" operator="containsText" text="R">
      <formula>NOT(ISERROR(SEARCH("R",L33)))</formula>
    </cfRule>
  </conditionalFormatting>
  <conditionalFormatting sqref="U33">
    <cfRule type="containsText" dxfId="179" priority="30" operator="containsText" text="A">
      <formula>NOT(ISERROR(SEARCH("A",U33)))</formula>
    </cfRule>
    <cfRule type="containsText" dxfId="178" priority="31" operator="containsText" text="G">
      <formula>NOT(ISERROR(SEARCH("G",U33)))</formula>
    </cfRule>
    <cfRule type="containsText" dxfId="177" priority="32" operator="containsText" text="R">
      <formula>NOT(ISERROR(SEARCH("R",U33)))</formula>
    </cfRule>
  </conditionalFormatting>
  <conditionalFormatting sqref="L33">
    <cfRule type="cellIs" dxfId="176" priority="29" operator="equal">
      <formula>"B"</formula>
    </cfRule>
  </conditionalFormatting>
  <conditionalFormatting sqref="V4:W4 BL4 BO4 T4 AP4:AS4 BA4:BD4 AE4:AH4 L4">
    <cfRule type="containsText" dxfId="175" priority="19" operator="containsText" text="A">
      <formula>NOT(ISERROR(SEARCH("A",L4)))</formula>
    </cfRule>
    <cfRule type="containsText" dxfId="174" priority="20" operator="containsText" text="G">
      <formula>NOT(ISERROR(SEARCH("G",L4)))</formula>
    </cfRule>
    <cfRule type="containsText" dxfId="173" priority="21" operator="containsText" text="R">
      <formula>NOT(ISERROR(SEARCH("R",L4)))</formula>
    </cfRule>
  </conditionalFormatting>
  <conditionalFormatting sqref="U4">
    <cfRule type="containsText" dxfId="172" priority="16" operator="containsText" text="A">
      <formula>NOT(ISERROR(SEARCH("A",U4)))</formula>
    </cfRule>
    <cfRule type="containsText" dxfId="171" priority="17" operator="containsText" text="G">
      <formula>NOT(ISERROR(SEARCH("G",U4)))</formula>
    </cfRule>
    <cfRule type="containsText" dxfId="170" priority="18" operator="containsText" text="R">
      <formula>NOT(ISERROR(SEARCH("R",U4)))</formula>
    </cfRule>
  </conditionalFormatting>
  <conditionalFormatting sqref="L4">
    <cfRule type="cellIs" dxfId="169" priority="15" operator="equal">
      <formula>"B"</formula>
    </cfRule>
  </conditionalFormatting>
  <conditionalFormatting sqref="V5:W5 BL5 BO5 T5 AP5:AS5 BA5:BD5 AE5:AH5 L5">
    <cfRule type="containsText" dxfId="168" priority="12" operator="containsText" text="A">
      <formula>NOT(ISERROR(SEARCH("A",L5)))</formula>
    </cfRule>
    <cfRule type="containsText" dxfId="167" priority="13" operator="containsText" text="G">
      <formula>NOT(ISERROR(SEARCH("G",L5)))</formula>
    </cfRule>
    <cfRule type="containsText" dxfId="166" priority="14" operator="containsText" text="R">
      <formula>NOT(ISERROR(SEARCH("R",L5)))</formula>
    </cfRule>
  </conditionalFormatting>
  <conditionalFormatting sqref="U5">
    <cfRule type="containsText" dxfId="165" priority="9" operator="containsText" text="A">
      <formula>NOT(ISERROR(SEARCH("A",U5)))</formula>
    </cfRule>
    <cfRule type="containsText" dxfId="164" priority="10" operator="containsText" text="G">
      <formula>NOT(ISERROR(SEARCH("G",U5)))</formula>
    </cfRule>
    <cfRule type="containsText" dxfId="163" priority="11" operator="containsText" text="R">
      <formula>NOT(ISERROR(SEARCH("R",U5)))</formula>
    </cfRule>
  </conditionalFormatting>
  <conditionalFormatting sqref="L5">
    <cfRule type="cellIs" dxfId="162" priority="8" operator="equal">
      <formula>"B"</formula>
    </cfRule>
  </conditionalFormatting>
  <conditionalFormatting sqref="V3:W3 BL3 BO3 T3 AP3:AS3 BA3:BD3 AE3:AH3 L3">
    <cfRule type="containsText" dxfId="161" priority="5" operator="containsText" text="A">
      <formula>NOT(ISERROR(SEARCH("A",L3)))</formula>
    </cfRule>
    <cfRule type="containsText" dxfId="160" priority="6" operator="containsText" text="G">
      <formula>NOT(ISERROR(SEARCH("G",L3)))</formula>
    </cfRule>
    <cfRule type="containsText" dxfId="159" priority="7" operator="containsText" text="R">
      <formula>NOT(ISERROR(SEARCH("R",L3)))</formula>
    </cfRule>
  </conditionalFormatting>
  <conditionalFormatting sqref="U3">
    <cfRule type="containsText" dxfId="158" priority="2" operator="containsText" text="A">
      <formula>NOT(ISERROR(SEARCH("A",U3)))</formula>
    </cfRule>
    <cfRule type="containsText" dxfId="157" priority="3" operator="containsText" text="G">
      <formula>NOT(ISERROR(SEARCH("G",U3)))</formula>
    </cfRule>
    <cfRule type="containsText" dxfId="156" priority="4" operator="containsText" text="R">
      <formula>NOT(ISERROR(SEARCH("R",U3)))</formula>
    </cfRule>
  </conditionalFormatting>
  <conditionalFormatting sqref="L3">
    <cfRule type="cellIs" dxfId="155" priority="1" operator="equal">
      <formula>"B"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'Project Managers &amp; FacOps Reps'!$A$1:$A$20</xm:f>
          </x14:formula1>
          <xm:sqref>E3:E40</xm:sqref>
        </x14:dataValidation>
        <x14:dataValidation type="list" allowBlank="1" showInputMessage="1" showErrorMessage="1">
          <x14:formula1>
            <xm:f>'Project Managers &amp; FacOps Reps'!$C$1:$C$5</xm:f>
          </x14:formula1>
          <xm:sqref>F3:F40</xm:sqref>
        </x14:dataValidation>
        <x14:dataValidation type="list" allowBlank="1" showInputMessage="1" showErrorMessage="1">
          <x14:formula1>
            <xm:f>#REF!</xm:f>
          </x14:formula1>
          <xm:sqref>G3:G40</xm:sqref>
        </x14:dataValidation>
        <x14:dataValidation type="list" allowBlank="1" showInputMessage="1" showErrorMessage="1">
          <x14:formula1>
            <xm:f>'Head Office Buildings'!$A$1:$A$96</xm:f>
          </x14:formula1>
          <xm:sqref>D3:D40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B1:S63"/>
  <sheetViews>
    <sheetView showGridLines="0" topLeftCell="B1" zoomScaleNormal="100" workbookViewId="0">
      <selection activeCell="M12" sqref="M12"/>
    </sheetView>
  </sheetViews>
  <sheetFormatPr defaultRowHeight="15" x14ac:dyDescent="0.2"/>
  <cols>
    <col min="1" max="1" width="0" hidden="1" customWidth="1"/>
    <col min="2" max="2" width="15.21875" bestFit="1" customWidth="1"/>
    <col min="3" max="3" width="10.77734375" style="26" customWidth="1"/>
    <col min="4" max="11" width="10.77734375" customWidth="1"/>
    <col min="12" max="12" width="10.77734375" style="108" hidden="1" customWidth="1"/>
    <col min="13" max="13" width="10.77734375" customWidth="1"/>
    <col min="14" max="15" width="10.77734375" style="26" customWidth="1"/>
    <col min="16" max="16" width="10.77734375" customWidth="1"/>
    <col min="17" max="17" width="10.77734375" style="108" hidden="1" customWidth="1"/>
    <col min="18" max="18" width="10.77734375" style="26" customWidth="1"/>
    <col min="19" max="19" width="10.77734375" style="244" customWidth="1"/>
  </cols>
  <sheetData>
    <row r="1" spans="2:19" ht="16.5" thickBot="1" x14ac:dyDescent="0.25">
      <c r="B1" s="391" t="s">
        <v>259</v>
      </c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  <c r="Q1" s="392"/>
      <c r="R1" s="392"/>
      <c r="S1" s="392"/>
    </row>
    <row r="2" spans="2:19" ht="45.75" thickBot="1" x14ac:dyDescent="0.25">
      <c r="B2" s="198" t="s">
        <v>140</v>
      </c>
      <c r="C2" s="173" t="s">
        <v>9</v>
      </c>
      <c r="D2" s="173" t="s">
        <v>10</v>
      </c>
      <c r="E2" s="173" t="s">
        <v>18</v>
      </c>
      <c r="F2" s="173" t="s">
        <v>20</v>
      </c>
      <c r="G2" s="173" t="s">
        <v>209</v>
      </c>
      <c r="H2" s="173" t="s">
        <v>210</v>
      </c>
      <c r="I2" s="173" t="s">
        <v>211</v>
      </c>
      <c r="J2" s="173" t="s">
        <v>212</v>
      </c>
      <c r="K2" s="173" t="s">
        <v>213</v>
      </c>
      <c r="L2" s="174" t="s">
        <v>214</v>
      </c>
      <c r="M2" s="174" t="s">
        <v>215</v>
      </c>
      <c r="N2" s="173" t="s">
        <v>216</v>
      </c>
      <c r="O2" s="173" t="s">
        <v>217</v>
      </c>
      <c r="P2" s="174" t="s">
        <v>218</v>
      </c>
      <c r="Q2" s="174" t="s">
        <v>219</v>
      </c>
      <c r="R2" s="174" t="s">
        <v>220</v>
      </c>
      <c r="S2" s="242" t="s">
        <v>326</v>
      </c>
    </row>
    <row r="3" spans="2:19" s="127" customFormat="1" ht="15.75" thickBot="1" x14ac:dyDescent="0.2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6"/>
      <c r="O3" s="176"/>
      <c r="P3" s="177"/>
      <c r="Q3" s="177"/>
      <c r="R3" s="177"/>
      <c r="S3" s="243"/>
    </row>
    <row r="4" spans="2:19" ht="15.75" thickBot="1" x14ac:dyDescent="0.25">
      <c r="B4" s="175"/>
      <c r="C4" s="123"/>
      <c r="D4" s="123"/>
      <c r="E4" s="123"/>
      <c r="F4" s="178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416"/>
      <c r="S4" s="417"/>
    </row>
    <row r="5" spans="2:19" ht="24" customHeight="1" thickBot="1" x14ac:dyDescent="0.25">
      <c r="B5" s="103"/>
      <c r="C5" s="212"/>
      <c r="D5" s="212"/>
      <c r="E5" s="212"/>
      <c r="F5" s="212"/>
      <c r="G5" s="185"/>
      <c r="H5" s="186"/>
      <c r="I5" s="186"/>
      <c r="J5" s="186"/>
      <c r="K5" s="186"/>
      <c r="L5" s="186"/>
      <c r="M5" s="186"/>
      <c r="N5" s="187"/>
      <c r="O5" s="187"/>
      <c r="P5" s="186"/>
      <c r="Q5" s="112"/>
      <c r="R5" s="188"/>
      <c r="S5" s="418"/>
    </row>
    <row r="6" spans="2:19" ht="15.75" thickBot="1" x14ac:dyDescent="0.25">
      <c r="B6" s="197"/>
      <c r="C6" s="196"/>
      <c r="D6" s="123"/>
      <c r="E6" s="123"/>
      <c r="F6" s="178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419"/>
    </row>
    <row r="7" spans="2:19" ht="24" customHeight="1" thickBot="1" x14ac:dyDescent="0.25">
      <c r="B7" s="104"/>
      <c r="C7" s="212"/>
      <c r="D7" s="212"/>
      <c r="E7" s="212"/>
      <c r="F7" s="212"/>
      <c r="G7" s="183"/>
      <c r="H7" s="113"/>
      <c r="I7" s="113"/>
      <c r="J7" s="113"/>
      <c r="K7" s="113"/>
      <c r="L7" s="114"/>
      <c r="M7" s="113"/>
      <c r="N7" s="113"/>
      <c r="O7" s="113"/>
      <c r="P7" s="113"/>
      <c r="Q7" s="115"/>
      <c r="R7" s="116"/>
      <c r="S7" s="420"/>
    </row>
    <row r="8" spans="2:19" ht="15.75" thickBot="1" x14ac:dyDescent="0.25">
      <c r="B8" s="124"/>
      <c r="C8" s="105"/>
      <c r="D8" s="105"/>
      <c r="E8" s="105"/>
      <c r="F8" s="179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419"/>
    </row>
    <row r="9" spans="2:19" ht="24" customHeight="1" thickBot="1" x14ac:dyDescent="0.25">
      <c r="B9" s="103"/>
      <c r="C9" s="212"/>
      <c r="D9" s="212"/>
      <c r="E9" s="212"/>
      <c r="F9" s="212"/>
      <c r="G9" s="183"/>
      <c r="H9" s="113"/>
      <c r="I9" s="113"/>
      <c r="J9" s="113"/>
      <c r="K9" s="113"/>
      <c r="L9" s="117"/>
      <c r="M9" s="113"/>
      <c r="N9" s="118"/>
      <c r="O9" s="118"/>
      <c r="P9" s="113"/>
      <c r="Q9" s="115"/>
      <c r="R9" s="116"/>
      <c r="S9" s="420"/>
    </row>
    <row r="10" spans="2:19" ht="15.75" thickBot="1" x14ac:dyDescent="0.25">
      <c r="B10" s="125"/>
      <c r="C10" s="106"/>
      <c r="D10" s="106"/>
      <c r="E10" s="106"/>
      <c r="F10" s="180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419"/>
    </row>
    <row r="11" spans="2:19" ht="24" customHeight="1" thickBot="1" x14ac:dyDescent="0.25">
      <c r="B11" s="103"/>
      <c r="C11" s="212"/>
      <c r="D11" s="212"/>
      <c r="E11" s="212"/>
      <c r="F11" s="212"/>
      <c r="G11" s="183"/>
      <c r="H11" s="113"/>
      <c r="I11" s="113"/>
      <c r="J11" s="113"/>
      <c r="K11" s="113"/>
      <c r="L11" s="117"/>
      <c r="M11" s="113"/>
      <c r="N11" s="118"/>
      <c r="O11" s="118"/>
      <c r="P11" s="113"/>
      <c r="Q11" s="115"/>
      <c r="R11" s="116"/>
      <c r="S11" s="420"/>
    </row>
    <row r="12" spans="2:19" ht="15.75" thickBot="1" x14ac:dyDescent="0.25">
      <c r="B12" s="124"/>
      <c r="C12" s="106"/>
      <c r="D12" s="106"/>
      <c r="E12" s="106"/>
      <c r="F12" s="181"/>
      <c r="G12" s="182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419"/>
    </row>
    <row r="13" spans="2:19" ht="24" customHeight="1" thickBot="1" x14ac:dyDescent="0.25">
      <c r="B13" s="103"/>
      <c r="C13" s="212"/>
      <c r="D13" s="212"/>
      <c r="E13" s="212"/>
      <c r="F13" s="212"/>
      <c r="G13" s="184"/>
      <c r="H13" s="171"/>
      <c r="I13" s="171"/>
      <c r="J13" s="171"/>
      <c r="K13" s="171"/>
      <c r="L13" s="109"/>
      <c r="M13" s="171"/>
      <c r="N13" s="172"/>
      <c r="O13" s="172"/>
      <c r="P13" s="171"/>
      <c r="Q13" s="109"/>
      <c r="R13" s="172"/>
      <c r="S13" s="421"/>
    </row>
    <row r="14" spans="2:19" ht="15.75" thickBot="1" x14ac:dyDescent="0.25">
      <c r="B14" s="124"/>
      <c r="C14" s="106"/>
      <c r="D14" s="106"/>
      <c r="E14" s="106"/>
      <c r="F14" s="181"/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  <c r="R14" s="182"/>
      <c r="S14" s="419"/>
    </row>
    <row r="15" spans="2:19" ht="24" customHeight="1" thickBot="1" x14ac:dyDescent="0.25">
      <c r="B15" s="103"/>
      <c r="C15" s="212"/>
      <c r="D15" s="212"/>
      <c r="E15" s="212"/>
      <c r="F15" s="212"/>
      <c r="G15" s="185"/>
      <c r="H15" s="186"/>
      <c r="I15" s="186"/>
      <c r="J15" s="186"/>
      <c r="K15" s="186"/>
      <c r="L15" s="186"/>
      <c r="M15" s="186"/>
      <c r="N15" s="187"/>
      <c r="O15" s="187"/>
      <c r="P15" s="186"/>
      <c r="Q15" s="112"/>
      <c r="R15" s="188"/>
      <c r="S15" s="418"/>
    </row>
    <row r="16" spans="2:19" ht="15.75" thickBot="1" x14ac:dyDescent="0.25">
      <c r="B16" s="124"/>
      <c r="C16" s="106"/>
      <c r="D16" s="106"/>
      <c r="E16" s="106"/>
      <c r="F16" s="181"/>
      <c r="G16" s="182"/>
      <c r="H16" s="182"/>
      <c r="I16" s="182"/>
      <c r="J16" s="182"/>
      <c r="K16" s="182"/>
      <c r="L16" s="182"/>
      <c r="M16" s="182"/>
      <c r="N16" s="182"/>
      <c r="O16" s="182"/>
      <c r="P16" s="182"/>
      <c r="Q16" s="182"/>
      <c r="R16" s="182"/>
      <c r="S16" s="419"/>
    </row>
    <row r="17" spans="2:19" ht="24" customHeight="1" thickBot="1" x14ac:dyDescent="0.25">
      <c r="B17" s="103"/>
      <c r="C17" s="212"/>
      <c r="D17" s="212"/>
      <c r="E17" s="212"/>
      <c r="F17" s="212"/>
      <c r="G17" s="185"/>
      <c r="H17" s="186"/>
      <c r="I17" s="186"/>
      <c r="J17" s="186"/>
      <c r="K17" s="186"/>
      <c r="L17" s="186"/>
      <c r="M17" s="186"/>
      <c r="N17" s="187"/>
      <c r="O17" s="187"/>
      <c r="P17" s="186"/>
      <c r="Q17" s="112"/>
      <c r="R17" s="188"/>
      <c r="S17" s="418"/>
    </row>
    <row r="18" spans="2:19" ht="15.75" thickBot="1" x14ac:dyDescent="0.25">
      <c r="B18" s="124"/>
      <c r="C18" s="106"/>
      <c r="D18" s="106"/>
      <c r="E18" s="107"/>
      <c r="F18" s="181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419"/>
    </row>
    <row r="19" spans="2:19" ht="24" customHeight="1" thickBot="1" x14ac:dyDescent="0.25">
      <c r="B19" s="103"/>
      <c r="C19" s="212"/>
      <c r="D19" s="212"/>
      <c r="E19" s="212"/>
      <c r="F19" s="212"/>
      <c r="G19" s="185"/>
      <c r="H19" s="186"/>
      <c r="I19" s="186"/>
      <c r="J19" s="186"/>
      <c r="K19" s="186"/>
      <c r="L19" s="110"/>
      <c r="M19" s="186"/>
      <c r="N19" s="187"/>
      <c r="O19" s="187"/>
      <c r="P19" s="186"/>
      <c r="Q19" s="112"/>
      <c r="R19" s="188"/>
      <c r="S19" s="418"/>
    </row>
    <row r="20" spans="2:19" ht="15.75" thickBot="1" x14ac:dyDescent="0.25">
      <c r="B20" s="124"/>
      <c r="C20" s="106"/>
      <c r="D20" s="106"/>
      <c r="E20" s="106"/>
      <c r="F20" s="181"/>
      <c r="G20" s="182"/>
      <c r="H20" s="182"/>
      <c r="I20" s="182"/>
      <c r="J20" s="182"/>
      <c r="K20" s="182"/>
      <c r="L20" s="182"/>
      <c r="M20" s="182"/>
      <c r="N20" s="182"/>
      <c r="O20" s="182"/>
      <c r="P20" s="182"/>
      <c r="Q20" s="182"/>
      <c r="R20" s="182"/>
      <c r="S20" s="419"/>
    </row>
    <row r="21" spans="2:19" ht="24" customHeight="1" thickBot="1" x14ac:dyDescent="0.25">
      <c r="B21" s="103"/>
      <c r="C21" s="212"/>
      <c r="D21" s="212"/>
      <c r="E21" s="212"/>
      <c r="F21" s="212"/>
      <c r="G21" s="185"/>
      <c r="H21" s="186"/>
      <c r="I21" s="186"/>
      <c r="J21" s="186"/>
      <c r="K21" s="186"/>
      <c r="L21" s="110"/>
      <c r="M21" s="186"/>
      <c r="N21" s="187"/>
      <c r="O21" s="187"/>
      <c r="P21" s="186"/>
      <c r="Q21" s="112"/>
      <c r="R21" s="188"/>
      <c r="S21" s="418"/>
    </row>
    <row r="22" spans="2:19" ht="15.75" thickBot="1" x14ac:dyDescent="0.25">
      <c r="B22" s="124"/>
      <c r="C22" s="106"/>
      <c r="D22" s="106"/>
      <c r="E22" s="107"/>
      <c r="F22" s="181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419"/>
    </row>
    <row r="23" spans="2:19" ht="24" customHeight="1" thickBot="1" x14ac:dyDescent="0.25">
      <c r="B23" s="103"/>
      <c r="C23" s="212"/>
      <c r="D23" s="212"/>
      <c r="E23" s="212"/>
      <c r="F23" s="212"/>
      <c r="G23" s="185"/>
      <c r="H23" s="186"/>
      <c r="I23" s="186"/>
      <c r="J23" s="186"/>
      <c r="K23" s="186"/>
      <c r="L23" s="110"/>
      <c r="M23" s="186"/>
      <c r="N23" s="187"/>
      <c r="O23" s="187"/>
      <c r="P23" s="186"/>
      <c r="Q23" s="112"/>
      <c r="R23" s="188"/>
      <c r="S23" s="418"/>
    </row>
    <row r="24" spans="2:19" ht="15.75" thickBot="1" x14ac:dyDescent="0.25">
      <c r="B24" s="124"/>
      <c r="C24" s="106"/>
      <c r="D24" s="106"/>
      <c r="E24" s="107"/>
      <c r="F24" s="181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419"/>
    </row>
    <row r="25" spans="2:19" ht="24" customHeight="1" thickBot="1" x14ac:dyDescent="0.25">
      <c r="B25" s="103"/>
      <c r="C25" s="212"/>
      <c r="D25" s="212"/>
      <c r="E25" s="212"/>
      <c r="F25" s="212"/>
      <c r="G25" s="185"/>
      <c r="H25" s="186"/>
      <c r="I25" s="186"/>
      <c r="J25" s="186"/>
      <c r="K25" s="186"/>
      <c r="L25" s="110"/>
      <c r="M25" s="186"/>
      <c r="N25" s="187"/>
      <c r="O25" s="187"/>
      <c r="P25" s="186"/>
      <c r="Q25" s="112"/>
      <c r="R25" s="188"/>
      <c r="S25" s="418"/>
    </row>
    <row r="26" spans="2:19" ht="15.75" thickBot="1" x14ac:dyDescent="0.25">
      <c r="B26" s="124"/>
      <c r="C26" s="106"/>
      <c r="D26" s="106"/>
      <c r="E26" s="107"/>
      <c r="F26" s="181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419"/>
    </row>
    <row r="27" spans="2:19" ht="24" customHeight="1" thickBot="1" x14ac:dyDescent="0.25">
      <c r="B27" s="103"/>
      <c r="C27" s="212"/>
      <c r="D27" s="212"/>
      <c r="E27" s="212"/>
      <c r="F27" s="212"/>
      <c r="G27" s="185"/>
      <c r="H27" s="186"/>
      <c r="I27" s="186"/>
      <c r="J27" s="186"/>
      <c r="K27" s="186"/>
      <c r="L27" s="110"/>
      <c r="M27" s="186"/>
      <c r="N27" s="187"/>
      <c r="O27" s="187"/>
      <c r="P27" s="186"/>
      <c r="Q27" s="112"/>
      <c r="R27" s="188"/>
      <c r="S27" s="418"/>
    </row>
    <row r="28" spans="2:19" ht="15.75" thickBot="1" x14ac:dyDescent="0.25">
      <c r="B28" s="124"/>
      <c r="C28" s="106"/>
      <c r="D28" s="106"/>
      <c r="E28" s="107"/>
      <c r="F28" s="181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419"/>
    </row>
    <row r="29" spans="2:19" ht="24" customHeight="1" thickBot="1" x14ac:dyDescent="0.25">
      <c r="B29" s="103"/>
      <c r="C29" s="212"/>
      <c r="D29" s="212"/>
      <c r="E29" s="212"/>
      <c r="F29" s="212"/>
      <c r="G29" s="185"/>
      <c r="H29" s="186"/>
      <c r="I29" s="186"/>
      <c r="J29" s="186"/>
      <c r="K29" s="186"/>
      <c r="L29" s="110"/>
      <c r="M29" s="186"/>
      <c r="N29" s="187"/>
      <c r="O29" s="187"/>
      <c r="P29" s="186"/>
      <c r="Q29" s="112"/>
      <c r="R29" s="188"/>
      <c r="S29" s="418"/>
    </row>
    <row r="30" spans="2:19" ht="15.75" thickBot="1" x14ac:dyDescent="0.25">
      <c r="B30" s="124"/>
      <c r="C30" s="106"/>
      <c r="D30" s="106"/>
      <c r="E30" s="107"/>
      <c r="F30" s="181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419"/>
    </row>
    <row r="31" spans="2:19" ht="24" customHeight="1" thickBot="1" x14ac:dyDescent="0.25">
      <c r="B31" s="103"/>
      <c r="C31" s="212"/>
      <c r="D31" s="212"/>
      <c r="E31" s="212"/>
      <c r="F31" s="212"/>
      <c r="G31" s="185"/>
      <c r="H31" s="186"/>
      <c r="I31" s="186"/>
      <c r="J31" s="186"/>
      <c r="K31" s="186"/>
      <c r="L31" s="110"/>
      <c r="M31" s="186"/>
      <c r="N31" s="187"/>
      <c r="O31" s="187"/>
      <c r="P31" s="186"/>
      <c r="Q31" s="112"/>
      <c r="R31" s="188"/>
      <c r="S31" s="418"/>
    </row>
    <row r="32" spans="2:19" ht="15.75" thickBot="1" x14ac:dyDescent="0.25">
      <c r="B32" s="124"/>
      <c r="C32" s="106"/>
      <c r="D32" s="106"/>
      <c r="E32" s="107"/>
      <c r="F32" s="181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419"/>
    </row>
    <row r="33" spans="2:19" ht="24" customHeight="1" thickBot="1" x14ac:dyDescent="0.25">
      <c r="B33" s="103"/>
      <c r="C33" s="212"/>
      <c r="D33" s="212"/>
      <c r="E33" s="212"/>
      <c r="F33" s="212"/>
      <c r="G33" s="185"/>
      <c r="H33" s="186"/>
      <c r="I33" s="186"/>
      <c r="J33" s="186"/>
      <c r="K33" s="186"/>
      <c r="L33" s="110"/>
      <c r="M33" s="186"/>
      <c r="N33" s="187"/>
      <c r="O33" s="187"/>
      <c r="P33" s="186"/>
      <c r="Q33" s="112"/>
      <c r="R33" s="188"/>
      <c r="S33" s="418"/>
    </row>
    <row r="34" spans="2:19" ht="15.75" thickBot="1" x14ac:dyDescent="0.25">
      <c r="B34" s="124"/>
      <c r="C34" s="106"/>
      <c r="D34" s="106"/>
      <c r="E34" s="106"/>
      <c r="F34" s="181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419"/>
    </row>
    <row r="35" spans="2:19" ht="24" customHeight="1" thickBot="1" x14ac:dyDescent="0.25">
      <c r="B35" s="103"/>
      <c r="C35" s="212"/>
      <c r="D35" s="212"/>
      <c r="E35" s="212"/>
      <c r="F35" s="212"/>
      <c r="G35" s="185"/>
      <c r="H35" s="186"/>
      <c r="I35" s="186"/>
      <c r="J35" s="186"/>
      <c r="K35" s="186"/>
      <c r="L35" s="110"/>
      <c r="M35" s="186"/>
      <c r="N35" s="187"/>
      <c r="O35" s="187"/>
      <c r="P35" s="186"/>
      <c r="Q35" s="112"/>
      <c r="R35" s="188"/>
      <c r="S35" s="418"/>
    </row>
    <row r="36" spans="2:19" ht="15.75" thickBot="1" x14ac:dyDescent="0.25">
      <c r="B36" s="126"/>
      <c r="C36" s="106"/>
      <c r="D36" s="106"/>
      <c r="E36" s="107"/>
      <c r="F36" s="180"/>
      <c r="G36" s="182"/>
      <c r="H36" s="182"/>
      <c r="I36" s="182"/>
      <c r="J36" s="182"/>
      <c r="K36" s="182"/>
      <c r="L36" s="182"/>
      <c r="M36" s="182"/>
      <c r="N36" s="182"/>
      <c r="O36" s="182"/>
      <c r="P36" s="182"/>
      <c r="Q36" s="182"/>
      <c r="R36" s="182"/>
      <c r="S36" s="419"/>
    </row>
    <row r="37" spans="2:19" ht="24" customHeight="1" thickBot="1" x14ac:dyDescent="0.25">
      <c r="B37" s="103"/>
      <c r="C37" s="212"/>
      <c r="D37" s="212"/>
      <c r="E37" s="212"/>
      <c r="F37" s="212"/>
      <c r="G37" s="185"/>
      <c r="H37" s="186"/>
      <c r="I37" s="186"/>
      <c r="J37" s="186"/>
      <c r="K37" s="186"/>
      <c r="L37" s="186"/>
      <c r="M37" s="186"/>
      <c r="N37" s="187"/>
      <c r="O37" s="187"/>
      <c r="P37" s="186"/>
      <c r="Q37" s="112"/>
      <c r="R37" s="188"/>
      <c r="S37" s="418"/>
    </row>
    <row r="38" spans="2:19" ht="15.75" thickBot="1" x14ac:dyDescent="0.25">
      <c r="B38" s="124"/>
      <c r="C38" s="189"/>
      <c r="D38" s="123"/>
      <c r="E38" s="107"/>
      <c r="F38" s="181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419"/>
    </row>
    <row r="39" spans="2:19" ht="24" customHeight="1" thickBot="1" x14ac:dyDescent="0.25">
      <c r="B39" s="103"/>
      <c r="C39" s="212"/>
      <c r="D39" s="212"/>
      <c r="E39" s="212"/>
      <c r="F39" s="212"/>
      <c r="G39" s="186"/>
      <c r="H39" s="186"/>
      <c r="I39" s="186"/>
      <c r="J39" s="186"/>
      <c r="K39" s="186"/>
      <c r="L39" s="111"/>
      <c r="M39" s="186"/>
      <c r="N39" s="187"/>
      <c r="O39" s="187"/>
      <c r="P39" s="186"/>
      <c r="Q39" s="112"/>
      <c r="R39" s="195"/>
      <c r="S39" s="422"/>
    </row>
    <row r="40" spans="2:19" ht="15.75" thickBot="1" x14ac:dyDescent="0.25">
      <c r="B40" s="124"/>
      <c r="C40" s="106"/>
      <c r="D40" s="106"/>
      <c r="E40" s="107"/>
      <c r="F40" s="181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419"/>
    </row>
    <row r="41" spans="2:19" ht="24" customHeight="1" thickBot="1" x14ac:dyDescent="0.25">
      <c r="B41" s="103"/>
      <c r="C41" s="212"/>
      <c r="D41" s="212"/>
      <c r="E41" s="212"/>
      <c r="F41" s="212"/>
      <c r="G41" s="185"/>
      <c r="H41" s="186"/>
      <c r="I41" s="186"/>
      <c r="J41" s="186"/>
      <c r="K41" s="186"/>
      <c r="L41" s="186"/>
      <c r="M41" s="186"/>
      <c r="N41" s="187"/>
      <c r="O41" s="187"/>
      <c r="P41" s="186"/>
      <c r="Q41" s="112"/>
      <c r="R41" s="188"/>
      <c r="S41" s="418"/>
    </row>
    <row r="42" spans="2:19" ht="15.75" thickBot="1" x14ac:dyDescent="0.25">
      <c r="B42" s="124"/>
      <c r="C42" s="106"/>
      <c r="D42" s="106"/>
      <c r="E42" s="107"/>
      <c r="F42" s="181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419"/>
    </row>
    <row r="43" spans="2:19" ht="24" customHeight="1" thickBot="1" x14ac:dyDescent="0.25">
      <c r="B43" s="103"/>
      <c r="C43" s="212"/>
      <c r="D43" s="212"/>
      <c r="E43" s="212"/>
      <c r="F43" s="212"/>
      <c r="G43" s="185"/>
      <c r="H43" s="186"/>
      <c r="I43" s="186"/>
      <c r="J43" s="186"/>
      <c r="K43" s="186"/>
      <c r="L43" s="186"/>
      <c r="M43" s="186"/>
      <c r="N43" s="187"/>
      <c r="O43" s="187"/>
      <c r="P43" s="186"/>
      <c r="Q43" s="112"/>
      <c r="R43" s="188"/>
      <c r="S43" s="418"/>
    </row>
    <row r="44" spans="2:19" ht="15.75" thickBot="1" x14ac:dyDescent="0.25">
      <c r="B44" s="124"/>
      <c r="C44" s="106"/>
      <c r="D44" s="106"/>
      <c r="E44" s="106"/>
      <c r="F44" s="181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419"/>
    </row>
    <row r="45" spans="2:19" ht="24" customHeight="1" thickBot="1" x14ac:dyDescent="0.25">
      <c r="B45" s="103"/>
      <c r="C45" s="212"/>
      <c r="D45" s="212"/>
      <c r="E45" s="212"/>
      <c r="F45" s="212"/>
      <c r="G45" s="185"/>
      <c r="H45" s="186"/>
      <c r="I45" s="186"/>
      <c r="J45" s="186"/>
      <c r="K45" s="186"/>
      <c r="L45" s="186"/>
      <c r="M45" s="186"/>
      <c r="N45" s="187"/>
      <c r="O45" s="187"/>
      <c r="P45" s="186"/>
      <c r="Q45" s="112"/>
      <c r="R45" s="188"/>
      <c r="S45" s="418"/>
    </row>
    <row r="46" spans="2:19" ht="15.75" thickBot="1" x14ac:dyDescent="0.25">
      <c r="B46" s="124"/>
      <c r="C46" s="106"/>
      <c r="D46" s="106"/>
      <c r="E46" s="106"/>
      <c r="F46" s="180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419"/>
    </row>
    <row r="47" spans="2:19" ht="24" customHeight="1" thickBot="1" x14ac:dyDescent="0.25">
      <c r="B47" s="103"/>
      <c r="C47" s="212"/>
      <c r="D47" s="212"/>
      <c r="E47" s="212"/>
      <c r="F47" s="212"/>
      <c r="G47" s="185"/>
      <c r="H47" s="186"/>
      <c r="I47" s="186"/>
      <c r="J47" s="186"/>
      <c r="K47" s="186"/>
      <c r="L47" s="186"/>
      <c r="M47" s="186"/>
      <c r="N47" s="187"/>
      <c r="O47" s="187"/>
      <c r="P47" s="186"/>
      <c r="Q47" s="112"/>
      <c r="R47" s="188"/>
      <c r="S47" s="418"/>
    </row>
    <row r="48" spans="2:19" ht="15.75" thickBot="1" x14ac:dyDescent="0.25">
      <c r="B48" s="124"/>
      <c r="C48" s="106"/>
      <c r="D48" s="106"/>
      <c r="E48" s="106"/>
      <c r="F48" s="180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419"/>
    </row>
    <row r="49" spans="2:19" ht="24" customHeight="1" thickBot="1" x14ac:dyDescent="0.25">
      <c r="B49" s="103"/>
      <c r="C49" s="212"/>
      <c r="D49" s="212"/>
      <c r="E49" s="212"/>
      <c r="F49" s="212"/>
      <c r="G49" s="185"/>
      <c r="H49" s="186"/>
      <c r="I49" s="186"/>
      <c r="J49" s="186"/>
      <c r="K49" s="186"/>
      <c r="L49" s="186"/>
      <c r="M49" s="186"/>
      <c r="N49" s="187"/>
      <c r="O49" s="187"/>
      <c r="P49" s="186"/>
      <c r="Q49" s="112"/>
      <c r="R49" s="188"/>
      <c r="S49" s="418"/>
    </row>
    <row r="50" spans="2:19" ht="15.75" thickBot="1" x14ac:dyDescent="0.25">
      <c r="B50" s="124"/>
      <c r="C50" s="106"/>
      <c r="D50" s="106"/>
      <c r="E50" s="106"/>
      <c r="F50" s="180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419"/>
    </row>
    <row r="51" spans="2:19" ht="24" customHeight="1" thickBot="1" x14ac:dyDescent="0.25">
      <c r="B51" s="103"/>
      <c r="C51" s="212"/>
      <c r="D51" s="212"/>
      <c r="E51" s="212"/>
      <c r="F51" s="212"/>
      <c r="G51" s="185"/>
      <c r="H51" s="186"/>
      <c r="I51" s="186"/>
      <c r="J51" s="186"/>
      <c r="K51" s="186"/>
      <c r="L51" s="186"/>
      <c r="M51" s="186"/>
      <c r="N51" s="187"/>
      <c r="O51" s="187"/>
      <c r="P51" s="186"/>
      <c r="Q51" s="112"/>
      <c r="R51" s="188"/>
      <c r="S51" s="418"/>
    </row>
    <row r="52" spans="2:19" ht="15.75" thickBot="1" x14ac:dyDescent="0.25">
      <c r="B52" s="124"/>
      <c r="C52" s="106"/>
      <c r="D52" s="106"/>
      <c r="E52" s="106"/>
      <c r="F52" s="180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419"/>
    </row>
    <row r="53" spans="2:19" ht="24" customHeight="1" thickBot="1" x14ac:dyDescent="0.25">
      <c r="B53" s="103"/>
      <c r="C53" s="212"/>
      <c r="D53" s="212"/>
      <c r="E53" s="212"/>
      <c r="F53" s="212"/>
      <c r="G53" s="185"/>
      <c r="H53" s="186"/>
      <c r="I53" s="186"/>
      <c r="J53" s="186"/>
      <c r="K53" s="186"/>
      <c r="L53" s="186"/>
      <c r="M53" s="186"/>
      <c r="N53" s="187"/>
      <c r="O53" s="187"/>
      <c r="P53" s="186"/>
      <c r="Q53" s="112"/>
      <c r="R53" s="188"/>
      <c r="S53" s="418"/>
    </row>
    <row r="54" spans="2:19" ht="15.75" thickBot="1" x14ac:dyDescent="0.25">
      <c r="B54" s="124"/>
      <c r="C54" s="106"/>
      <c r="D54" s="106"/>
      <c r="E54" s="107"/>
      <c r="F54" s="180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419"/>
    </row>
    <row r="55" spans="2:19" ht="24" customHeight="1" thickBot="1" x14ac:dyDescent="0.25">
      <c r="B55" s="103"/>
      <c r="C55" s="212"/>
      <c r="D55" s="212"/>
      <c r="E55" s="212"/>
      <c r="F55" s="212"/>
      <c r="G55" s="185"/>
      <c r="H55" s="186"/>
      <c r="I55" s="186"/>
      <c r="J55" s="186"/>
      <c r="K55" s="186"/>
      <c r="L55" s="186"/>
      <c r="M55" s="186"/>
      <c r="N55" s="187"/>
      <c r="O55" s="187"/>
      <c r="P55" s="186"/>
      <c r="Q55" s="112"/>
      <c r="R55" s="188"/>
      <c r="S55" s="418"/>
    </row>
    <row r="56" spans="2:19" ht="15.75" thickBot="1" x14ac:dyDescent="0.25">
      <c r="B56" s="124"/>
      <c r="C56" s="106"/>
      <c r="D56" s="106"/>
      <c r="E56" s="107"/>
      <c r="F56" s="180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419"/>
    </row>
    <row r="57" spans="2:19" ht="24" customHeight="1" thickBot="1" x14ac:dyDescent="0.25">
      <c r="B57" s="103"/>
      <c r="C57" s="212"/>
      <c r="D57" s="212"/>
      <c r="E57" s="212"/>
      <c r="F57" s="212"/>
      <c r="G57" s="185"/>
      <c r="H57" s="186"/>
      <c r="I57" s="186"/>
      <c r="J57" s="186"/>
      <c r="K57" s="186"/>
      <c r="L57" s="186"/>
      <c r="M57" s="186"/>
      <c r="N57" s="187"/>
      <c r="O57" s="187"/>
      <c r="P57" s="186"/>
      <c r="Q57" s="112"/>
      <c r="R57" s="188"/>
      <c r="S57" s="418"/>
    </row>
    <row r="58" spans="2:19" ht="15.75" thickBot="1" x14ac:dyDescent="0.25">
      <c r="B58" s="124"/>
      <c r="C58" s="106"/>
      <c r="D58" s="106"/>
      <c r="E58" s="106"/>
      <c r="F58" s="106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419"/>
    </row>
    <row r="59" spans="2:19" ht="24" customHeight="1" thickBot="1" x14ac:dyDescent="0.25">
      <c r="B59" s="103"/>
      <c r="C59" s="212"/>
      <c r="D59" s="212"/>
      <c r="E59" s="212"/>
      <c r="F59" s="212"/>
      <c r="G59" s="185"/>
      <c r="H59" s="186"/>
      <c r="I59" s="186"/>
      <c r="J59" s="186"/>
      <c r="K59" s="186"/>
      <c r="L59" s="186"/>
      <c r="M59" s="186"/>
      <c r="N59" s="187"/>
      <c r="O59" s="187"/>
      <c r="P59" s="186"/>
      <c r="Q59" s="112"/>
      <c r="R59" s="188"/>
      <c r="S59" s="418"/>
    </row>
    <row r="60" spans="2:19" ht="15.75" thickBot="1" x14ac:dyDescent="0.25">
      <c r="B60" s="124"/>
      <c r="C60" s="106"/>
      <c r="D60" s="106"/>
      <c r="E60" s="106"/>
      <c r="F60" s="106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419"/>
    </row>
    <row r="61" spans="2:19" ht="15.75" thickBot="1" x14ac:dyDescent="0.25">
      <c r="B61" s="103"/>
      <c r="C61" s="212"/>
      <c r="D61" s="212"/>
      <c r="E61" s="212"/>
      <c r="F61" s="212"/>
      <c r="G61" s="191"/>
      <c r="H61" s="191"/>
      <c r="I61" s="191"/>
      <c r="J61" s="191"/>
      <c r="K61" s="191"/>
      <c r="L61" s="191"/>
      <c r="M61" s="191"/>
      <c r="N61" s="192"/>
      <c r="O61" s="192"/>
      <c r="P61" s="191"/>
      <c r="Q61" s="193"/>
      <c r="R61" s="194"/>
      <c r="S61" s="423"/>
    </row>
    <row r="62" spans="2:19" ht="15.75" thickBot="1" x14ac:dyDescent="0.25">
      <c r="B62" s="124"/>
      <c r="C62" s="106"/>
      <c r="D62" s="106"/>
      <c r="E62" s="106"/>
      <c r="F62" s="106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419"/>
    </row>
    <row r="63" spans="2:19" ht="15.75" thickBot="1" x14ac:dyDescent="0.25">
      <c r="B63" s="103"/>
      <c r="C63" s="212"/>
      <c r="D63" s="212"/>
      <c r="E63" s="212"/>
      <c r="F63" s="212"/>
      <c r="G63" s="190"/>
      <c r="H63" s="191"/>
      <c r="I63" s="191"/>
      <c r="J63" s="191"/>
      <c r="K63" s="191"/>
      <c r="L63" s="191"/>
      <c r="M63" s="191"/>
      <c r="N63" s="192"/>
      <c r="O63" s="192"/>
      <c r="P63" s="191"/>
      <c r="Q63" s="193"/>
      <c r="R63" s="194"/>
      <c r="S63" s="424"/>
    </row>
  </sheetData>
  <autoFilter ref="B2:R63"/>
  <mergeCells count="1">
    <mergeCell ref="B1:S1"/>
  </mergeCells>
  <conditionalFormatting sqref="G4:S4 G58:S58 G6:S8 G10:S10 G14:S14 G18:S18 G20:S20 G22:S22 G24:S24 G26:S26 G28:S28 G30:S30 G32:S32 G34:S34 G36:S36 G38:S38 G40:S40 G42:S42 G44:S44 G46:S46 G48:S48 G50:S50 G52:S52 G54:S54 G56:S56">
    <cfRule type="cellIs" dxfId="154" priority="198" stopIfTrue="1" operator="equal">
      <formula>"NO"</formula>
    </cfRule>
    <cfRule type="cellIs" dxfId="153" priority="199" stopIfTrue="1" operator="equal">
      <formula>"YES"</formula>
    </cfRule>
  </conditionalFormatting>
  <conditionalFormatting sqref="G9:S9">
    <cfRule type="cellIs" dxfId="152" priority="196" stopIfTrue="1" operator="equal">
      <formula>"NO"</formula>
    </cfRule>
    <cfRule type="cellIs" dxfId="151" priority="197" stopIfTrue="1" operator="equal">
      <formula>"YES"</formula>
    </cfRule>
  </conditionalFormatting>
  <conditionalFormatting sqref="G11:S11">
    <cfRule type="cellIs" dxfId="150" priority="194" stopIfTrue="1" operator="equal">
      <formula>"NO"</formula>
    </cfRule>
    <cfRule type="cellIs" dxfId="149" priority="195" stopIfTrue="1" operator="equal">
      <formula>"YES"</formula>
    </cfRule>
  </conditionalFormatting>
  <conditionalFormatting sqref="G15:S15">
    <cfRule type="cellIs" dxfId="148" priority="190" stopIfTrue="1" operator="equal">
      <formula>"NO"</formula>
    </cfRule>
    <cfRule type="cellIs" dxfId="147" priority="191" stopIfTrue="1" operator="equal">
      <formula>"YES"</formula>
    </cfRule>
  </conditionalFormatting>
  <conditionalFormatting sqref="G39:S39">
    <cfRule type="cellIs" dxfId="146" priority="166" stopIfTrue="1" operator="equal">
      <formula>"NO"</formula>
    </cfRule>
    <cfRule type="cellIs" dxfId="145" priority="167" stopIfTrue="1" operator="equal">
      <formula>"YES"</formula>
    </cfRule>
  </conditionalFormatting>
  <conditionalFormatting sqref="G12:S12">
    <cfRule type="cellIs" dxfId="144" priority="144" stopIfTrue="1" operator="equal">
      <formula>"NO"</formula>
    </cfRule>
    <cfRule type="cellIs" dxfId="143" priority="145" stopIfTrue="1" operator="equal">
      <formula>"YES"</formula>
    </cfRule>
  </conditionalFormatting>
  <conditionalFormatting sqref="G60:S60">
    <cfRule type="cellIs" dxfId="142" priority="140" stopIfTrue="1" operator="equal">
      <formula>"NO"</formula>
    </cfRule>
    <cfRule type="cellIs" dxfId="141" priority="141" stopIfTrue="1" operator="equal">
      <formula>"YES"</formula>
    </cfRule>
  </conditionalFormatting>
  <conditionalFormatting sqref="G62:S62">
    <cfRule type="cellIs" dxfId="140" priority="136" stopIfTrue="1" operator="equal">
      <formula>"NO"</formula>
    </cfRule>
    <cfRule type="cellIs" dxfId="139" priority="137" stopIfTrue="1" operator="equal">
      <formula>"YES"</formula>
    </cfRule>
  </conditionalFormatting>
  <conditionalFormatting sqref="G17:S17">
    <cfRule type="cellIs" dxfId="138" priority="132" stopIfTrue="1" operator="equal">
      <formula>"NO"</formula>
    </cfRule>
    <cfRule type="cellIs" dxfId="137" priority="133" stopIfTrue="1" operator="equal">
      <formula>"YES"</formula>
    </cfRule>
  </conditionalFormatting>
  <conditionalFormatting sqref="G19:S19">
    <cfRule type="cellIs" dxfId="136" priority="130" stopIfTrue="1" operator="equal">
      <formula>"NO"</formula>
    </cfRule>
    <cfRule type="cellIs" dxfId="135" priority="131" stopIfTrue="1" operator="equal">
      <formula>"YES"</formula>
    </cfRule>
  </conditionalFormatting>
  <conditionalFormatting sqref="G21:S21">
    <cfRule type="cellIs" dxfId="134" priority="128" stopIfTrue="1" operator="equal">
      <formula>"NO"</formula>
    </cfRule>
    <cfRule type="cellIs" dxfId="133" priority="129" stopIfTrue="1" operator="equal">
      <formula>"YES"</formula>
    </cfRule>
  </conditionalFormatting>
  <conditionalFormatting sqref="G23:S23">
    <cfRule type="cellIs" dxfId="132" priority="126" stopIfTrue="1" operator="equal">
      <formula>"NO"</formula>
    </cfRule>
    <cfRule type="cellIs" dxfId="131" priority="127" stopIfTrue="1" operator="equal">
      <formula>"YES"</formula>
    </cfRule>
  </conditionalFormatting>
  <conditionalFormatting sqref="G25:S25">
    <cfRule type="cellIs" dxfId="130" priority="124" stopIfTrue="1" operator="equal">
      <formula>"NO"</formula>
    </cfRule>
    <cfRule type="cellIs" dxfId="129" priority="125" stopIfTrue="1" operator="equal">
      <formula>"YES"</formula>
    </cfRule>
  </conditionalFormatting>
  <conditionalFormatting sqref="G27:S27">
    <cfRule type="cellIs" dxfId="128" priority="122" stopIfTrue="1" operator="equal">
      <formula>"NO"</formula>
    </cfRule>
    <cfRule type="cellIs" dxfId="127" priority="123" stopIfTrue="1" operator="equal">
      <formula>"YES"</formula>
    </cfRule>
  </conditionalFormatting>
  <conditionalFormatting sqref="G29:S29">
    <cfRule type="cellIs" dxfId="126" priority="120" stopIfTrue="1" operator="equal">
      <formula>"NO"</formula>
    </cfRule>
    <cfRule type="cellIs" dxfId="125" priority="121" stopIfTrue="1" operator="equal">
      <formula>"YES"</formula>
    </cfRule>
  </conditionalFormatting>
  <conditionalFormatting sqref="G31:S31">
    <cfRule type="cellIs" dxfId="124" priority="118" stopIfTrue="1" operator="equal">
      <formula>"NO"</formula>
    </cfRule>
    <cfRule type="cellIs" dxfId="123" priority="119" stopIfTrue="1" operator="equal">
      <formula>"YES"</formula>
    </cfRule>
  </conditionalFormatting>
  <conditionalFormatting sqref="G33:S33">
    <cfRule type="cellIs" dxfId="122" priority="116" stopIfTrue="1" operator="equal">
      <formula>"NO"</formula>
    </cfRule>
    <cfRule type="cellIs" dxfId="121" priority="117" stopIfTrue="1" operator="equal">
      <formula>"YES"</formula>
    </cfRule>
  </conditionalFormatting>
  <conditionalFormatting sqref="G35:S35">
    <cfRule type="cellIs" dxfId="120" priority="114" stopIfTrue="1" operator="equal">
      <formula>"NO"</formula>
    </cfRule>
    <cfRule type="cellIs" dxfId="119" priority="115" stopIfTrue="1" operator="equal">
      <formula>"YES"</formula>
    </cfRule>
  </conditionalFormatting>
  <conditionalFormatting sqref="G37:S37">
    <cfRule type="cellIs" dxfId="118" priority="112" stopIfTrue="1" operator="equal">
      <formula>"NO"</formula>
    </cfRule>
    <cfRule type="cellIs" dxfId="117" priority="113" stopIfTrue="1" operator="equal">
      <formula>"YES"</formula>
    </cfRule>
  </conditionalFormatting>
  <conditionalFormatting sqref="G41:S41">
    <cfRule type="cellIs" dxfId="116" priority="110" stopIfTrue="1" operator="equal">
      <formula>"NO"</formula>
    </cfRule>
    <cfRule type="cellIs" dxfId="115" priority="111" stopIfTrue="1" operator="equal">
      <formula>"YES"</formula>
    </cfRule>
  </conditionalFormatting>
  <conditionalFormatting sqref="G43:S43">
    <cfRule type="cellIs" dxfId="114" priority="108" stopIfTrue="1" operator="equal">
      <formula>"NO"</formula>
    </cfRule>
    <cfRule type="cellIs" dxfId="113" priority="109" stopIfTrue="1" operator="equal">
      <formula>"YES"</formula>
    </cfRule>
  </conditionalFormatting>
  <conditionalFormatting sqref="G45:S45">
    <cfRule type="cellIs" dxfId="112" priority="106" stopIfTrue="1" operator="equal">
      <formula>"NO"</formula>
    </cfRule>
    <cfRule type="cellIs" dxfId="111" priority="107" stopIfTrue="1" operator="equal">
      <formula>"YES"</formula>
    </cfRule>
  </conditionalFormatting>
  <conditionalFormatting sqref="G47:S47">
    <cfRule type="cellIs" dxfId="110" priority="104" stopIfTrue="1" operator="equal">
      <formula>"NO"</formula>
    </cfRule>
    <cfRule type="cellIs" dxfId="109" priority="105" stopIfTrue="1" operator="equal">
      <formula>"YES"</formula>
    </cfRule>
  </conditionalFormatting>
  <conditionalFormatting sqref="G49:S49">
    <cfRule type="cellIs" dxfId="108" priority="102" stopIfTrue="1" operator="equal">
      <formula>"NO"</formula>
    </cfRule>
    <cfRule type="cellIs" dxfId="107" priority="103" stopIfTrue="1" operator="equal">
      <formula>"YES"</formula>
    </cfRule>
  </conditionalFormatting>
  <conditionalFormatting sqref="G51:S51">
    <cfRule type="cellIs" dxfId="106" priority="100" stopIfTrue="1" operator="equal">
      <formula>"NO"</formula>
    </cfRule>
    <cfRule type="cellIs" dxfId="105" priority="101" stopIfTrue="1" operator="equal">
      <formula>"YES"</formula>
    </cfRule>
  </conditionalFormatting>
  <conditionalFormatting sqref="G53:S53">
    <cfRule type="cellIs" dxfId="104" priority="98" stopIfTrue="1" operator="equal">
      <formula>"NO"</formula>
    </cfRule>
    <cfRule type="cellIs" dxfId="103" priority="99" stopIfTrue="1" operator="equal">
      <formula>"YES"</formula>
    </cfRule>
  </conditionalFormatting>
  <conditionalFormatting sqref="G55:S55">
    <cfRule type="cellIs" dxfId="102" priority="96" stopIfTrue="1" operator="equal">
      <formula>"NO"</formula>
    </cfRule>
    <cfRule type="cellIs" dxfId="101" priority="97" stopIfTrue="1" operator="equal">
      <formula>"YES"</formula>
    </cfRule>
  </conditionalFormatting>
  <conditionalFormatting sqref="G57:S57">
    <cfRule type="cellIs" dxfId="100" priority="94" stopIfTrue="1" operator="equal">
      <formula>"NO"</formula>
    </cfRule>
    <cfRule type="cellIs" dxfId="99" priority="95" stopIfTrue="1" operator="equal">
      <formula>"YES"</formula>
    </cfRule>
  </conditionalFormatting>
  <conditionalFormatting sqref="G59:S59">
    <cfRule type="cellIs" dxfId="98" priority="92" stopIfTrue="1" operator="equal">
      <formula>"NO"</formula>
    </cfRule>
    <cfRule type="cellIs" dxfId="97" priority="93" stopIfTrue="1" operator="equal">
      <formula>"YES"</formula>
    </cfRule>
  </conditionalFormatting>
  <conditionalFormatting sqref="G61:S61">
    <cfRule type="cellIs" dxfId="96" priority="90" stopIfTrue="1" operator="equal">
      <formula>"NO"</formula>
    </cfRule>
    <cfRule type="cellIs" dxfId="95" priority="91" stopIfTrue="1" operator="equal">
      <formula>"YES"</formula>
    </cfRule>
  </conditionalFormatting>
  <conditionalFormatting sqref="G63:S63">
    <cfRule type="cellIs" dxfId="94" priority="88" stopIfTrue="1" operator="equal">
      <formula>"NO"</formula>
    </cfRule>
    <cfRule type="cellIs" dxfId="93" priority="89" stopIfTrue="1" operator="equal">
      <formula>"YES"</formula>
    </cfRule>
  </conditionalFormatting>
  <conditionalFormatting sqref="G5:S5">
    <cfRule type="cellIs" dxfId="92" priority="86" stopIfTrue="1" operator="equal">
      <formula>"NO"</formula>
    </cfRule>
    <cfRule type="cellIs" dxfId="91" priority="87" stopIfTrue="1" operator="equal">
      <formula>"YES"</formula>
    </cfRule>
  </conditionalFormatting>
  <conditionalFormatting sqref="G4:S63">
    <cfRule type="cellIs" dxfId="90" priority="85" operator="equal">
      <formula>"N/A"</formula>
    </cfRule>
  </conditionalFormatting>
  <conditionalFormatting sqref="G49:S49">
    <cfRule type="cellIs" dxfId="89" priority="53" stopIfTrue="1" operator="equal">
      <formula>"NO"</formula>
    </cfRule>
    <cfRule type="cellIs" dxfId="88" priority="54" stopIfTrue="1" operator="equal">
      <formula>"YES"</formula>
    </cfRule>
  </conditionalFormatting>
  <conditionalFormatting sqref="G60:S60">
    <cfRule type="cellIs" dxfId="87" priority="51" stopIfTrue="1" operator="equal">
      <formula>"NO"</formula>
    </cfRule>
    <cfRule type="cellIs" dxfId="86" priority="52" stopIfTrue="1" operator="equal">
      <formula>"YES"</formula>
    </cfRule>
  </conditionalFormatting>
  <conditionalFormatting sqref="G62:S62">
    <cfRule type="cellIs" dxfId="85" priority="49" stopIfTrue="1" operator="equal">
      <formula>"NO"</formula>
    </cfRule>
    <cfRule type="cellIs" dxfId="84" priority="50" stopIfTrue="1" operator="equal">
      <formula>"YES"</formula>
    </cfRule>
  </conditionalFormatting>
  <conditionalFormatting sqref="G12:S12">
    <cfRule type="cellIs" dxfId="83" priority="47" stopIfTrue="1" operator="equal">
      <formula>"NO"</formula>
    </cfRule>
    <cfRule type="cellIs" dxfId="82" priority="48" stopIfTrue="1" operator="equal">
      <formula>"YES"</formula>
    </cfRule>
  </conditionalFormatting>
  <conditionalFormatting sqref="G16:S16">
    <cfRule type="cellIs" dxfId="81" priority="45" stopIfTrue="1" operator="equal">
      <formula>"NO"</formula>
    </cfRule>
    <cfRule type="cellIs" dxfId="80" priority="46" stopIfTrue="1" operator="equal">
      <formula>"YES"</formula>
    </cfRule>
  </conditionalFormatting>
  <conditionalFormatting sqref="G60:S60">
    <cfRule type="cellIs" dxfId="79" priority="43" stopIfTrue="1" operator="equal">
      <formula>"NO"</formula>
    </cfRule>
    <cfRule type="cellIs" dxfId="78" priority="44" stopIfTrue="1" operator="equal">
      <formula>"YES"</formula>
    </cfRule>
  </conditionalFormatting>
  <conditionalFormatting sqref="G62:S62">
    <cfRule type="cellIs" dxfId="77" priority="41" stopIfTrue="1" operator="equal">
      <formula>"NO"</formula>
    </cfRule>
    <cfRule type="cellIs" dxfId="76" priority="42" stopIfTrue="1" operator="equal">
      <formula>"YES"</formula>
    </cfRule>
  </conditionalFormatting>
  <conditionalFormatting sqref="S12">
    <cfRule type="cellIs" dxfId="75" priority="7" stopIfTrue="1" operator="equal">
      <formula>"NO"</formula>
    </cfRule>
    <cfRule type="cellIs" dxfId="74" priority="8" stopIfTrue="1" operator="equal">
      <formula>"YES"</formula>
    </cfRule>
  </conditionalFormatting>
  <conditionalFormatting sqref="S16">
    <cfRule type="cellIs" dxfId="73" priority="5" stopIfTrue="1" operator="equal">
      <formula>"NO"</formula>
    </cfRule>
    <cfRule type="cellIs" dxfId="72" priority="6" stopIfTrue="1" operator="equal">
      <formula>"YES"</formula>
    </cfRule>
  </conditionalFormatting>
  <conditionalFormatting sqref="S60">
    <cfRule type="cellIs" dxfId="71" priority="3" stopIfTrue="1" operator="equal">
      <formula>"NO"</formula>
    </cfRule>
    <cfRule type="cellIs" dxfId="70" priority="4" stopIfTrue="1" operator="equal">
      <formula>"YES"</formula>
    </cfRule>
  </conditionalFormatting>
  <conditionalFormatting sqref="S62">
    <cfRule type="cellIs" dxfId="69" priority="1" stopIfTrue="1" operator="equal">
      <formula>"NO"</formula>
    </cfRule>
    <cfRule type="cellIs" dxfId="68" priority="2" stopIfTrue="1" operator="equal">
      <formula>"YES"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'Rag Coding'!$E$1:$E$3</xm:f>
          </x14:formula1>
          <xm:sqref>G4:S4 G8:S8 G60:S60 G6:S6 G10:S10 G12:S12 G14:S14 G16:S16 G18:S18 G20:S20 G22:S22 G24:S24 G26:S26 G28:S28 G30:S30 G32:S32 G34:S34 G36:S36 G38:S38 G40:S40 G42:S42 G44:S44 G46:S46 G48:S48 G50:S50 G52:S52 G54:S54 G58:S58 G56:S56 G62:S62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>
    <tabColor rgb="FF0070C0"/>
  </sheetPr>
  <dimension ref="A1:H107"/>
  <sheetViews>
    <sheetView showGridLines="0" workbookViewId="0">
      <selection activeCell="J7" sqref="A1:H107"/>
    </sheetView>
  </sheetViews>
  <sheetFormatPr defaultRowHeight="15" x14ac:dyDescent="0.2"/>
  <cols>
    <col min="1" max="1" width="18" bestFit="1" customWidth="1"/>
    <col min="2" max="2" width="47.77734375" style="26" bestFit="1" customWidth="1"/>
    <col min="3" max="3" width="17.44140625" style="152" bestFit="1" customWidth="1"/>
    <col min="4" max="4" width="13.77734375" style="152" customWidth="1"/>
    <col min="5" max="5" width="15.33203125" style="152" customWidth="1"/>
    <col min="6" max="6" width="26.109375" style="152" customWidth="1"/>
    <col min="7" max="7" width="17.6640625" style="215" customWidth="1"/>
    <col min="8" max="8" width="8.88671875" hidden="1" customWidth="1"/>
  </cols>
  <sheetData>
    <row r="1" spans="1:8" ht="45" x14ac:dyDescent="0.2">
      <c r="A1" s="267" t="s">
        <v>8</v>
      </c>
      <c r="B1" s="258" t="s">
        <v>10</v>
      </c>
      <c r="C1" s="258" t="s">
        <v>20</v>
      </c>
      <c r="D1" s="258" t="s">
        <v>245</v>
      </c>
      <c r="E1" s="258" t="s">
        <v>2</v>
      </c>
      <c r="F1" s="258" t="s">
        <v>208</v>
      </c>
      <c r="G1" s="261" t="s">
        <v>316</v>
      </c>
      <c r="H1" s="222"/>
    </row>
    <row r="2" spans="1:8" hidden="1" x14ac:dyDescent="0.2">
      <c r="A2" s="272">
        <f>INDEX('Tracker Sheet'!$A:$A,41)</f>
        <v>0</v>
      </c>
      <c r="B2" s="272">
        <f>INDEX('Tracker Sheet'!$C:$C,41)</f>
        <v>0</v>
      </c>
      <c r="C2" s="272">
        <f>INDEX('Tracker Sheet'!$E:$E,41)</f>
        <v>0</v>
      </c>
      <c r="D2" s="265">
        <f>INDEX('Tracker Sheet'!$AX:$AX,41)</f>
        <v>0</v>
      </c>
      <c r="E2" s="265">
        <f>INDEX('Tracker Sheet'!$AY:$AY,41)</f>
        <v>0</v>
      </c>
      <c r="F2" s="257" t="str">
        <f ca="1">IF(E2=0,"",E2-TODAY())</f>
        <v/>
      </c>
      <c r="G2" s="255"/>
    </row>
    <row r="3" spans="1:8" hidden="1" x14ac:dyDescent="0.2">
      <c r="A3" s="272">
        <f>INDEX('Tracker Sheet'!$A:$A,41)</f>
        <v>0</v>
      </c>
      <c r="B3" s="272">
        <f>INDEX('Tracker Sheet'!$C:$C,41)</f>
        <v>0</v>
      </c>
      <c r="C3" s="272">
        <f>INDEX('Tracker Sheet'!$E:$E,41)</f>
        <v>0</v>
      </c>
      <c r="D3" s="265">
        <f>INDEX('Tracker Sheet'!$AX:$AX,41)</f>
        <v>0</v>
      </c>
      <c r="E3" s="265">
        <f>INDEX('Tracker Sheet'!$AY:$AY,41)</f>
        <v>0</v>
      </c>
      <c r="F3" s="283" t="str">
        <f ca="1">IF(E3=0,"",E3-TODAY())</f>
        <v/>
      </c>
      <c r="G3" s="297"/>
    </row>
    <row r="4" spans="1:8" hidden="1" x14ac:dyDescent="0.2">
      <c r="A4" s="272">
        <f>INDEX('Tracker Sheet'!$A:$A,42)</f>
        <v>0</v>
      </c>
      <c r="B4" s="272">
        <f>INDEX('Tracker Sheet'!$C:$C,42)</f>
        <v>0</v>
      </c>
      <c r="C4" s="272">
        <f>INDEX('Tracker Sheet'!$E:$E,42)</f>
        <v>0</v>
      </c>
      <c r="D4" s="265">
        <f>INDEX('Tracker Sheet'!$AX:$AX,42)</f>
        <v>0</v>
      </c>
      <c r="E4" s="265">
        <f>INDEX('Tracker Sheet'!$AY:$AY,42)</f>
        <v>0</v>
      </c>
      <c r="F4" s="316"/>
      <c r="G4" s="297"/>
      <c r="H4" s="342" t="str">
        <f ca="1">IF(D4=0,"",D4-TODAY()+356)</f>
        <v/>
      </c>
    </row>
    <row r="5" spans="1:8" hidden="1" x14ac:dyDescent="0.2">
      <c r="A5" s="272">
        <f>INDEX('Tracker Sheet'!$A:$A,20)</f>
        <v>0</v>
      </c>
      <c r="B5" s="272">
        <f>INDEX('Tracker Sheet'!$C:$C,20)</f>
        <v>0</v>
      </c>
      <c r="C5" s="272">
        <f>INDEX('Tracker Sheet'!$E:$E,20)</f>
        <v>0</v>
      </c>
      <c r="D5" s="265">
        <f>INDEX('Tracker Sheet'!$AX:$AX,20)</f>
        <v>0</v>
      </c>
      <c r="E5" s="265" t="str">
        <f>INDEX('Tracker Sheet'!$AY:$AY,20)</f>
        <v/>
      </c>
      <c r="F5" s="283" t="e">
        <f ca="1">IF(E5=0,"",E5-TODAY())</f>
        <v>#VALUE!</v>
      </c>
      <c r="G5" s="297" t="s">
        <v>241</v>
      </c>
    </row>
    <row r="6" spans="1:8" hidden="1" x14ac:dyDescent="0.2">
      <c r="A6" s="272">
        <f>INDEX('Tracker Sheet'!$A:$A,17)</f>
        <v>0</v>
      </c>
      <c r="B6" s="272">
        <f>INDEX('Tracker Sheet'!$C:$C,17)</f>
        <v>0</v>
      </c>
      <c r="C6" s="272">
        <f>INDEX('Tracker Sheet'!$E:$E,17)</f>
        <v>0</v>
      </c>
      <c r="D6" s="265">
        <f>INDEX('Tracker Sheet'!$AX:$AX,17)</f>
        <v>0</v>
      </c>
      <c r="E6" s="265" t="str">
        <f>INDEX('Tracker Sheet'!$AY:$AY,17)</f>
        <v/>
      </c>
      <c r="F6" s="283" t="e">
        <f ca="1">IF(E6=0,"",E6-TODAY())</f>
        <v>#VALUE!</v>
      </c>
      <c r="G6" s="297" t="s">
        <v>241</v>
      </c>
    </row>
    <row r="7" spans="1:8" hidden="1" x14ac:dyDescent="0.2">
      <c r="A7" s="272">
        <f>INDEX('Tracker Sheet'!$A:$A,15)</f>
        <v>0</v>
      </c>
      <c r="B7" s="272">
        <f>INDEX('Tracker Sheet'!$C:$C,15)</f>
        <v>0</v>
      </c>
      <c r="C7" s="272">
        <f>INDEX('Tracker Sheet'!$E:$E,15)</f>
        <v>0</v>
      </c>
      <c r="D7" s="265">
        <f>INDEX('Tracker Sheet'!$AX:$AX,15)</f>
        <v>0</v>
      </c>
      <c r="E7" s="265" t="str">
        <f>INDEX('Tracker Sheet'!$AY:$AY,15)</f>
        <v/>
      </c>
      <c r="F7" s="283" t="e">
        <f ca="1">IF(E7=0,"",E7-TODAY())</f>
        <v>#VALUE!</v>
      </c>
      <c r="G7" s="297" t="s">
        <v>241</v>
      </c>
      <c r="H7" s="342" t="str">
        <f ca="1">IF(D7=0,"",D7-TODAY()+356)</f>
        <v/>
      </c>
    </row>
    <row r="8" spans="1:8" hidden="1" x14ac:dyDescent="0.2">
      <c r="A8" s="272">
        <f>INDEX('Tracker Sheet'!$A:$A,13)</f>
        <v>0</v>
      </c>
      <c r="B8" s="272">
        <f>INDEX('Tracker Sheet'!$C:$C,13)</f>
        <v>0</v>
      </c>
      <c r="C8" s="272">
        <f>INDEX('Tracker Sheet'!$E:$E,13)</f>
        <v>0</v>
      </c>
      <c r="D8" s="265">
        <f>INDEX('Tracker Sheet'!$AX:$AX,13)</f>
        <v>0</v>
      </c>
      <c r="E8" s="265" t="str">
        <f>INDEX('Tracker Sheet'!$AY:$AY,13)</f>
        <v/>
      </c>
      <c r="F8" s="283" t="e">
        <f ca="1">IF(E8=0,"",E8-TODAY())</f>
        <v>#VALUE!</v>
      </c>
      <c r="G8" s="297" t="s">
        <v>241</v>
      </c>
      <c r="H8" s="342" t="str">
        <f ca="1">IF(D8=0,"",D8-TODAY()+356)</f>
        <v/>
      </c>
    </row>
    <row r="9" spans="1:8" hidden="1" x14ac:dyDescent="0.2">
      <c r="A9" s="272">
        <f>INDEX('Tracker Sheet'!$A:$A,14)</f>
        <v>0</v>
      </c>
      <c r="B9" s="272">
        <f>INDEX('Tracker Sheet'!$C:$C,14)</f>
        <v>0</v>
      </c>
      <c r="C9" s="272">
        <f>INDEX('Tracker Sheet'!$E:$E,14)</f>
        <v>0</v>
      </c>
      <c r="D9" s="265">
        <f>INDEX('Tracker Sheet'!$AX:$AX,14)</f>
        <v>0</v>
      </c>
      <c r="E9" s="265" t="str">
        <f>INDEX('Tracker Sheet'!$AY:$AY,14)</f>
        <v/>
      </c>
      <c r="F9" s="283" t="e">
        <f ca="1">IF(E9=0,"",E9-TODAY())</f>
        <v>#VALUE!</v>
      </c>
      <c r="G9" s="297" t="s">
        <v>241</v>
      </c>
    </row>
    <row r="10" spans="1:8" hidden="1" x14ac:dyDescent="0.2">
      <c r="A10" s="272">
        <f>INDEX('Tracker Sheet'!$A:$A,18)</f>
        <v>0</v>
      </c>
      <c r="B10" s="272">
        <f>INDEX('Tracker Sheet'!$C:$C,18)</f>
        <v>0</v>
      </c>
      <c r="C10" s="272">
        <f>INDEX('Tracker Sheet'!$E:$E,18)</f>
        <v>0</v>
      </c>
      <c r="D10" s="265">
        <f>INDEX('Tracker Sheet'!$AX:$AX,18)</f>
        <v>0</v>
      </c>
      <c r="E10" s="265" t="str">
        <f>INDEX('Tracker Sheet'!$AY:$AY,18)</f>
        <v/>
      </c>
      <c r="F10" s="283" t="e">
        <f ca="1">IF(E10=0,"",E10-TODAY())</f>
        <v>#VALUE!</v>
      </c>
      <c r="G10" s="297" t="s">
        <v>241</v>
      </c>
      <c r="H10" s="317"/>
    </row>
    <row r="11" spans="1:8" hidden="1" x14ac:dyDescent="0.2">
      <c r="A11" s="272">
        <f>INDEX('Tracker Sheet'!$A:$A,10)</f>
        <v>0</v>
      </c>
      <c r="B11" s="272">
        <f>INDEX('Tracker Sheet'!$C:$C,10)</f>
        <v>0</v>
      </c>
      <c r="C11" s="272">
        <f>INDEX('Tracker Sheet'!$E:$E,10)</f>
        <v>0</v>
      </c>
      <c r="D11" s="265">
        <f>INDEX('Tracker Sheet'!$AX:$AX,10)</f>
        <v>0</v>
      </c>
      <c r="E11" s="265" t="str">
        <f>INDEX('Tracker Sheet'!$AY:$AY,10)</f>
        <v/>
      </c>
      <c r="F11" s="283" t="e">
        <f ca="1">IF(E11=0,"",E11-TODAY())</f>
        <v>#VALUE!</v>
      </c>
      <c r="G11" s="297" t="s">
        <v>241</v>
      </c>
    </row>
    <row r="12" spans="1:8" hidden="1" x14ac:dyDescent="0.2">
      <c r="A12" s="272">
        <f>INDEX('Tracker Sheet'!$A:$A,8)</f>
        <v>0</v>
      </c>
      <c r="B12" s="272">
        <f>INDEX('Tracker Sheet'!$C:$C,8)</f>
        <v>0</v>
      </c>
      <c r="C12" s="272">
        <f>INDEX('Tracker Sheet'!$E:$E,8)</f>
        <v>0</v>
      </c>
      <c r="D12" s="265">
        <f>INDEX('Tracker Sheet'!$AX:$AX,8)</f>
        <v>0</v>
      </c>
      <c r="E12" s="265" t="str">
        <f>INDEX('Tracker Sheet'!$AY:$AY,8)</f>
        <v/>
      </c>
      <c r="F12" s="283" t="e">
        <f ca="1">IF(E12=0,"",E12-TODAY())</f>
        <v>#VALUE!</v>
      </c>
      <c r="G12" s="297" t="s">
        <v>241</v>
      </c>
    </row>
    <row r="13" spans="1:8" hidden="1" x14ac:dyDescent="0.2">
      <c r="A13" s="272">
        <f>INDEX('Tracker Sheet'!$A:$A,22)</f>
        <v>0</v>
      </c>
      <c r="B13" s="272">
        <f>INDEX('Tracker Sheet'!$C:$C,22)</f>
        <v>0</v>
      </c>
      <c r="C13" s="272">
        <f>INDEX('Tracker Sheet'!$E:$E,22)</f>
        <v>0</v>
      </c>
      <c r="D13" s="265">
        <f>INDEX('Tracker Sheet'!$AX:$AX,22)</f>
        <v>0</v>
      </c>
      <c r="E13" s="265" t="str">
        <f>INDEX('Tracker Sheet'!$AY:$AY,22)</f>
        <v/>
      </c>
      <c r="F13" s="283" t="e">
        <f ca="1">IF(E13=0,"",E13-TODAY())</f>
        <v>#VALUE!</v>
      </c>
      <c r="G13" s="297" t="s">
        <v>241</v>
      </c>
    </row>
    <row r="14" spans="1:8" hidden="1" x14ac:dyDescent="0.2">
      <c r="A14" s="272">
        <f>INDEX('Tracker Sheet'!$A:$A,19)</f>
        <v>0</v>
      </c>
      <c r="B14" s="272">
        <f>INDEX('Tracker Sheet'!$C:$C,19)</f>
        <v>0</v>
      </c>
      <c r="C14" s="272">
        <f>INDEX('Tracker Sheet'!$E:$E,19)</f>
        <v>0</v>
      </c>
      <c r="D14" s="265">
        <f>INDEX('Tracker Sheet'!$AX:$AX,19)</f>
        <v>0</v>
      </c>
      <c r="E14" s="265" t="str">
        <f>INDEX('Tracker Sheet'!$AY:$AY,19)</f>
        <v/>
      </c>
      <c r="F14" s="283" t="e">
        <f ca="1">IF(E14=0,"",E14-TODAY())</f>
        <v>#VALUE!</v>
      </c>
      <c r="G14" s="297" t="s">
        <v>241</v>
      </c>
    </row>
    <row r="15" spans="1:8" hidden="1" x14ac:dyDescent="0.2">
      <c r="A15" s="272">
        <f>INDEX('Tracker Sheet'!$A:$A,23)</f>
        <v>0</v>
      </c>
      <c r="B15" s="272">
        <f>INDEX('Tracker Sheet'!$C:$C,23)</f>
        <v>0</v>
      </c>
      <c r="C15" s="272">
        <f>INDEX('Tracker Sheet'!$E:$E,23)</f>
        <v>0</v>
      </c>
      <c r="D15" s="265">
        <f>INDEX('Tracker Sheet'!$AX:$AX,23)</f>
        <v>0</v>
      </c>
      <c r="E15" s="265" t="str">
        <f>INDEX('Tracker Sheet'!$AY:$AY,23)</f>
        <v/>
      </c>
      <c r="F15" s="283" t="e">
        <f ca="1">IF(E15=0,"",E15-TODAY())</f>
        <v>#VALUE!</v>
      </c>
      <c r="G15" s="297" t="s">
        <v>241</v>
      </c>
    </row>
    <row r="16" spans="1:8" hidden="1" x14ac:dyDescent="0.2">
      <c r="A16" s="272">
        <f>INDEX('Tracker Sheet'!$A:$A,24)</f>
        <v>0</v>
      </c>
      <c r="B16" s="272">
        <f>INDEX('Tracker Sheet'!$C:$C,24)</f>
        <v>0</v>
      </c>
      <c r="C16" s="272">
        <f>INDEX('Tracker Sheet'!$E:$E,24)</f>
        <v>0</v>
      </c>
      <c r="D16" s="265">
        <f>INDEX('Tracker Sheet'!$AX:$AX,24)</f>
        <v>0</v>
      </c>
      <c r="E16" s="265" t="str">
        <f>INDEX('Tracker Sheet'!$AY:$AY,24)</f>
        <v/>
      </c>
      <c r="F16" s="283" t="e">
        <f ca="1">IF(E16=0,"",E16-TODAY())</f>
        <v>#VALUE!</v>
      </c>
      <c r="G16" s="297" t="s">
        <v>241</v>
      </c>
    </row>
    <row r="17" spans="1:8" hidden="1" x14ac:dyDescent="0.2">
      <c r="A17" s="272">
        <f>INDEX('Tracker Sheet'!$A:$A,16)</f>
        <v>0</v>
      </c>
      <c r="B17" s="272">
        <f>INDEX('Tracker Sheet'!$C:$C,16)</f>
        <v>0</v>
      </c>
      <c r="C17" s="272">
        <f>INDEX('Tracker Sheet'!$E:$E,16)</f>
        <v>0</v>
      </c>
      <c r="D17" s="265">
        <f>INDEX('Tracker Sheet'!$AX:$AX,16)</f>
        <v>0</v>
      </c>
      <c r="E17" s="265" t="str">
        <f>INDEX('Tracker Sheet'!$AY:$AY,16)</f>
        <v/>
      </c>
      <c r="F17" s="283" t="e">
        <f ca="1">IF(E17=0,"",E17-TODAY())</f>
        <v>#VALUE!</v>
      </c>
      <c r="G17" s="297" t="s">
        <v>241</v>
      </c>
    </row>
    <row r="18" spans="1:8" hidden="1" x14ac:dyDescent="0.2">
      <c r="A18" s="272">
        <f>INDEX('Tracker Sheet'!$A:$A,3)</f>
        <v>0</v>
      </c>
      <c r="B18" s="272">
        <f>INDEX('Tracker Sheet'!$C:$C,3)</f>
        <v>0</v>
      </c>
      <c r="C18" s="272">
        <f>INDEX('Tracker Sheet'!$E:$E,3)</f>
        <v>0</v>
      </c>
      <c r="D18" s="265">
        <f>INDEX('Tracker Sheet'!$AX:$AX,3)</f>
        <v>0</v>
      </c>
      <c r="E18" s="265" t="str">
        <f>INDEX('Tracker Sheet'!$AY:$AY,3)</f>
        <v/>
      </c>
      <c r="F18" s="283" t="e">
        <f ca="1">IF(E18=0,"",E18-TODAY())</f>
        <v>#VALUE!</v>
      </c>
      <c r="G18" s="297"/>
    </row>
    <row r="19" spans="1:8" hidden="1" x14ac:dyDescent="0.2">
      <c r="A19" s="272">
        <f>INDEX('Tracker Sheet'!$A:$A,4)</f>
        <v>0</v>
      </c>
      <c r="B19" s="272">
        <f>INDEX('Tracker Sheet'!$C:$C,4)</f>
        <v>0</v>
      </c>
      <c r="C19" s="272">
        <f>INDEX('Tracker Sheet'!$E:$E,4)</f>
        <v>0</v>
      </c>
      <c r="D19" s="265">
        <f>INDEX('Tracker Sheet'!$AX:$AX,4)</f>
        <v>0</v>
      </c>
      <c r="E19" s="265" t="str">
        <f>INDEX('Tracker Sheet'!$AY:$AY,4)</f>
        <v/>
      </c>
      <c r="F19" s="283" t="e">
        <f ca="1">IF(E19=0,"",E19-TODAY())</f>
        <v>#VALUE!</v>
      </c>
      <c r="G19" s="297" t="s">
        <v>241</v>
      </c>
    </row>
    <row r="20" spans="1:8" hidden="1" x14ac:dyDescent="0.2">
      <c r="A20" s="272">
        <f>INDEX('Tracker Sheet'!$A:$A,5)</f>
        <v>0</v>
      </c>
      <c r="B20" s="272">
        <f>INDEX('Tracker Sheet'!$C:$C,5)</f>
        <v>0</v>
      </c>
      <c r="C20" s="272">
        <f>INDEX('Tracker Sheet'!$E:$E,5)</f>
        <v>0</v>
      </c>
      <c r="D20" s="265">
        <f>INDEX('Tracker Sheet'!$AX:$AX,5)</f>
        <v>0</v>
      </c>
      <c r="E20" s="265" t="str">
        <f>INDEX('Tracker Sheet'!$AY:$AY,5)</f>
        <v/>
      </c>
      <c r="F20" s="283" t="e">
        <f ca="1">IF(E20=0,"",E20-TODAY())</f>
        <v>#VALUE!</v>
      </c>
      <c r="G20" s="297" t="s">
        <v>241</v>
      </c>
      <c r="H20" s="317"/>
    </row>
    <row r="21" spans="1:8" hidden="1" x14ac:dyDescent="0.2">
      <c r="A21" s="272">
        <f>INDEX('Tracker Sheet'!$A:$A,6)</f>
        <v>0</v>
      </c>
      <c r="B21" s="272">
        <f>INDEX('Tracker Sheet'!$C:$C,6)</f>
        <v>0</v>
      </c>
      <c r="C21" s="272">
        <f>INDEX('Tracker Sheet'!$E:$E,6)</f>
        <v>0</v>
      </c>
      <c r="D21" s="265">
        <f>INDEX('Tracker Sheet'!$AX:$AX,6)</f>
        <v>0</v>
      </c>
      <c r="E21" s="265" t="str">
        <f>INDEX('Tracker Sheet'!$AY:$AY,6)</f>
        <v/>
      </c>
      <c r="F21" s="283" t="e">
        <f ca="1">IF(E21=0,"",E21-TODAY())</f>
        <v>#VALUE!</v>
      </c>
      <c r="G21" s="297" t="s">
        <v>241</v>
      </c>
      <c r="H21" s="317"/>
    </row>
    <row r="22" spans="1:8" hidden="1" x14ac:dyDescent="0.2">
      <c r="A22" s="272">
        <f>INDEX('Tracker Sheet'!$A:$A,7)</f>
        <v>0</v>
      </c>
      <c r="B22" s="272">
        <f>INDEX('Tracker Sheet'!$C:$C,7)</f>
        <v>0</v>
      </c>
      <c r="C22" s="272">
        <f>INDEX('Tracker Sheet'!$E:$E,7)</f>
        <v>0</v>
      </c>
      <c r="D22" s="265">
        <f>INDEX('Tracker Sheet'!$AX:$AX,7)</f>
        <v>0</v>
      </c>
      <c r="E22" s="265" t="str">
        <f>INDEX('Tracker Sheet'!$AY:$AY,7)</f>
        <v/>
      </c>
      <c r="F22" s="283" t="e">
        <f ca="1">IF(E22=0,"",E22-TODAY())</f>
        <v>#VALUE!</v>
      </c>
      <c r="G22" s="297" t="s">
        <v>241</v>
      </c>
      <c r="H22" s="102" t="str">
        <f ca="1">IF(D22=0,"",D22-TODAY()+356)</f>
        <v/>
      </c>
    </row>
    <row r="23" spans="1:8" hidden="1" x14ac:dyDescent="0.2">
      <c r="A23" s="272">
        <f>INDEX('Tracker Sheet'!$A:$A,9)</f>
        <v>0</v>
      </c>
      <c r="B23" s="272">
        <f>INDEX('Tracker Sheet'!$C:$C,9)</f>
        <v>0</v>
      </c>
      <c r="C23" s="272">
        <f>INDEX('Tracker Sheet'!$E:$E,9)</f>
        <v>0</v>
      </c>
      <c r="D23" s="265">
        <f>INDEX('Tracker Sheet'!$AX:$AX,9)</f>
        <v>0</v>
      </c>
      <c r="E23" s="265" t="str">
        <f>INDEX('Tracker Sheet'!$AY:$AY,9)</f>
        <v/>
      </c>
      <c r="F23" s="283" t="e">
        <f ca="1">IF(E23=0,"",E23-TODAY())</f>
        <v>#VALUE!</v>
      </c>
      <c r="G23" s="297" t="s">
        <v>241</v>
      </c>
      <c r="H23" s="317"/>
    </row>
    <row r="24" spans="1:8" hidden="1" x14ac:dyDescent="0.2">
      <c r="A24" s="272">
        <f>INDEX('Tracker Sheet'!$A:$A,11)</f>
        <v>0</v>
      </c>
      <c r="B24" s="272">
        <f>INDEX('Tracker Sheet'!$C:$C,11)</f>
        <v>0</v>
      </c>
      <c r="C24" s="272">
        <f>INDEX('Tracker Sheet'!$E:$E,11)</f>
        <v>0</v>
      </c>
      <c r="D24" s="265">
        <f>INDEX('Tracker Sheet'!$AX:$AX,11)</f>
        <v>0</v>
      </c>
      <c r="E24" s="265" t="str">
        <f>INDEX('Tracker Sheet'!$AY:$AY,11)</f>
        <v/>
      </c>
      <c r="F24" s="283" t="e">
        <f ca="1">IF(E24=0,"",E24-TODAY())</f>
        <v>#VALUE!</v>
      </c>
      <c r="G24" s="297" t="s">
        <v>241</v>
      </c>
      <c r="H24" s="102" t="str">
        <f ca="1">IF(D24=0,"",D24-TODAY()+356)</f>
        <v/>
      </c>
    </row>
    <row r="25" spans="1:8" hidden="1" x14ac:dyDescent="0.2">
      <c r="A25" s="272">
        <f>INDEX('Tracker Sheet'!$A:$A,12)</f>
        <v>0</v>
      </c>
      <c r="B25" s="272">
        <f>INDEX('Tracker Sheet'!$C:$C,12)</f>
        <v>0</v>
      </c>
      <c r="C25" s="272">
        <f>INDEX('Tracker Sheet'!$E:$E,12)</f>
        <v>0</v>
      </c>
      <c r="D25" s="265">
        <f>INDEX('Tracker Sheet'!$AX:$AX,12)</f>
        <v>0</v>
      </c>
      <c r="E25" s="265" t="str">
        <f>INDEX('Tracker Sheet'!$AY:$AY,12)</f>
        <v/>
      </c>
      <c r="F25" s="283" t="e">
        <f ca="1">IF(E25=0,"",E25-TODAY())</f>
        <v>#VALUE!</v>
      </c>
      <c r="G25" s="297" t="s">
        <v>241</v>
      </c>
      <c r="H25" s="102" t="str">
        <f ca="1">IF(D25=0,"",D25-TODAY()+356)</f>
        <v/>
      </c>
    </row>
    <row r="26" spans="1:8" hidden="1" x14ac:dyDescent="0.2">
      <c r="A26" s="272">
        <f>INDEX('Tracker Sheet'!$A:$A,21)</f>
        <v>0</v>
      </c>
      <c r="B26" s="272">
        <f>INDEX('Tracker Sheet'!$C:$C,21)</f>
        <v>0</v>
      </c>
      <c r="C26" s="272">
        <f>INDEX('Tracker Sheet'!$E:$E,21)</f>
        <v>0</v>
      </c>
      <c r="D26" s="265">
        <f>INDEX('Tracker Sheet'!$AX:$AX,21)</f>
        <v>0</v>
      </c>
      <c r="E26" s="265" t="str">
        <f>INDEX('Tracker Sheet'!$AY:$AY,21)</f>
        <v/>
      </c>
      <c r="F26" s="283" t="e">
        <f ca="1">IF(E26=0,"",E26-TODAY())</f>
        <v>#VALUE!</v>
      </c>
      <c r="G26" s="297"/>
      <c r="H26" s="102" t="str">
        <f ca="1">IF(D26=0,"",D26-TODAY()+356)</f>
        <v/>
      </c>
    </row>
    <row r="27" spans="1:8" hidden="1" x14ac:dyDescent="0.2">
      <c r="A27" s="272">
        <f>INDEX('Tracker Sheet'!$A:$A,25)</f>
        <v>0</v>
      </c>
      <c r="B27" s="272">
        <f>INDEX('Tracker Sheet'!$C:$C,25)</f>
        <v>0</v>
      </c>
      <c r="C27" s="272">
        <f>INDEX('Tracker Sheet'!$E:$E,25)</f>
        <v>0</v>
      </c>
      <c r="D27" s="265">
        <f>INDEX('Tracker Sheet'!$AX:$AX,25)</f>
        <v>0</v>
      </c>
      <c r="E27" s="265" t="str">
        <f>INDEX('Tracker Sheet'!$AY:$AY,25)</f>
        <v/>
      </c>
      <c r="F27" s="283" t="e">
        <f ca="1">IF(E27=0,"",E27-TODAY())</f>
        <v>#VALUE!</v>
      </c>
      <c r="G27" s="297"/>
      <c r="H27" s="342" t="str">
        <f ca="1">IF(D27=0,"",D27-TODAY()+356)</f>
        <v/>
      </c>
    </row>
    <row r="28" spans="1:8" hidden="1" x14ac:dyDescent="0.2">
      <c r="A28" s="272">
        <f>INDEX('Tracker Sheet'!$A:$A,26)</f>
        <v>0</v>
      </c>
      <c r="B28" s="272">
        <f>INDEX('Tracker Sheet'!$C:$C,26)</f>
        <v>0</v>
      </c>
      <c r="C28" s="272">
        <f>INDEX('Tracker Sheet'!$E:$E,26)</f>
        <v>0</v>
      </c>
      <c r="D28" s="265">
        <f>INDEX('Tracker Sheet'!$AX:$AX,26)</f>
        <v>0</v>
      </c>
      <c r="E28" s="265" t="str">
        <f>INDEX('Tracker Sheet'!$AY:$AY,26)</f>
        <v/>
      </c>
      <c r="F28" s="283" t="e">
        <f ca="1">IF(E28=0,"",E28-TODAY())</f>
        <v>#VALUE!</v>
      </c>
      <c r="G28" s="297"/>
    </row>
    <row r="29" spans="1:8" hidden="1" x14ac:dyDescent="0.2">
      <c r="A29" s="272">
        <f>INDEX('Tracker Sheet'!$A:$A,27)</f>
        <v>0</v>
      </c>
      <c r="B29" s="272">
        <f>INDEX('Tracker Sheet'!$C:$C,27)</f>
        <v>0</v>
      </c>
      <c r="C29" s="272">
        <f>INDEX('Tracker Sheet'!$E:$E,27)</f>
        <v>0</v>
      </c>
      <c r="D29" s="265">
        <f>INDEX('Tracker Sheet'!$AX:$AX,27)</f>
        <v>0</v>
      </c>
      <c r="E29" s="265" t="str">
        <f>INDEX('Tracker Sheet'!$AY:$AY,27)</f>
        <v/>
      </c>
      <c r="F29" s="283" t="e">
        <f ca="1">IF(E29=0,"",E29-TODAY())</f>
        <v>#VALUE!</v>
      </c>
      <c r="G29" s="297"/>
    </row>
    <row r="30" spans="1:8" hidden="1" x14ac:dyDescent="0.2">
      <c r="A30" s="272">
        <f>INDEX('Tracker Sheet'!$A:$A,28)</f>
        <v>0</v>
      </c>
      <c r="B30" s="272">
        <f>INDEX('Tracker Sheet'!$C:$C,28)</f>
        <v>0</v>
      </c>
      <c r="C30" s="272">
        <f>INDEX('Tracker Sheet'!$E:$E,28)</f>
        <v>0</v>
      </c>
      <c r="D30" s="265">
        <f>INDEX('Tracker Sheet'!$AX:$AX,28)</f>
        <v>0</v>
      </c>
      <c r="E30" s="265" t="str">
        <f>INDEX('Tracker Sheet'!$AY:$AY,28)</f>
        <v/>
      </c>
      <c r="F30" s="283" t="e">
        <f ca="1">IF(E30=0,"",E30-TODAY())</f>
        <v>#VALUE!</v>
      </c>
      <c r="G30" s="297"/>
    </row>
    <row r="31" spans="1:8" hidden="1" x14ac:dyDescent="0.2">
      <c r="A31" s="272">
        <f>INDEX('Tracker Sheet'!$A:$A,29)</f>
        <v>0</v>
      </c>
      <c r="B31" s="272">
        <f>INDEX('Tracker Sheet'!$C:$C,29)</f>
        <v>0</v>
      </c>
      <c r="C31" s="272">
        <f>INDEX('Tracker Sheet'!$E:$E,29)</f>
        <v>0</v>
      </c>
      <c r="D31" s="265">
        <f>INDEX('Tracker Sheet'!$AX:$AX,29)</f>
        <v>0</v>
      </c>
      <c r="E31" s="265" t="str">
        <f>INDEX('Tracker Sheet'!$AY:$AY,29)</f>
        <v/>
      </c>
      <c r="F31" s="283" t="e">
        <f ca="1">IF(E31=0,"",E31-TODAY())</f>
        <v>#VALUE!</v>
      </c>
      <c r="G31" s="297"/>
    </row>
    <row r="32" spans="1:8" hidden="1" x14ac:dyDescent="0.2">
      <c r="A32" s="272">
        <f>INDEX('Tracker Sheet'!$A:$A,30)</f>
        <v>0</v>
      </c>
      <c r="B32" s="272">
        <f>INDEX('Tracker Sheet'!$C:$C,30)</f>
        <v>0</v>
      </c>
      <c r="C32" s="272">
        <f>INDEX('Tracker Sheet'!$E:$E,30)</f>
        <v>0</v>
      </c>
      <c r="D32" s="265">
        <f>INDEX('Tracker Sheet'!$AX:$AX,30)</f>
        <v>0</v>
      </c>
      <c r="E32" s="265" t="str">
        <f>INDEX('Tracker Sheet'!$AY:$AY,30)</f>
        <v/>
      </c>
      <c r="F32" s="283" t="e">
        <f ca="1">IF(E32=0,"",E32-TODAY())</f>
        <v>#VALUE!</v>
      </c>
      <c r="G32" s="297"/>
    </row>
    <row r="33" spans="1:7" hidden="1" x14ac:dyDescent="0.2">
      <c r="A33" s="272">
        <f>INDEX('Tracker Sheet'!$A:$A,31)</f>
        <v>0</v>
      </c>
      <c r="B33" s="272">
        <f>INDEX('Tracker Sheet'!$C:$C,31)</f>
        <v>0</v>
      </c>
      <c r="C33" s="272">
        <f>INDEX('Tracker Sheet'!$E:$E,31)</f>
        <v>0</v>
      </c>
      <c r="D33" s="265">
        <f>INDEX('Tracker Sheet'!$AX:$AX,31)</f>
        <v>0</v>
      </c>
      <c r="E33" s="265" t="str">
        <f>INDEX('Tracker Sheet'!$AY:$AY,31)</f>
        <v/>
      </c>
      <c r="F33" s="283" t="e">
        <f ca="1">IF(E33=0,"",E33-TODAY())</f>
        <v>#VALUE!</v>
      </c>
      <c r="G33" s="297"/>
    </row>
    <row r="34" spans="1:7" hidden="1" x14ac:dyDescent="0.2">
      <c r="A34" s="272">
        <f>INDEX('Tracker Sheet'!$A:$A,32)</f>
        <v>0</v>
      </c>
      <c r="B34" s="272">
        <f>INDEX('Tracker Sheet'!$C:$C,32)</f>
        <v>0</v>
      </c>
      <c r="C34" s="272">
        <f>INDEX('Tracker Sheet'!$E:$E,32)</f>
        <v>0</v>
      </c>
      <c r="D34" s="265">
        <f>INDEX('Tracker Sheet'!$AX:$AX,32)</f>
        <v>0</v>
      </c>
      <c r="E34" s="265" t="str">
        <f>INDEX('Tracker Sheet'!$AY:$AY,32)</f>
        <v/>
      </c>
      <c r="F34" s="283" t="e">
        <f ca="1">IF(E34=0,"",E34-TODAY())</f>
        <v>#VALUE!</v>
      </c>
      <c r="G34" s="297"/>
    </row>
    <row r="35" spans="1:7" hidden="1" x14ac:dyDescent="0.2">
      <c r="A35" s="272">
        <f>INDEX('Tracker Sheet'!$A:$A,33)</f>
        <v>0</v>
      </c>
      <c r="B35" s="272">
        <f>INDEX('Tracker Sheet'!$C:$C,33)</f>
        <v>0</v>
      </c>
      <c r="C35" s="272">
        <f>INDEX('Tracker Sheet'!$E:$E,33)</f>
        <v>0</v>
      </c>
      <c r="D35" s="265">
        <f>INDEX('Tracker Sheet'!$AX:$AX,33)</f>
        <v>0</v>
      </c>
      <c r="E35" s="265" t="str">
        <f>INDEX('Tracker Sheet'!$AY:$AY,33)</f>
        <v/>
      </c>
      <c r="F35" s="283" t="e">
        <f ca="1">IF(E35=0,"",E35-TODAY())</f>
        <v>#VALUE!</v>
      </c>
      <c r="G35" s="297"/>
    </row>
    <row r="36" spans="1:7" hidden="1" x14ac:dyDescent="0.2">
      <c r="A36" s="272">
        <f>INDEX('Tracker Sheet'!$A:$A,34)</f>
        <v>0</v>
      </c>
      <c r="B36" s="272">
        <f>INDEX('Tracker Sheet'!$C:$C,34)</f>
        <v>0</v>
      </c>
      <c r="C36" s="272">
        <f>INDEX('Tracker Sheet'!$E:$E,34)</f>
        <v>0</v>
      </c>
      <c r="D36" s="265">
        <f>INDEX('Tracker Sheet'!$AX:$AX,34)</f>
        <v>0</v>
      </c>
      <c r="E36" s="265" t="str">
        <f>INDEX('Tracker Sheet'!$AY:$AY,34)</f>
        <v/>
      </c>
      <c r="F36" s="283" t="e">
        <f ca="1">IF(E36=0,"",E36-TODAY())</f>
        <v>#VALUE!</v>
      </c>
      <c r="G36" s="297"/>
    </row>
    <row r="37" spans="1:7" hidden="1" x14ac:dyDescent="0.2">
      <c r="A37" s="272">
        <f>INDEX('Tracker Sheet'!$A:$A,35)</f>
        <v>0</v>
      </c>
      <c r="B37" s="272">
        <f>INDEX('Tracker Sheet'!$C:$C,35)</f>
        <v>0</v>
      </c>
      <c r="C37" s="272">
        <f>INDEX('Tracker Sheet'!$E:$E,35)</f>
        <v>0</v>
      </c>
      <c r="D37" s="265">
        <f>INDEX('Tracker Sheet'!$AX:$AX,35)</f>
        <v>0</v>
      </c>
      <c r="E37" s="265" t="str">
        <f>INDEX('Tracker Sheet'!$AY:$AY,35)</f>
        <v/>
      </c>
      <c r="F37" s="283" t="e">
        <f ca="1">IF(E37=0,"",E37-TODAY())</f>
        <v>#VALUE!</v>
      </c>
      <c r="G37" s="297"/>
    </row>
    <row r="38" spans="1:7" hidden="1" x14ac:dyDescent="0.2">
      <c r="A38" s="272">
        <f>INDEX('Tracker Sheet'!$A:$A,36)</f>
        <v>0</v>
      </c>
      <c r="B38" s="272">
        <f>INDEX('Tracker Sheet'!$C:$C,36)</f>
        <v>0</v>
      </c>
      <c r="C38" s="272">
        <f>INDEX('Tracker Sheet'!$E:$E,36)</f>
        <v>0</v>
      </c>
      <c r="D38" s="265">
        <f>INDEX('Tracker Sheet'!$AX:$AX,36)</f>
        <v>0</v>
      </c>
      <c r="E38" s="265" t="str">
        <f>INDEX('Tracker Sheet'!$AY:$AY,36)</f>
        <v/>
      </c>
      <c r="F38" s="283" t="e">
        <f ca="1">IF(E38=0,"",E38-TODAY())</f>
        <v>#VALUE!</v>
      </c>
      <c r="G38" s="297"/>
    </row>
    <row r="39" spans="1:7" hidden="1" x14ac:dyDescent="0.2">
      <c r="A39" s="272">
        <f>INDEX('Tracker Sheet'!$A:$A,37)</f>
        <v>0</v>
      </c>
      <c r="B39" s="272">
        <f>INDEX('Tracker Sheet'!$C:$C,37)</f>
        <v>0</v>
      </c>
      <c r="C39" s="272">
        <f>INDEX('Tracker Sheet'!$E:$E,37)</f>
        <v>0</v>
      </c>
      <c r="D39" s="265">
        <f>INDEX('Tracker Sheet'!$AX:$AX,37)</f>
        <v>0</v>
      </c>
      <c r="E39" s="265" t="str">
        <f>INDEX('Tracker Sheet'!$AY:$AY,37)</f>
        <v/>
      </c>
      <c r="F39" s="283" t="e">
        <f ca="1">IF(E39=0,"",E39-TODAY())</f>
        <v>#VALUE!</v>
      </c>
      <c r="G39" s="297"/>
    </row>
    <row r="40" spans="1:7" hidden="1" x14ac:dyDescent="0.2">
      <c r="A40" s="272">
        <f>INDEX('Tracker Sheet'!$A:$A,38)</f>
        <v>0</v>
      </c>
      <c r="B40" s="272">
        <f>INDEX('Tracker Sheet'!$C:$C,38)</f>
        <v>0</v>
      </c>
      <c r="C40" s="272">
        <f>INDEX('Tracker Sheet'!$E:$E,38)</f>
        <v>0</v>
      </c>
      <c r="D40" s="265">
        <f>INDEX('Tracker Sheet'!$AX:$AX,38)</f>
        <v>0</v>
      </c>
      <c r="E40" s="265" t="str">
        <f>INDEX('Tracker Sheet'!$AY:$AY,38)</f>
        <v/>
      </c>
      <c r="F40" s="283" t="e">
        <f ca="1">IF(E40=0,"",E40-TODAY())</f>
        <v>#VALUE!</v>
      </c>
      <c r="G40" s="297"/>
    </row>
    <row r="41" spans="1:7" hidden="1" x14ac:dyDescent="0.2">
      <c r="A41" s="272">
        <f>INDEX('Tracker Sheet'!$A:$A,39)</f>
        <v>0</v>
      </c>
      <c r="B41" s="272">
        <f>INDEX('Tracker Sheet'!$C:$C,39)</f>
        <v>0</v>
      </c>
      <c r="C41" s="272">
        <f>INDEX('Tracker Sheet'!$E:$E,39)</f>
        <v>0</v>
      </c>
      <c r="D41" s="265">
        <f>INDEX('Tracker Sheet'!$AX:$AX,39)</f>
        <v>0</v>
      </c>
      <c r="E41" s="265" t="str">
        <f>INDEX('Tracker Sheet'!$AY:$AY,39)</f>
        <v/>
      </c>
      <c r="F41" s="283" t="e">
        <f ca="1">IF(E41=0,"",E41-TODAY())</f>
        <v>#VALUE!</v>
      </c>
      <c r="G41" s="297"/>
    </row>
    <row r="42" spans="1:7" x14ac:dyDescent="0.2">
      <c r="A42" s="268"/>
      <c r="B42" s="284"/>
      <c r="C42" s="259"/>
      <c r="D42" s="259"/>
      <c r="E42" s="259"/>
      <c r="F42" s="316"/>
      <c r="G42" s="297"/>
    </row>
    <row r="43" spans="1:7" x14ac:dyDescent="0.2">
      <c r="A43" s="268"/>
      <c r="B43" s="284"/>
      <c r="C43" s="259"/>
      <c r="D43" s="259"/>
      <c r="E43" s="259"/>
      <c r="F43" s="316"/>
      <c r="G43" s="297"/>
    </row>
    <row r="44" spans="1:7" x14ac:dyDescent="0.2">
      <c r="A44" s="268"/>
      <c r="B44" s="284"/>
      <c r="C44" s="259"/>
      <c r="D44" s="259"/>
      <c r="E44" s="259"/>
      <c r="F44" s="316"/>
      <c r="G44" s="297"/>
    </row>
    <row r="45" spans="1:7" x14ac:dyDescent="0.2">
      <c r="A45" s="268"/>
      <c r="B45" s="284"/>
      <c r="C45" s="259"/>
      <c r="D45" s="259"/>
      <c r="E45" s="259"/>
      <c r="F45" s="316"/>
      <c r="G45" s="297"/>
    </row>
    <row r="46" spans="1:7" x14ac:dyDescent="0.2">
      <c r="A46" s="268"/>
      <c r="B46" s="284"/>
      <c r="C46" s="259"/>
      <c r="D46" s="259"/>
      <c r="E46" s="259"/>
      <c r="F46" s="316"/>
      <c r="G46" s="297"/>
    </row>
    <row r="47" spans="1:7" x14ac:dyDescent="0.2">
      <c r="A47" s="268"/>
      <c r="B47" s="284"/>
      <c r="C47" s="259"/>
      <c r="D47" s="259"/>
      <c r="E47" s="259"/>
      <c r="F47" s="316"/>
      <c r="G47" s="297"/>
    </row>
    <row r="48" spans="1:7" x14ac:dyDescent="0.2">
      <c r="A48" s="268"/>
      <c r="B48" s="284"/>
      <c r="C48" s="259"/>
      <c r="D48" s="259"/>
      <c r="E48" s="259"/>
      <c r="F48" s="316"/>
      <c r="G48" s="297"/>
    </row>
    <row r="49" spans="1:7" x14ac:dyDescent="0.2">
      <c r="A49" s="268"/>
      <c r="B49" s="284"/>
      <c r="C49" s="259"/>
      <c r="D49" s="259"/>
      <c r="E49" s="259"/>
      <c r="F49" s="316"/>
      <c r="G49" s="297"/>
    </row>
    <row r="50" spans="1:7" x14ac:dyDescent="0.2">
      <c r="A50" s="268"/>
      <c r="B50" s="284"/>
      <c r="C50" s="259"/>
      <c r="D50" s="259"/>
      <c r="E50" s="259"/>
      <c r="F50" s="316"/>
      <c r="G50" s="297"/>
    </row>
    <row r="51" spans="1:7" x14ac:dyDescent="0.2">
      <c r="A51" s="268"/>
      <c r="B51" s="284"/>
      <c r="C51" s="259"/>
      <c r="D51" s="259"/>
      <c r="E51" s="259"/>
      <c r="F51" s="316"/>
      <c r="G51" s="297"/>
    </row>
    <row r="52" spans="1:7" x14ac:dyDescent="0.2">
      <c r="A52" s="268"/>
      <c r="B52" s="284"/>
      <c r="C52" s="259"/>
      <c r="D52" s="259"/>
      <c r="E52" s="259"/>
      <c r="F52" s="316"/>
      <c r="G52" s="297"/>
    </row>
    <row r="53" spans="1:7" x14ac:dyDescent="0.2">
      <c r="A53" s="268"/>
      <c r="B53" s="284"/>
      <c r="C53" s="259"/>
      <c r="D53" s="259"/>
      <c r="E53" s="259"/>
      <c r="F53" s="316"/>
      <c r="G53" s="297"/>
    </row>
    <row r="54" spans="1:7" x14ac:dyDescent="0.2">
      <c r="A54" s="268"/>
      <c r="B54" s="284"/>
      <c r="C54" s="259"/>
      <c r="D54" s="259"/>
      <c r="E54" s="259"/>
      <c r="F54" s="316"/>
      <c r="G54" s="297"/>
    </row>
    <row r="55" spans="1:7" x14ac:dyDescent="0.2">
      <c r="A55" s="268"/>
      <c r="B55" s="284"/>
      <c r="C55" s="259"/>
      <c r="D55" s="259"/>
      <c r="E55" s="259"/>
      <c r="F55" s="316"/>
      <c r="G55" s="297"/>
    </row>
    <row r="56" spans="1:7" x14ac:dyDescent="0.2">
      <c r="A56" s="268"/>
      <c r="B56" s="284"/>
      <c r="C56" s="259"/>
      <c r="D56" s="259"/>
      <c r="E56" s="259"/>
      <c r="F56" s="316"/>
      <c r="G56" s="297"/>
    </row>
    <row r="57" spans="1:7" x14ac:dyDescent="0.2">
      <c r="A57" s="268"/>
      <c r="B57" s="284"/>
      <c r="C57" s="259"/>
      <c r="D57" s="259"/>
      <c r="E57" s="259"/>
      <c r="F57" s="316"/>
      <c r="G57" s="297"/>
    </row>
    <row r="58" spans="1:7" x14ac:dyDescent="0.2">
      <c r="A58" s="268"/>
      <c r="B58" s="284"/>
      <c r="C58" s="259"/>
      <c r="D58" s="259"/>
      <c r="E58" s="259"/>
      <c r="F58" s="316"/>
      <c r="G58" s="297"/>
    </row>
    <row r="59" spans="1:7" x14ac:dyDescent="0.2">
      <c r="A59" s="268"/>
      <c r="B59" s="284"/>
      <c r="C59" s="259"/>
      <c r="D59" s="259"/>
      <c r="E59" s="259"/>
      <c r="F59" s="316"/>
      <c r="G59" s="297"/>
    </row>
    <row r="60" spans="1:7" x14ac:dyDescent="0.2">
      <c r="A60" s="268"/>
      <c r="B60" s="284"/>
      <c r="C60" s="259"/>
      <c r="D60" s="259"/>
      <c r="E60" s="259"/>
      <c r="F60" s="316"/>
      <c r="G60" s="297"/>
    </row>
    <row r="61" spans="1:7" x14ac:dyDescent="0.2">
      <c r="A61" s="268"/>
      <c r="B61" s="284"/>
      <c r="C61" s="259"/>
      <c r="D61" s="259"/>
      <c r="E61" s="259"/>
      <c r="F61" s="316"/>
      <c r="G61" s="297"/>
    </row>
    <row r="62" spans="1:7" x14ac:dyDescent="0.2">
      <c r="A62" s="268"/>
      <c r="B62" s="284"/>
      <c r="C62" s="259"/>
      <c r="D62" s="259"/>
      <c r="E62" s="259"/>
      <c r="F62" s="316"/>
      <c r="G62" s="297"/>
    </row>
    <row r="63" spans="1:7" x14ac:dyDescent="0.2">
      <c r="A63" s="268"/>
      <c r="B63" s="284"/>
      <c r="C63" s="259"/>
      <c r="D63" s="259"/>
      <c r="E63" s="259"/>
      <c r="F63" s="316"/>
      <c r="G63" s="297"/>
    </row>
    <row r="64" spans="1:7" x14ac:dyDescent="0.2">
      <c r="A64" s="268"/>
      <c r="B64" s="284"/>
      <c r="C64" s="259"/>
      <c r="D64" s="259"/>
      <c r="E64" s="259"/>
      <c r="F64" s="316"/>
      <c r="G64" s="297"/>
    </row>
    <row r="65" spans="1:7" x14ac:dyDescent="0.2">
      <c r="A65" s="268"/>
      <c r="B65" s="284"/>
      <c r="C65" s="259"/>
      <c r="D65" s="259"/>
      <c r="E65" s="259"/>
      <c r="F65" s="316"/>
      <c r="G65" s="297"/>
    </row>
    <row r="66" spans="1:7" x14ac:dyDescent="0.2">
      <c r="A66" s="268"/>
      <c r="B66" s="284"/>
      <c r="C66" s="259"/>
      <c r="D66" s="259"/>
      <c r="E66" s="259"/>
      <c r="F66" s="316"/>
      <c r="G66" s="297"/>
    </row>
    <row r="67" spans="1:7" x14ac:dyDescent="0.2">
      <c r="A67" s="268"/>
      <c r="B67" s="284"/>
      <c r="C67" s="259"/>
      <c r="D67" s="259"/>
      <c r="E67" s="259"/>
      <c r="F67" s="316"/>
      <c r="G67" s="297"/>
    </row>
    <row r="68" spans="1:7" x14ac:dyDescent="0.2">
      <c r="A68" s="268"/>
      <c r="B68" s="284"/>
      <c r="C68" s="259"/>
      <c r="D68" s="259"/>
      <c r="E68" s="259"/>
      <c r="F68" s="316"/>
      <c r="G68" s="297"/>
    </row>
    <row r="69" spans="1:7" x14ac:dyDescent="0.2">
      <c r="A69" s="277"/>
      <c r="B69" s="275"/>
      <c r="C69" s="285"/>
      <c r="D69" s="285"/>
      <c r="E69" s="285"/>
      <c r="F69" s="295"/>
      <c r="G69" s="289"/>
    </row>
    <row r="70" spans="1:7" x14ac:dyDescent="0.2">
      <c r="A70" s="135"/>
      <c r="B70" s="134"/>
      <c r="C70" s="150"/>
      <c r="D70" s="150"/>
      <c r="E70" s="150"/>
      <c r="F70" s="102"/>
    </row>
    <row r="71" spans="1:7" x14ac:dyDescent="0.2">
      <c r="A71" s="135"/>
      <c r="B71" s="134"/>
      <c r="C71" s="150"/>
      <c r="D71" s="150"/>
      <c r="E71" s="150"/>
      <c r="F71" s="102"/>
    </row>
    <row r="72" spans="1:7" x14ac:dyDescent="0.2">
      <c r="A72" s="135"/>
      <c r="B72" s="134"/>
      <c r="C72" s="150"/>
      <c r="D72" s="150"/>
      <c r="E72" s="150"/>
      <c r="F72" s="102"/>
    </row>
    <row r="73" spans="1:7" x14ac:dyDescent="0.2">
      <c r="A73" s="135"/>
      <c r="B73" s="134"/>
      <c r="C73" s="150"/>
      <c r="D73" s="150"/>
      <c r="E73" s="150"/>
      <c r="F73" s="102"/>
    </row>
    <row r="74" spans="1:7" x14ac:dyDescent="0.2">
      <c r="A74" s="135"/>
      <c r="B74" s="134"/>
      <c r="C74" s="150"/>
      <c r="D74" s="150"/>
      <c r="E74" s="150"/>
      <c r="F74" s="102"/>
    </row>
    <row r="75" spans="1:7" x14ac:dyDescent="0.2">
      <c r="A75" s="135"/>
      <c r="B75" s="134"/>
      <c r="C75" s="150"/>
      <c r="D75" s="150"/>
      <c r="E75" s="150"/>
      <c r="F75" s="102"/>
    </row>
    <row r="76" spans="1:7" x14ac:dyDescent="0.2">
      <c r="A76" s="135"/>
      <c r="B76" s="134"/>
      <c r="C76" s="150"/>
      <c r="D76" s="150"/>
      <c r="E76" s="150"/>
      <c r="F76" s="102"/>
    </row>
    <row r="77" spans="1:7" x14ac:dyDescent="0.2">
      <c r="A77" s="135"/>
      <c r="B77" s="134"/>
      <c r="C77" s="150"/>
      <c r="D77" s="150"/>
      <c r="E77" s="150"/>
      <c r="F77" s="102"/>
    </row>
    <row r="78" spans="1:7" x14ac:dyDescent="0.2">
      <c r="A78" s="135"/>
      <c r="B78" s="134"/>
      <c r="C78" s="150"/>
      <c r="D78" s="150"/>
      <c r="E78" s="150"/>
      <c r="F78" s="102"/>
    </row>
    <row r="79" spans="1:7" x14ac:dyDescent="0.2">
      <c r="A79" s="135"/>
      <c r="B79" s="134"/>
      <c r="C79" s="150"/>
      <c r="D79" s="150"/>
      <c r="E79" s="150"/>
      <c r="F79" s="102"/>
    </row>
    <row r="80" spans="1:7" x14ac:dyDescent="0.2">
      <c r="A80" s="135"/>
      <c r="B80" s="134"/>
      <c r="C80" s="150"/>
      <c r="D80" s="150"/>
      <c r="E80" s="150"/>
      <c r="F80" s="102"/>
    </row>
    <row r="81" spans="1:6" x14ac:dyDescent="0.2">
      <c r="A81" s="135"/>
      <c r="B81" s="135"/>
      <c r="C81" s="151"/>
      <c r="D81" s="151"/>
      <c r="E81" s="151"/>
      <c r="F81" s="102" t="str">
        <f t="shared" ref="F81:F107" ca="1" si="0">IF(E81=0,"",E81-TODAY())</f>
        <v/>
      </c>
    </row>
    <row r="82" spans="1:6" x14ac:dyDescent="0.2">
      <c r="A82" s="135"/>
      <c r="B82" s="135"/>
      <c r="C82" s="151"/>
      <c r="D82" s="151"/>
      <c r="E82" s="151"/>
      <c r="F82" s="102" t="str">
        <f t="shared" ca="1" si="0"/>
        <v/>
      </c>
    </row>
    <row r="83" spans="1:6" x14ac:dyDescent="0.2">
      <c r="A83" s="135"/>
      <c r="B83" s="135"/>
      <c r="C83" s="151"/>
      <c r="D83" s="151"/>
      <c r="E83" s="151"/>
      <c r="F83" s="102" t="str">
        <f t="shared" ca="1" si="0"/>
        <v/>
      </c>
    </row>
    <row r="84" spans="1:6" x14ac:dyDescent="0.2">
      <c r="A84" s="135"/>
      <c r="B84" s="135"/>
      <c r="C84" s="151"/>
      <c r="D84" s="151"/>
      <c r="E84" s="151"/>
      <c r="F84" s="102" t="str">
        <f t="shared" ca="1" si="0"/>
        <v/>
      </c>
    </row>
    <row r="85" spans="1:6" x14ac:dyDescent="0.2">
      <c r="A85" s="135"/>
      <c r="B85" s="135"/>
      <c r="C85" s="151"/>
      <c r="D85" s="151"/>
      <c r="E85" s="151"/>
      <c r="F85" s="102" t="str">
        <f t="shared" ca="1" si="0"/>
        <v/>
      </c>
    </row>
    <row r="86" spans="1:6" x14ac:dyDescent="0.2">
      <c r="A86" s="135"/>
      <c r="B86" s="135"/>
      <c r="C86" s="151"/>
      <c r="D86" s="151"/>
      <c r="E86" s="151"/>
      <c r="F86" s="102" t="str">
        <f t="shared" ca="1" si="0"/>
        <v/>
      </c>
    </row>
    <row r="87" spans="1:6" x14ac:dyDescent="0.2">
      <c r="A87" s="135"/>
      <c r="B87" s="135"/>
      <c r="C87" s="151"/>
      <c r="D87" s="151"/>
      <c r="E87" s="151"/>
      <c r="F87" s="102" t="str">
        <f t="shared" ca="1" si="0"/>
        <v/>
      </c>
    </row>
    <row r="88" spans="1:6" x14ac:dyDescent="0.2">
      <c r="A88" s="135"/>
      <c r="B88" s="135"/>
      <c r="C88" s="151"/>
      <c r="D88" s="151"/>
      <c r="E88" s="151"/>
      <c r="F88" s="102" t="str">
        <f t="shared" ca="1" si="0"/>
        <v/>
      </c>
    </row>
    <row r="89" spans="1:6" x14ac:dyDescent="0.2">
      <c r="A89" s="135"/>
      <c r="B89" s="135"/>
      <c r="C89" s="151"/>
      <c r="D89" s="151"/>
      <c r="E89" s="151"/>
      <c r="F89" s="102" t="str">
        <f t="shared" ca="1" si="0"/>
        <v/>
      </c>
    </row>
    <row r="90" spans="1:6" x14ac:dyDescent="0.2">
      <c r="A90" s="135"/>
      <c r="B90" s="135"/>
      <c r="C90" s="151"/>
      <c r="D90" s="151"/>
      <c r="E90" s="151"/>
      <c r="F90" s="102" t="str">
        <f t="shared" ca="1" si="0"/>
        <v/>
      </c>
    </row>
    <row r="91" spans="1:6" x14ac:dyDescent="0.2">
      <c r="A91" s="135"/>
      <c r="B91" s="135"/>
      <c r="C91" s="151"/>
      <c r="D91" s="151"/>
      <c r="E91" s="151"/>
      <c r="F91" s="102" t="str">
        <f t="shared" ca="1" si="0"/>
        <v/>
      </c>
    </row>
    <row r="92" spans="1:6" x14ac:dyDescent="0.2">
      <c r="A92" s="135"/>
      <c r="B92" s="135"/>
      <c r="C92" s="151"/>
      <c r="D92" s="151"/>
      <c r="E92" s="151"/>
      <c r="F92" s="102" t="str">
        <f t="shared" ca="1" si="0"/>
        <v/>
      </c>
    </row>
    <row r="93" spans="1:6" x14ac:dyDescent="0.2">
      <c r="A93" s="135"/>
      <c r="B93" s="135"/>
      <c r="C93" s="151"/>
      <c r="D93" s="151"/>
      <c r="E93" s="151"/>
      <c r="F93" s="102" t="str">
        <f t="shared" ca="1" si="0"/>
        <v/>
      </c>
    </row>
    <row r="94" spans="1:6" x14ac:dyDescent="0.2">
      <c r="A94" s="135"/>
      <c r="B94" s="135"/>
      <c r="C94" s="151"/>
      <c r="D94" s="151"/>
      <c r="E94" s="151"/>
      <c r="F94" s="102" t="str">
        <f t="shared" ca="1" si="0"/>
        <v/>
      </c>
    </row>
    <row r="95" spans="1:6" x14ac:dyDescent="0.2">
      <c r="A95" s="135"/>
      <c r="B95" s="135"/>
      <c r="C95" s="151"/>
      <c r="D95" s="151"/>
      <c r="E95" s="151"/>
      <c r="F95" s="102" t="str">
        <f t="shared" ca="1" si="0"/>
        <v/>
      </c>
    </row>
    <row r="96" spans="1:6" x14ac:dyDescent="0.2">
      <c r="A96" s="135"/>
      <c r="B96" s="135"/>
      <c r="C96" s="151"/>
      <c r="D96" s="151"/>
      <c r="E96" s="151"/>
      <c r="F96" s="102" t="str">
        <f t="shared" ca="1" si="0"/>
        <v/>
      </c>
    </row>
    <row r="97" spans="1:6" x14ac:dyDescent="0.2">
      <c r="A97" s="135"/>
      <c r="B97" s="135"/>
      <c r="C97" s="151"/>
      <c r="D97" s="151"/>
      <c r="E97" s="151"/>
      <c r="F97" s="102" t="str">
        <f t="shared" ca="1" si="0"/>
        <v/>
      </c>
    </row>
    <row r="98" spans="1:6" x14ac:dyDescent="0.2">
      <c r="A98" s="135"/>
      <c r="B98" s="135"/>
      <c r="C98" s="151"/>
      <c r="D98" s="151"/>
      <c r="E98" s="151"/>
      <c r="F98" s="102" t="str">
        <f t="shared" ca="1" si="0"/>
        <v/>
      </c>
    </row>
    <row r="99" spans="1:6" x14ac:dyDescent="0.2">
      <c r="A99" s="135"/>
      <c r="B99" s="135"/>
      <c r="C99" s="151"/>
      <c r="D99" s="151"/>
      <c r="E99" s="151"/>
      <c r="F99" s="102" t="str">
        <f t="shared" ca="1" si="0"/>
        <v/>
      </c>
    </row>
    <row r="100" spans="1:6" x14ac:dyDescent="0.2">
      <c r="A100" s="135"/>
      <c r="B100" s="135"/>
      <c r="C100" s="151"/>
      <c r="D100" s="151"/>
      <c r="E100" s="151"/>
      <c r="F100" s="102" t="str">
        <f t="shared" ca="1" si="0"/>
        <v/>
      </c>
    </row>
    <row r="101" spans="1:6" x14ac:dyDescent="0.2">
      <c r="A101" s="135"/>
      <c r="B101" s="135"/>
      <c r="C101" s="151"/>
      <c r="D101" s="151"/>
      <c r="E101" s="151"/>
      <c r="F101" s="102" t="str">
        <f t="shared" ca="1" si="0"/>
        <v/>
      </c>
    </row>
    <row r="102" spans="1:6" x14ac:dyDescent="0.2">
      <c r="A102" s="213"/>
      <c r="B102" s="101"/>
      <c r="C102" s="214"/>
      <c r="D102" s="214"/>
      <c r="E102" s="214"/>
      <c r="F102" s="102" t="str">
        <f t="shared" ca="1" si="0"/>
        <v/>
      </c>
    </row>
    <row r="103" spans="1:6" x14ac:dyDescent="0.2">
      <c r="A103" s="213"/>
      <c r="B103" s="101"/>
      <c r="C103" s="214"/>
      <c r="D103" s="214"/>
      <c r="E103" s="214"/>
      <c r="F103" s="102" t="str">
        <f t="shared" ca="1" si="0"/>
        <v/>
      </c>
    </row>
    <row r="104" spans="1:6" x14ac:dyDescent="0.2">
      <c r="A104" s="213"/>
      <c r="B104" s="101"/>
      <c r="C104" s="214"/>
      <c r="D104" s="214"/>
      <c r="E104" s="214"/>
      <c r="F104" s="102" t="str">
        <f t="shared" ca="1" si="0"/>
        <v/>
      </c>
    </row>
    <row r="105" spans="1:6" x14ac:dyDescent="0.2">
      <c r="A105" s="213"/>
      <c r="B105" s="101"/>
      <c r="C105" s="214"/>
      <c r="D105" s="214"/>
      <c r="E105" s="214"/>
      <c r="F105" s="102" t="str">
        <f t="shared" ca="1" si="0"/>
        <v/>
      </c>
    </row>
    <row r="106" spans="1:6" x14ac:dyDescent="0.2">
      <c r="A106" s="213"/>
      <c r="B106" s="101"/>
      <c r="C106" s="214"/>
      <c r="D106" s="214"/>
      <c r="E106" s="214"/>
      <c r="F106" s="102" t="str">
        <f t="shared" ca="1" si="0"/>
        <v/>
      </c>
    </row>
    <row r="107" spans="1:6" x14ac:dyDescent="0.2">
      <c r="A107" s="213"/>
      <c r="B107" s="101"/>
      <c r="C107" s="214"/>
      <c r="D107" s="214"/>
      <c r="E107" s="214"/>
      <c r="F107" s="102" t="str">
        <f t="shared" ca="1" si="0"/>
        <v/>
      </c>
    </row>
  </sheetData>
  <autoFilter ref="A1:G41">
    <filterColumn colId="3">
      <customFilters>
        <customFilter operator="greaterThan" val="0"/>
      </customFilters>
    </filterColumn>
    <sortState ref="A2:G41">
      <sortCondition ref="E1:E106"/>
    </sortState>
  </autoFilter>
  <sortState ref="A3:G29">
    <sortCondition ref="G29"/>
  </sortState>
  <conditionalFormatting sqref="F2:F40">
    <cfRule type="expression" dxfId="67" priority="10">
      <formula>G2="YES"</formula>
    </cfRule>
    <cfRule type="cellIs" dxfId="66" priority="12" stopIfTrue="1" operator="lessThan">
      <formula>0</formula>
    </cfRule>
    <cfRule type="cellIs" dxfId="65" priority="13" operator="greaterThanOrEqual">
      <formula>0</formula>
    </cfRule>
  </conditionalFormatting>
  <conditionalFormatting sqref="H10">
    <cfRule type="cellIs" dxfId="64" priority="5" stopIfTrue="1" operator="lessThan">
      <formula>0</formula>
    </cfRule>
    <cfRule type="cellIs" dxfId="63" priority="6" operator="greaterThan">
      <formula>0</formula>
    </cfRule>
  </conditionalFormatting>
  <conditionalFormatting sqref="H10">
    <cfRule type="expression" dxfId="62" priority="4">
      <formula>I10="YES"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tageGate5sort">
                <anchor moveWithCells="1" sizeWithCells="1">
                  <from>
                    <xdr:col>8</xdr:col>
                    <xdr:colOff>95250</xdr:colOff>
                    <xdr:row>0</xdr:row>
                    <xdr:rowOff>66675</xdr:rowOff>
                  </from>
                  <to>
                    <xdr:col>9</xdr:col>
                    <xdr:colOff>714375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'Rag Coding'!$F$1:$F$3</xm:f>
          </x14:formula1>
          <xm:sqref>G3:G49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0070C0"/>
  </sheetPr>
  <dimension ref="A1:S42"/>
  <sheetViews>
    <sheetView zoomScaleNormal="100" workbookViewId="0">
      <selection activeCell="J52" sqref="J52"/>
    </sheetView>
  </sheetViews>
  <sheetFormatPr defaultRowHeight="15" outlineLevelRow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7.77734375" style="26" customWidth="1"/>
    <col min="7" max="7" width="10" style="26" bestFit="1" customWidth="1"/>
    <col min="8" max="9" width="10" style="26" customWidth="1"/>
    <col min="10" max="10" width="9.5546875" style="26" customWidth="1"/>
    <col min="11" max="12" width="10" style="26" customWidth="1"/>
    <col min="13" max="13" width="10" style="26" hidden="1" customWidth="1"/>
    <col min="14" max="14" width="10" style="26" customWidth="1"/>
    <col min="15" max="17" width="8.33203125" style="68" customWidth="1"/>
    <col min="18" max="18" width="10.44140625" style="26" customWidth="1"/>
    <col min="19" max="19" width="7.77734375" style="26" customWidth="1"/>
    <col min="20" max="16384" width="8.88671875" style="26"/>
  </cols>
  <sheetData>
    <row r="1" spans="1:19" ht="15" customHeight="1" x14ac:dyDescent="0.2">
      <c r="A1" s="372" t="s">
        <v>11</v>
      </c>
      <c r="B1" s="373"/>
      <c r="C1" s="373"/>
      <c r="D1" s="373"/>
      <c r="E1" s="373"/>
      <c r="F1" s="373"/>
      <c r="G1" s="373"/>
      <c r="H1" s="393" t="s">
        <v>324</v>
      </c>
      <c r="I1" s="393"/>
      <c r="J1" s="393"/>
      <c r="K1" s="393"/>
      <c r="L1" s="393"/>
      <c r="M1" s="393"/>
      <c r="N1" s="393"/>
      <c r="O1" s="377" t="s">
        <v>7</v>
      </c>
      <c r="P1" s="377"/>
      <c r="Q1" s="377"/>
      <c r="R1" s="377"/>
      <c r="S1" s="377"/>
    </row>
    <row r="2" spans="1:19" ht="34.5" thickBot="1" x14ac:dyDescent="0.25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207</v>
      </c>
      <c r="G2" s="43" t="s">
        <v>19</v>
      </c>
      <c r="H2" s="43" t="s">
        <v>13</v>
      </c>
      <c r="I2" s="43" t="s">
        <v>319</v>
      </c>
      <c r="J2" s="43" t="s">
        <v>323</v>
      </c>
      <c r="K2" s="43" t="s">
        <v>320</v>
      </c>
      <c r="L2" s="43" t="s">
        <v>321</v>
      </c>
      <c r="M2" s="43"/>
      <c r="N2" s="43" t="s">
        <v>322</v>
      </c>
      <c r="O2" s="49" t="s">
        <v>25</v>
      </c>
      <c r="P2" s="49" t="s">
        <v>91</v>
      </c>
      <c r="Q2" s="49" t="s">
        <v>204</v>
      </c>
      <c r="R2" s="15" t="s">
        <v>90</v>
      </c>
      <c r="S2" s="15" t="s">
        <v>242</v>
      </c>
    </row>
    <row r="3" spans="1:19" ht="15.75" thickBot="1" x14ac:dyDescent="0.25">
      <c r="A3" s="231"/>
      <c r="B3" s="238"/>
      <c r="C3" s="238"/>
      <c r="D3" s="231"/>
      <c r="E3" s="231"/>
      <c r="F3" s="231"/>
      <c r="G3" s="231"/>
      <c r="H3" s="237"/>
      <c r="I3" s="232"/>
      <c r="J3" s="231"/>
      <c r="K3" s="232"/>
      <c r="L3" s="235"/>
      <c r="M3" s="231"/>
      <c r="N3" s="362"/>
      <c r="O3" s="247"/>
      <c r="P3" s="247"/>
      <c r="Q3" s="247"/>
      <c r="R3" s="247"/>
      <c r="S3" s="247"/>
    </row>
    <row r="4" spans="1:19" ht="15.75" thickBot="1" x14ac:dyDescent="0.25">
      <c r="A4" s="239"/>
      <c r="B4" s="240"/>
      <c r="C4" s="240"/>
      <c r="D4" s="241"/>
      <c r="E4" s="241"/>
      <c r="F4" s="241"/>
      <c r="G4" s="241"/>
      <c r="H4" s="237"/>
      <c r="I4" s="232"/>
      <c r="J4" s="231"/>
      <c r="K4" s="232"/>
      <c r="L4" s="235"/>
      <c r="M4" s="231"/>
      <c r="N4" s="363"/>
      <c r="O4" s="248"/>
      <c r="P4" s="248"/>
      <c r="Q4" s="248"/>
      <c r="R4" s="248"/>
      <c r="S4" s="248"/>
    </row>
    <row r="5" spans="1:19" s="66" customFormat="1" ht="15.75" thickBot="1" x14ac:dyDescent="0.25">
      <c r="A5" s="237"/>
      <c r="B5" s="238"/>
      <c r="C5" s="238"/>
      <c r="D5" s="231"/>
      <c r="E5" s="231"/>
      <c r="F5" s="231"/>
      <c r="G5" s="231"/>
      <c r="H5" s="237"/>
      <c r="I5" s="232"/>
      <c r="J5" s="231"/>
      <c r="K5" s="232"/>
      <c r="L5" s="235"/>
      <c r="M5" s="233"/>
      <c r="N5" s="363"/>
      <c r="O5" s="249"/>
      <c r="P5" s="249"/>
      <c r="Q5" s="249"/>
      <c r="R5" s="249"/>
      <c r="S5" s="249"/>
    </row>
    <row r="6" spans="1:19" ht="15.75" thickBot="1" x14ac:dyDescent="0.25">
      <c r="A6" s="237"/>
      <c r="B6" s="238"/>
      <c r="C6" s="238"/>
      <c r="D6" s="231"/>
      <c r="E6" s="231"/>
      <c r="F6" s="231"/>
      <c r="G6" s="231"/>
      <c r="H6" s="237"/>
      <c r="I6" s="232"/>
      <c r="J6" s="231"/>
      <c r="K6" s="232"/>
      <c r="L6" s="235"/>
      <c r="M6" s="231"/>
      <c r="N6" s="363"/>
      <c r="O6" s="249"/>
      <c r="P6" s="249"/>
      <c r="Q6" s="249"/>
      <c r="R6" s="249"/>
      <c r="S6" s="249"/>
    </row>
    <row r="7" spans="1:19" ht="15.75" thickBot="1" x14ac:dyDescent="0.25">
      <c r="A7" s="237"/>
      <c r="B7" s="238"/>
      <c r="C7" s="238"/>
      <c r="D7" s="231"/>
      <c r="E7" s="231"/>
      <c r="F7" s="231"/>
      <c r="G7" s="231"/>
      <c r="H7" s="237"/>
      <c r="I7" s="232"/>
      <c r="J7" s="231"/>
      <c r="K7" s="232"/>
      <c r="L7" s="235"/>
      <c r="M7" s="232"/>
      <c r="N7" s="363"/>
      <c r="O7" s="249"/>
      <c r="P7" s="249"/>
      <c r="Q7" s="249"/>
      <c r="R7" s="249"/>
      <c r="S7" s="249"/>
    </row>
    <row r="8" spans="1:19" ht="15.75" thickBot="1" x14ac:dyDescent="0.25">
      <c r="A8" s="237"/>
      <c r="B8" s="238"/>
      <c r="C8" s="238"/>
      <c r="D8" s="231"/>
      <c r="E8" s="231"/>
      <c r="F8" s="231"/>
      <c r="G8" s="231"/>
      <c r="H8" s="237"/>
      <c r="I8" s="232"/>
      <c r="J8" s="231"/>
      <c r="K8" s="232"/>
      <c r="L8" s="235"/>
      <c r="M8" s="231"/>
      <c r="N8" s="363"/>
      <c r="O8" s="249"/>
      <c r="P8" s="249"/>
      <c r="Q8" s="249"/>
      <c r="R8" s="249"/>
      <c r="S8" s="249"/>
    </row>
    <row r="9" spans="1:19" ht="15.75" thickBot="1" x14ac:dyDescent="0.25">
      <c r="A9" s="237"/>
      <c r="B9" s="238"/>
      <c r="C9" s="238"/>
      <c r="D9" s="231"/>
      <c r="E9" s="231"/>
      <c r="F9" s="231"/>
      <c r="G9" s="231"/>
      <c r="H9" s="237"/>
      <c r="I9" s="232"/>
      <c r="J9" s="231"/>
      <c r="K9" s="232"/>
      <c r="L9" s="235"/>
      <c r="M9" s="231"/>
      <c r="N9" s="363"/>
      <c r="O9" s="249"/>
      <c r="P9" s="249"/>
      <c r="Q9" s="249"/>
      <c r="R9" s="249"/>
      <c r="S9" s="249"/>
    </row>
    <row r="10" spans="1:19" ht="15.75" thickBot="1" x14ac:dyDescent="0.25">
      <c r="A10" s="237"/>
      <c r="B10" s="238"/>
      <c r="C10" s="238"/>
      <c r="D10" s="231"/>
      <c r="E10" s="231"/>
      <c r="F10" s="231"/>
      <c r="G10" s="231"/>
      <c r="H10" s="237"/>
      <c r="I10" s="232"/>
      <c r="J10" s="231"/>
      <c r="K10" s="232"/>
      <c r="L10" s="235"/>
      <c r="M10" s="231"/>
      <c r="N10" s="363"/>
      <c r="O10" s="249"/>
      <c r="P10" s="249"/>
      <c r="Q10" s="249"/>
      <c r="R10" s="249"/>
      <c r="S10" s="249"/>
    </row>
    <row r="11" spans="1:19" ht="15.75" thickBot="1" x14ac:dyDescent="0.25">
      <c r="A11" s="237"/>
      <c r="B11" s="238"/>
      <c r="C11" s="238"/>
      <c r="D11" s="231"/>
      <c r="E11" s="231"/>
      <c r="F11" s="231"/>
      <c r="G11" s="231"/>
      <c r="H11" s="237"/>
      <c r="I11" s="232"/>
      <c r="J11" s="231"/>
      <c r="K11" s="232"/>
      <c r="L11" s="235"/>
      <c r="M11" s="231"/>
      <c r="N11" s="363"/>
      <c r="O11" s="249"/>
      <c r="P11" s="249"/>
      <c r="Q11" s="249"/>
      <c r="R11" s="249"/>
      <c r="S11" s="249"/>
    </row>
    <row r="12" spans="1:19" ht="15.75" thickBot="1" x14ac:dyDescent="0.25">
      <c r="A12" s="237"/>
      <c r="B12" s="238"/>
      <c r="C12" s="238"/>
      <c r="D12" s="231"/>
      <c r="E12" s="231"/>
      <c r="F12" s="231"/>
      <c r="G12" s="231"/>
      <c r="H12" s="237"/>
      <c r="I12" s="232"/>
      <c r="J12" s="231"/>
      <c r="K12" s="232"/>
      <c r="L12" s="235"/>
      <c r="M12" s="231"/>
      <c r="N12" s="363"/>
      <c r="O12" s="249"/>
      <c r="P12" s="249"/>
      <c r="Q12" s="249"/>
      <c r="R12" s="249"/>
      <c r="S12" s="249"/>
    </row>
    <row r="13" spans="1:19" ht="15.75" thickBot="1" x14ac:dyDescent="0.25">
      <c r="A13" s="237"/>
      <c r="B13" s="238"/>
      <c r="C13" s="238"/>
      <c r="D13" s="231"/>
      <c r="E13" s="231"/>
      <c r="F13" s="231"/>
      <c r="G13" s="231"/>
      <c r="H13" s="237"/>
      <c r="I13" s="232"/>
      <c r="J13" s="231"/>
      <c r="K13" s="232"/>
      <c r="L13" s="235"/>
      <c r="M13" s="231"/>
      <c r="N13" s="363"/>
      <c r="O13" s="249"/>
      <c r="P13" s="249"/>
      <c r="Q13" s="249"/>
      <c r="R13" s="249"/>
      <c r="S13" s="249"/>
    </row>
    <row r="14" spans="1:19" ht="15.75" thickBot="1" x14ac:dyDescent="0.25">
      <c r="A14" s="237"/>
      <c r="B14" s="238"/>
      <c r="C14" s="238"/>
      <c r="D14" s="231"/>
      <c r="E14" s="231"/>
      <c r="F14" s="231"/>
      <c r="G14" s="231"/>
      <c r="H14" s="237"/>
      <c r="I14" s="232"/>
      <c r="J14" s="231"/>
      <c r="K14" s="232"/>
      <c r="L14" s="235"/>
      <c r="M14" s="231"/>
      <c r="N14" s="363"/>
      <c r="O14" s="249"/>
      <c r="P14" s="249"/>
      <c r="Q14" s="249"/>
      <c r="R14" s="249"/>
      <c r="S14" s="249"/>
    </row>
    <row r="15" spans="1:19" ht="15.75" thickBot="1" x14ac:dyDescent="0.25">
      <c r="A15" s="237"/>
      <c r="B15" s="238"/>
      <c r="C15" s="238"/>
      <c r="D15" s="231"/>
      <c r="E15" s="231"/>
      <c r="F15" s="231"/>
      <c r="G15" s="231"/>
      <c r="H15" s="237"/>
      <c r="I15" s="232"/>
      <c r="J15" s="231"/>
      <c r="K15" s="232"/>
      <c r="L15" s="235"/>
      <c r="M15" s="231"/>
      <c r="N15" s="363"/>
      <c r="O15" s="249"/>
      <c r="P15" s="249"/>
      <c r="Q15" s="249"/>
      <c r="R15" s="249"/>
      <c r="S15" s="249"/>
    </row>
    <row r="16" spans="1:19" ht="15.75" thickBot="1" x14ac:dyDescent="0.25">
      <c r="A16" s="237"/>
      <c r="B16" s="238"/>
      <c r="C16" s="238"/>
      <c r="D16" s="231"/>
      <c r="E16" s="231"/>
      <c r="F16" s="231"/>
      <c r="G16" s="231"/>
      <c r="H16" s="237"/>
      <c r="I16" s="232"/>
      <c r="J16" s="231"/>
      <c r="K16" s="232"/>
      <c r="L16" s="235"/>
      <c r="M16" s="235"/>
      <c r="N16" s="363"/>
      <c r="O16" s="249"/>
      <c r="P16" s="249"/>
      <c r="Q16" s="249"/>
      <c r="R16" s="249"/>
      <c r="S16" s="249"/>
    </row>
    <row r="17" spans="1:19" ht="15.75" thickBot="1" x14ac:dyDescent="0.25">
      <c r="A17" s="239"/>
      <c r="B17" s="240"/>
      <c r="C17" s="240"/>
      <c r="D17" s="241"/>
      <c r="E17" s="241"/>
      <c r="F17" s="241"/>
      <c r="G17" s="241"/>
      <c r="H17" s="237"/>
      <c r="I17" s="232"/>
      <c r="J17" s="231"/>
      <c r="K17" s="232"/>
      <c r="L17" s="235"/>
      <c r="M17" s="231"/>
      <c r="N17" s="363"/>
      <c r="O17" s="358"/>
      <c r="P17" s="358"/>
      <c r="Q17" s="358"/>
      <c r="R17" s="358"/>
      <c r="S17" s="358"/>
    </row>
    <row r="18" spans="1:19" ht="15.75" thickBot="1" x14ac:dyDescent="0.25">
      <c r="A18" s="237"/>
      <c r="B18" s="238"/>
      <c r="C18" s="238"/>
      <c r="D18" s="231"/>
      <c r="E18" s="231"/>
      <c r="F18" s="231"/>
      <c r="G18" s="231"/>
      <c r="H18" s="237"/>
      <c r="I18" s="232"/>
      <c r="J18" s="231"/>
      <c r="K18" s="232"/>
      <c r="L18" s="235"/>
      <c r="M18" s="231"/>
      <c r="N18" s="363"/>
      <c r="O18" s="359"/>
      <c r="P18" s="359"/>
      <c r="Q18" s="359"/>
      <c r="R18" s="359"/>
      <c r="S18" s="359"/>
    </row>
    <row r="19" spans="1:19" ht="15.75" hidden="1" outlineLevel="1" thickBot="1" x14ac:dyDescent="0.25">
      <c r="A19" s="237"/>
      <c r="B19" s="238"/>
      <c r="C19" s="238"/>
      <c r="D19" s="231"/>
      <c r="E19" s="231"/>
      <c r="F19" s="231"/>
      <c r="G19" s="231"/>
      <c r="H19" s="237"/>
      <c r="I19" s="232"/>
      <c r="J19" s="231"/>
      <c r="K19" s="232" t="str">
        <f t="shared" ref="K17:K39" si="0">IF(J19="","",DATE(YEAR(I19),MONTH(I19)+J19,DAY(I19)-1))</f>
        <v/>
      </c>
      <c r="L19" s="235"/>
      <c r="M19" s="231" t="str">
        <f t="shared" ref="M3:M42" ca="1" si="1">IF(K19="","",IF(AND(K19&gt;=TODAY(),N19="NO"),"Green",IF(AND(K19&lt;TODAY(),N19="NO"),"Red",IF(N19="YES","Green",""))))</f>
        <v/>
      </c>
      <c r="N19" s="357"/>
      <c r="O19" s="359"/>
      <c r="P19" s="359"/>
      <c r="Q19" s="359"/>
      <c r="R19" s="359"/>
      <c r="S19" s="359"/>
    </row>
    <row r="20" spans="1:19" ht="15.75" hidden="1" outlineLevel="1" thickBot="1" x14ac:dyDescent="0.25">
      <c r="A20" s="237"/>
      <c r="B20" s="238"/>
      <c r="C20" s="238"/>
      <c r="D20" s="231"/>
      <c r="E20" s="231"/>
      <c r="F20" s="231"/>
      <c r="G20" s="231"/>
      <c r="H20" s="237"/>
      <c r="I20" s="232"/>
      <c r="J20" s="231"/>
      <c r="K20" s="232" t="str">
        <f t="shared" si="0"/>
        <v/>
      </c>
      <c r="L20" s="235"/>
      <c r="M20" s="231" t="str">
        <f t="shared" ca="1" si="1"/>
        <v/>
      </c>
      <c r="N20" s="357"/>
      <c r="O20" s="359"/>
      <c r="P20" s="359"/>
      <c r="Q20" s="359"/>
      <c r="R20" s="359"/>
      <c r="S20" s="359"/>
    </row>
    <row r="21" spans="1:19" ht="15.75" hidden="1" outlineLevel="1" thickBot="1" x14ac:dyDescent="0.25">
      <c r="A21" s="237"/>
      <c r="B21" s="238"/>
      <c r="C21" s="238"/>
      <c r="D21" s="231"/>
      <c r="E21" s="231"/>
      <c r="F21" s="231"/>
      <c r="G21" s="231"/>
      <c r="H21" s="237"/>
      <c r="I21" s="232"/>
      <c r="J21" s="231"/>
      <c r="K21" s="232" t="str">
        <f t="shared" si="0"/>
        <v/>
      </c>
      <c r="L21" s="235"/>
      <c r="M21" s="231" t="str">
        <f t="shared" ca="1" si="1"/>
        <v/>
      </c>
      <c r="N21" s="357"/>
      <c r="O21" s="359"/>
      <c r="P21" s="359"/>
      <c r="Q21" s="359"/>
      <c r="R21" s="359"/>
      <c r="S21" s="359"/>
    </row>
    <row r="22" spans="1:19" ht="15.75" hidden="1" outlineLevel="1" thickBot="1" x14ac:dyDescent="0.25">
      <c r="A22" s="237"/>
      <c r="B22" s="238"/>
      <c r="C22" s="238"/>
      <c r="D22" s="231"/>
      <c r="E22" s="231"/>
      <c r="F22" s="231"/>
      <c r="G22" s="231"/>
      <c r="H22" s="237"/>
      <c r="I22" s="232"/>
      <c r="J22" s="231"/>
      <c r="K22" s="232" t="str">
        <f t="shared" si="0"/>
        <v/>
      </c>
      <c r="L22" s="235"/>
      <c r="M22" s="231" t="str">
        <f t="shared" ca="1" si="1"/>
        <v/>
      </c>
      <c r="N22" s="357"/>
      <c r="O22" s="359"/>
      <c r="P22" s="359"/>
      <c r="Q22" s="359"/>
      <c r="R22" s="359"/>
      <c r="S22" s="359"/>
    </row>
    <row r="23" spans="1:19" ht="15.75" hidden="1" outlineLevel="1" thickBot="1" x14ac:dyDescent="0.25">
      <c r="A23" s="237"/>
      <c r="B23" s="238"/>
      <c r="C23" s="238"/>
      <c r="D23" s="231"/>
      <c r="E23" s="231"/>
      <c r="F23" s="231"/>
      <c r="G23" s="231"/>
      <c r="H23" s="237"/>
      <c r="I23" s="232"/>
      <c r="J23" s="231"/>
      <c r="K23" s="232" t="str">
        <f t="shared" si="0"/>
        <v/>
      </c>
      <c r="L23" s="235"/>
      <c r="M23" s="231" t="str">
        <f t="shared" ca="1" si="1"/>
        <v/>
      </c>
      <c r="N23" s="357"/>
      <c r="O23" s="359"/>
      <c r="P23" s="359"/>
      <c r="Q23" s="359"/>
      <c r="R23" s="359"/>
      <c r="S23" s="359"/>
    </row>
    <row r="24" spans="1:19" ht="15.75" hidden="1" outlineLevel="1" thickBot="1" x14ac:dyDescent="0.25">
      <c r="A24" s="237"/>
      <c r="B24" s="238"/>
      <c r="C24" s="238"/>
      <c r="D24" s="231"/>
      <c r="E24" s="231"/>
      <c r="F24" s="231"/>
      <c r="G24" s="231"/>
      <c r="H24" s="237"/>
      <c r="I24" s="232"/>
      <c r="J24" s="231"/>
      <c r="K24" s="232" t="str">
        <f t="shared" si="0"/>
        <v/>
      </c>
      <c r="L24" s="235"/>
      <c r="M24" s="231" t="str">
        <f t="shared" ca="1" si="1"/>
        <v/>
      </c>
      <c r="N24" s="357"/>
      <c r="O24" s="359"/>
      <c r="P24" s="359"/>
      <c r="Q24" s="359"/>
      <c r="R24" s="359"/>
      <c r="S24" s="359"/>
    </row>
    <row r="25" spans="1:19" ht="15.75" hidden="1" outlineLevel="1" thickBot="1" x14ac:dyDescent="0.25">
      <c r="A25" s="237"/>
      <c r="B25" s="238"/>
      <c r="C25" s="238"/>
      <c r="D25" s="231"/>
      <c r="E25" s="231"/>
      <c r="F25" s="231"/>
      <c r="G25" s="231"/>
      <c r="H25" s="237"/>
      <c r="I25" s="232"/>
      <c r="J25" s="231"/>
      <c r="K25" s="232" t="str">
        <f t="shared" si="0"/>
        <v/>
      </c>
      <c r="L25" s="235"/>
      <c r="M25" s="231" t="str">
        <f t="shared" ca="1" si="1"/>
        <v/>
      </c>
      <c r="N25" s="357"/>
      <c r="O25" s="359"/>
      <c r="P25" s="359"/>
      <c r="Q25" s="359"/>
      <c r="R25" s="359"/>
      <c r="S25" s="359"/>
    </row>
    <row r="26" spans="1:19" ht="15.75" hidden="1" outlineLevel="1" thickBot="1" x14ac:dyDescent="0.25">
      <c r="A26" s="237"/>
      <c r="B26" s="238"/>
      <c r="C26" s="238"/>
      <c r="D26" s="231"/>
      <c r="E26" s="231"/>
      <c r="F26" s="231"/>
      <c r="G26" s="231"/>
      <c r="H26" s="237"/>
      <c r="I26" s="232"/>
      <c r="J26" s="231"/>
      <c r="K26" s="232" t="str">
        <f t="shared" si="0"/>
        <v/>
      </c>
      <c r="L26" s="235"/>
      <c r="M26" s="231" t="str">
        <f t="shared" ca="1" si="1"/>
        <v/>
      </c>
      <c r="N26" s="357"/>
      <c r="O26" s="359"/>
      <c r="P26" s="359"/>
      <c r="Q26" s="359"/>
      <c r="R26" s="359"/>
      <c r="S26" s="359"/>
    </row>
    <row r="27" spans="1:19" ht="15.75" hidden="1" outlineLevel="1" thickBot="1" x14ac:dyDescent="0.25">
      <c r="A27" s="237"/>
      <c r="B27" s="238"/>
      <c r="C27" s="238"/>
      <c r="D27" s="231"/>
      <c r="E27" s="231"/>
      <c r="F27" s="231"/>
      <c r="G27" s="231"/>
      <c r="H27" s="237"/>
      <c r="I27" s="232"/>
      <c r="J27" s="231"/>
      <c r="K27" s="232" t="str">
        <f t="shared" si="0"/>
        <v/>
      </c>
      <c r="L27" s="235"/>
      <c r="M27" s="231" t="str">
        <f t="shared" ca="1" si="1"/>
        <v/>
      </c>
      <c r="N27" s="357"/>
      <c r="O27" s="359"/>
      <c r="P27" s="359"/>
      <c r="Q27" s="359"/>
      <c r="R27" s="359"/>
      <c r="S27" s="359"/>
    </row>
    <row r="28" spans="1:19" ht="15.75" hidden="1" outlineLevel="1" thickBot="1" x14ac:dyDescent="0.25">
      <c r="A28" s="237"/>
      <c r="B28" s="238"/>
      <c r="C28" s="238"/>
      <c r="D28" s="231"/>
      <c r="E28" s="231"/>
      <c r="F28" s="231"/>
      <c r="G28" s="231"/>
      <c r="H28" s="237"/>
      <c r="I28" s="232"/>
      <c r="J28" s="231"/>
      <c r="K28" s="232" t="str">
        <f t="shared" si="0"/>
        <v/>
      </c>
      <c r="L28" s="235"/>
      <c r="M28" s="231" t="str">
        <f t="shared" ca="1" si="1"/>
        <v/>
      </c>
      <c r="N28" s="357"/>
      <c r="O28" s="359"/>
      <c r="P28" s="359"/>
      <c r="Q28" s="359"/>
      <c r="R28" s="359"/>
      <c r="S28" s="359"/>
    </row>
    <row r="29" spans="1:19" ht="15.75" hidden="1" outlineLevel="1" thickBot="1" x14ac:dyDescent="0.25">
      <c r="A29" s="237"/>
      <c r="B29" s="238"/>
      <c r="C29" s="238"/>
      <c r="D29" s="231"/>
      <c r="E29" s="231"/>
      <c r="F29" s="231"/>
      <c r="G29" s="231"/>
      <c r="H29" s="237"/>
      <c r="I29" s="232"/>
      <c r="J29" s="231"/>
      <c r="K29" s="232" t="str">
        <f t="shared" si="0"/>
        <v/>
      </c>
      <c r="L29" s="235"/>
      <c r="M29" s="231" t="str">
        <f t="shared" ca="1" si="1"/>
        <v/>
      </c>
      <c r="N29" s="357"/>
      <c r="O29" s="359"/>
      <c r="P29" s="359"/>
      <c r="Q29" s="359"/>
      <c r="R29" s="359"/>
      <c r="S29" s="359"/>
    </row>
    <row r="30" spans="1:19" ht="15.75" hidden="1" outlineLevel="1" thickBot="1" x14ac:dyDescent="0.25">
      <c r="A30" s="237"/>
      <c r="B30" s="238"/>
      <c r="C30" s="238"/>
      <c r="D30" s="231"/>
      <c r="E30" s="231"/>
      <c r="F30" s="231"/>
      <c r="G30" s="231"/>
      <c r="H30" s="237"/>
      <c r="I30" s="232"/>
      <c r="J30" s="231"/>
      <c r="K30" s="232" t="str">
        <f t="shared" si="0"/>
        <v/>
      </c>
      <c r="L30" s="235"/>
      <c r="M30" s="231" t="str">
        <f t="shared" ca="1" si="1"/>
        <v/>
      </c>
      <c r="N30" s="357"/>
      <c r="O30" s="359"/>
      <c r="P30" s="359"/>
      <c r="Q30" s="359"/>
      <c r="R30" s="359"/>
      <c r="S30" s="359"/>
    </row>
    <row r="31" spans="1:19" ht="15.75" hidden="1" outlineLevel="1" thickBot="1" x14ac:dyDescent="0.25">
      <c r="A31" s="237"/>
      <c r="B31" s="238"/>
      <c r="C31" s="238"/>
      <c r="D31" s="231"/>
      <c r="E31" s="231"/>
      <c r="F31" s="231"/>
      <c r="G31" s="231"/>
      <c r="H31" s="237"/>
      <c r="I31" s="232"/>
      <c r="J31" s="231"/>
      <c r="K31" s="232" t="str">
        <f t="shared" si="0"/>
        <v/>
      </c>
      <c r="L31" s="235"/>
      <c r="M31" s="231" t="str">
        <f t="shared" ca="1" si="1"/>
        <v/>
      </c>
      <c r="N31" s="357"/>
      <c r="O31" s="359"/>
      <c r="P31" s="359"/>
      <c r="Q31" s="359"/>
      <c r="R31" s="359"/>
      <c r="S31" s="359"/>
    </row>
    <row r="32" spans="1:19" ht="15.75" hidden="1" outlineLevel="1" thickBot="1" x14ac:dyDescent="0.25">
      <c r="A32" s="237"/>
      <c r="B32" s="238"/>
      <c r="C32" s="238"/>
      <c r="D32" s="231"/>
      <c r="E32" s="231"/>
      <c r="F32" s="231"/>
      <c r="G32" s="231"/>
      <c r="H32" s="237"/>
      <c r="I32" s="232"/>
      <c r="J32" s="231"/>
      <c r="K32" s="232" t="str">
        <f t="shared" si="0"/>
        <v/>
      </c>
      <c r="L32" s="235"/>
      <c r="M32" s="231" t="str">
        <f t="shared" ca="1" si="1"/>
        <v/>
      </c>
      <c r="N32" s="357"/>
      <c r="O32" s="359"/>
      <c r="P32" s="359"/>
      <c r="Q32" s="359"/>
      <c r="R32" s="359"/>
      <c r="S32" s="359"/>
    </row>
    <row r="33" spans="1:19" ht="15.75" hidden="1" outlineLevel="1" thickBot="1" x14ac:dyDescent="0.25">
      <c r="A33" s="237"/>
      <c r="B33" s="238"/>
      <c r="C33" s="238"/>
      <c r="D33" s="231"/>
      <c r="E33" s="231"/>
      <c r="F33" s="231"/>
      <c r="G33" s="231"/>
      <c r="H33" s="237"/>
      <c r="I33" s="232"/>
      <c r="J33" s="231"/>
      <c r="K33" s="232" t="str">
        <f t="shared" si="0"/>
        <v/>
      </c>
      <c r="L33" s="235"/>
      <c r="M33" s="231" t="str">
        <f t="shared" ca="1" si="1"/>
        <v/>
      </c>
      <c r="N33" s="357"/>
      <c r="O33" s="359"/>
      <c r="P33" s="359"/>
      <c r="Q33" s="359"/>
      <c r="R33" s="359"/>
      <c r="S33" s="359"/>
    </row>
    <row r="34" spans="1:19" ht="15.75" hidden="1" outlineLevel="1" thickBot="1" x14ac:dyDescent="0.25">
      <c r="A34" s="237"/>
      <c r="B34" s="238"/>
      <c r="C34" s="238"/>
      <c r="D34" s="231"/>
      <c r="E34" s="231"/>
      <c r="F34" s="231"/>
      <c r="G34" s="231"/>
      <c r="H34" s="237"/>
      <c r="I34" s="232"/>
      <c r="J34" s="231"/>
      <c r="K34" s="232" t="str">
        <f t="shared" si="0"/>
        <v/>
      </c>
      <c r="L34" s="235"/>
      <c r="M34" s="231" t="str">
        <f t="shared" ca="1" si="1"/>
        <v/>
      </c>
      <c r="N34" s="357"/>
      <c r="O34" s="359"/>
      <c r="P34" s="359"/>
      <c r="Q34" s="359"/>
      <c r="R34" s="359"/>
      <c r="S34" s="359"/>
    </row>
    <row r="35" spans="1:19" ht="15.75" hidden="1" outlineLevel="1" thickBot="1" x14ac:dyDescent="0.25">
      <c r="A35" s="237"/>
      <c r="B35" s="238"/>
      <c r="C35" s="238"/>
      <c r="D35" s="231"/>
      <c r="E35" s="231"/>
      <c r="F35" s="231"/>
      <c r="G35" s="231"/>
      <c r="H35" s="237"/>
      <c r="I35" s="232"/>
      <c r="J35" s="231"/>
      <c r="K35" s="232" t="str">
        <f t="shared" si="0"/>
        <v/>
      </c>
      <c r="L35" s="235"/>
      <c r="M35" s="231" t="str">
        <f t="shared" ca="1" si="1"/>
        <v/>
      </c>
      <c r="N35" s="357"/>
      <c r="O35" s="359"/>
      <c r="P35" s="359"/>
      <c r="Q35" s="359"/>
      <c r="R35" s="359"/>
      <c r="S35" s="359"/>
    </row>
    <row r="36" spans="1:19" ht="15.75" hidden="1" outlineLevel="1" thickBot="1" x14ac:dyDescent="0.25">
      <c r="A36" s="237"/>
      <c r="B36" s="238"/>
      <c r="C36" s="238"/>
      <c r="D36" s="231"/>
      <c r="E36" s="231"/>
      <c r="F36" s="231"/>
      <c r="G36" s="231"/>
      <c r="H36" s="237"/>
      <c r="I36" s="232"/>
      <c r="J36" s="231"/>
      <c r="K36" s="232" t="str">
        <f t="shared" si="0"/>
        <v/>
      </c>
      <c r="L36" s="235"/>
      <c r="M36" s="231" t="str">
        <f t="shared" ca="1" si="1"/>
        <v/>
      </c>
      <c r="N36" s="357"/>
      <c r="O36" s="359"/>
      <c r="P36" s="359"/>
      <c r="Q36" s="359"/>
      <c r="R36" s="359"/>
      <c r="S36" s="359"/>
    </row>
    <row r="37" spans="1:19" ht="15.75" hidden="1" outlineLevel="1" thickBot="1" x14ac:dyDescent="0.25">
      <c r="A37" s="237"/>
      <c r="B37" s="238"/>
      <c r="C37" s="238"/>
      <c r="D37" s="231"/>
      <c r="E37" s="231"/>
      <c r="F37" s="231"/>
      <c r="G37" s="231"/>
      <c r="H37" s="237"/>
      <c r="I37" s="232"/>
      <c r="J37" s="231"/>
      <c r="K37" s="232" t="str">
        <f t="shared" si="0"/>
        <v/>
      </c>
      <c r="L37" s="235"/>
      <c r="M37" s="231" t="str">
        <f t="shared" ca="1" si="1"/>
        <v/>
      </c>
      <c r="N37" s="357"/>
      <c r="O37" s="359"/>
      <c r="P37" s="359"/>
      <c r="Q37" s="359"/>
      <c r="R37" s="359"/>
      <c r="S37" s="359"/>
    </row>
    <row r="38" spans="1:19" ht="15.75" hidden="1" outlineLevel="1" thickBot="1" x14ac:dyDescent="0.25">
      <c r="A38" s="237"/>
      <c r="B38" s="238"/>
      <c r="C38" s="238"/>
      <c r="D38" s="231"/>
      <c r="E38" s="231"/>
      <c r="F38" s="231"/>
      <c r="G38" s="231"/>
      <c r="H38" s="237"/>
      <c r="I38" s="232"/>
      <c r="J38" s="231"/>
      <c r="K38" s="232" t="str">
        <f t="shared" si="0"/>
        <v/>
      </c>
      <c r="L38" s="235"/>
      <c r="M38" s="231" t="str">
        <f t="shared" ca="1" si="1"/>
        <v/>
      </c>
      <c r="N38" s="357"/>
      <c r="O38" s="359"/>
      <c r="P38" s="359"/>
      <c r="Q38" s="359"/>
      <c r="R38" s="359"/>
      <c r="S38" s="359"/>
    </row>
    <row r="39" spans="1:19" ht="15.75" hidden="1" outlineLevel="1" thickBot="1" x14ac:dyDescent="0.25">
      <c r="A39" s="237"/>
      <c r="B39" s="238"/>
      <c r="C39" s="238"/>
      <c r="D39" s="231"/>
      <c r="E39" s="231"/>
      <c r="F39" s="231"/>
      <c r="G39" s="231"/>
      <c r="H39" s="237"/>
      <c r="I39" s="232"/>
      <c r="J39" s="231"/>
      <c r="K39" s="232" t="str">
        <f t="shared" si="0"/>
        <v/>
      </c>
      <c r="L39" s="235"/>
      <c r="M39" s="231" t="str">
        <f t="shared" ca="1" si="1"/>
        <v/>
      </c>
      <c r="N39" s="357"/>
      <c r="O39" s="359"/>
      <c r="P39" s="359"/>
      <c r="Q39" s="359"/>
      <c r="R39" s="359"/>
      <c r="S39" s="359"/>
    </row>
    <row r="40" spans="1:19" ht="20.25" customHeight="1" collapsed="1" thickBot="1" x14ac:dyDescent="0.25">
      <c r="A40" s="233"/>
      <c r="B40" s="360"/>
      <c r="C40" s="360"/>
      <c r="D40" s="233"/>
      <c r="E40" s="233"/>
      <c r="F40" s="233"/>
      <c r="G40" s="233"/>
      <c r="H40" s="394"/>
      <c r="I40" s="395"/>
      <c r="J40" s="396"/>
      <c r="K40" s="368" t="s">
        <v>145</v>
      </c>
      <c r="L40" s="367">
        <f>SUM(L3:L39)</f>
        <v>0</v>
      </c>
      <c r="M40" s="233" t="str">
        <f t="shared" ca="1" si="1"/>
        <v/>
      </c>
      <c r="N40" s="366"/>
      <c r="O40" s="236"/>
      <c r="P40" s="236"/>
      <c r="Q40" s="236"/>
      <c r="R40" s="236"/>
      <c r="S40" s="236"/>
    </row>
    <row r="41" spans="1:19" x14ac:dyDescent="0.2">
      <c r="A41" s="233"/>
      <c r="B41" s="360"/>
      <c r="C41" s="360"/>
      <c r="D41" s="233"/>
      <c r="E41" s="233"/>
      <c r="F41" s="233"/>
      <c r="G41" s="233"/>
      <c r="H41" s="233"/>
      <c r="I41" s="361"/>
      <c r="J41" s="233"/>
      <c r="K41" s="361" t="str">
        <f>IF(J41="","",DATE(YEAR(I41),MONTH(I41)+J41,DAY(I41)-1))</f>
        <v/>
      </c>
      <c r="L41" s="236"/>
      <c r="M41" s="233" t="str">
        <f t="shared" ca="1" si="1"/>
        <v/>
      </c>
      <c r="N41" s="233"/>
      <c r="O41" s="236"/>
      <c r="P41" s="236"/>
      <c r="Q41" s="236"/>
      <c r="R41" s="236"/>
      <c r="S41" s="236"/>
    </row>
    <row r="42" spans="1:19" x14ac:dyDescent="0.2">
      <c r="A42" s="233"/>
      <c r="B42" s="360"/>
      <c r="C42" s="360"/>
      <c r="D42" s="233"/>
      <c r="E42" s="233"/>
      <c r="F42" s="233"/>
      <c r="G42" s="233"/>
      <c r="H42" s="233"/>
      <c r="I42" s="361"/>
      <c r="J42" s="233"/>
      <c r="K42" s="364"/>
      <c r="L42" s="365"/>
      <c r="M42" s="233" t="str">
        <f t="shared" ca="1" si="1"/>
        <v/>
      </c>
      <c r="N42" s="233"/>
      <c r="O42" s="236"/>
      <c r="P42" s="236"/>
      <c r="Q42" s="236"/>
      <c r="R42" s="236"/>
      <c r="S42" s="236"/>
    </row>
  </sheetData>
  <sheetProtection autoFilter="0"/>
  <protectedRanges>
    <protectedRange sqref="A5:G42" name="Range18"/>
    <protectedRange sqref="A3:G3" name="Range18_3"/>
    <protectedRange sqref="A4:J4 H3:J3 H5:J42 M3:N42 L3:L39 L41:L42" name="Range18_2"/>
  </protectedRanges>
  <autoFilter ref="A2:S43">
    <sortState ref="A3:S42">
      <sortCondition ref="K2:K43"/>
    </sortState>
  </autoFilter>
  <dataConsolidate/>
  <mergeCells count="4">
    <mergeCell ref="O1:S1"/>
    <mergeCell ref="A1:G1"/>
    <mergeCell ref="H1:N1"/>
    <mergeCell ref="H40:J40"/>
  </mergeCells>
  <conditionalFormatting sqref="N3:N42">
    <cfRule type="cellIs" dxfId="61" priority="1" operator="equal">
      <formula>"YES"</formula>
    </cfRule>
    <cfRule type="expression" dxfId="60" priority="2">
      <formula>M3="Green"</formula>
    </cfRule>
    <cfRule type="expression" dxfId="59" priority="3">
      <formula>M3="Red"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'Project Managers &amp; FacOps Reps'!$A$1:$A$20</xm:f>
          </x14:formula1>
          <xm:sqref>F3:F4 F6:F26 E27:F42 E3:E26</xm:sqref>
        </x14:dataValidation>
        <x14:dataValidation type="list" allowBlank="1" showInputMessage="1" showErrorMessage="1">
          <x14:formula1>
            <xm:f>#REF!</xm:f>
          </x14:formula1>
          <xm:sqref>G3:G42</xm:sqref>
        </x14:dataValidation>
        <x14:dataValidation type="list" allowBlank="1" showInputMessage="1" showErrorMessage="1">
          <x14:formula1>
            <xm:f>'Head Office Buildings'!$A$1:$A$96</xm:f>
          </x14:formula1>
          <xm:sqref>D3:D42</xm:sqref>
        </x14:dataValidation>
        <x14:dataValidation type="list" allowBlank="1" showInputMessage="1" showErrorMessage="1">
          <x14:formula1>
            <xm:f>'Rag Coding'!$D$1:$D$2</xm:f>
          </x14:formula1>
          <xm:sqref>N3:N42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70C0"/>
  </sheetPr>
  <dimension ref="A1:CA51"/>
  <sheetViews>
    <sheetView zoomScaleNormal="10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A5" sqref="A5:XFD5"/>
    </sheetView>
  </sheetViews>
  <sheetFormatPr defaultRowHeight="15" outlineLevelCol="1" x14ac:dyDescent="0.2"/>
  <cols>
    <col min="1" max="1" width="11.6640625" style="26" customWidth="1"/>
    <col min="2" max="2" width="8.109375" style="26" customWidth="1"/>
    <col min="3" max="3" width="9.6640625" style="26" customWidth="1"/>
    <col min="4" max="4" width="10" style="26" customWidth="1"/>
    <col min="5" max="5" width="8.88671875" style="26"/>
    <col min="6" max="6" width="7.77734375" style="26" customWidth="1"/>
    <col min="7" max="7" width="10" style="26" bestFit="1" customWidth="1"/>
    <col min="8" max="8" width="10" style="252" customWidth="1"/>
    <col min="9" max="10" width="10" style="26" customWidth="1"/>
    <col min="11" max="12" width="10" style="26" hidden="1" customWidth="1" outlineLevel="1"/>
    <col min="13" max="13" width="7.77734375" style="26" customWidth="1" collapsed="1"/>
    <col min="14" max="19" width="7.77734375" style="26" customWidth="1"/>
    <col min="20" max="22" width="8.88671875" style="26" hidden="1" customWidth="1" outlineLevel="1"/>
    <col min="23" max="23" width="5.77734375" style="26" customWidth="1" collapsed="1"/>
    <col min="24" max="30" width="7.77734375" style="26" customWidth="1"/>
    <col min="31" max="33" width="8.88671875" style="26" hidden="1" customWidth="1" outlineLevel="1"/>
    <col min="34" max="34" width="5.77734375" style="26" customWidth="1" collapsed="1"/>
    <col min="35" max="41" width="7.77734375" style="26" customWidth="1"/>
    <col min="42" max="44" width="8.88671875" style="26" hidden="1" customWidth="1" outlineLevel="1"/>
    <col min="45" max="45" width="5.77734375" style="26" customWidth="1" collapsed="1"/>
    <col min="46" max="50" width="7.77734375" style="26" customWidth="1"/>
    <col min="51" max="51" width="12.33203125" style="26" customWidth="1"/>
    <col min="52" max="53" width="7.77734375" style="26" customWidth="1"/>
    <col min="54" max="56" width="8.88671875" style="26" hidden="1" customWidth="1" outlineLevel="1"/>
    <col min="57" max="57" width="5.77734375" style="26" customWidth="1" collapsed="1"/>
    <col min="58" max="58" width="8.33203125" style="67" customWidth="1"/>
    <col min="59" max="59" width="8.33203125" style="68" customWidth="1"/>
    <col min="60" max="60" width="8.33203125" style="69" customWidth="1"/>
    <col min="61" max="61" width="10.44140625" style="26" hidden="1" customWidth="1" outlineLevel="1"/>
    <col min="62" max="62" width="7.77734375" style="26" hidden="1" customWidth="1" outlineLevel="1"/>
    <col min="63" max="64" width="8.88671875" style="26" hidden="1" customWidth="1" outlineLevel="1"/>
    <col min="65" max="65" width="5.77734375" style="26" customWidth="1" collapsed="1"/>
    <col min="66" max="66" width="28.77734375" style="26" customWidth="1"/>
    <col min="67" max="67" width="51.6640625" style="128" customWidth="1"/>
    <col min="68" max="68" width="17" style="26" customWidth="1"/>
    <col min="69" max="69" width="17.44140625" style="26" customWidth="1"/>
    <col min="70" max="78" width="8.88671875" style="26" hidden="1" customWidth="1" outlineLevel="1"/>
    <col min="79" max="79" width="8.88671875" style="26" collapsed="1"/>
    <col min="80" max="16384" width="8.88671875" style="26"/>
  </cols>
  <sheetData>
    <row r="1" spans="1:79" ht="15" customHeight="1" x14ac:dyDescent="0.2">
      <c r="A1" s="372" t="s">
        <v>11</v>
      </c>
      <c r="B1" s="373"/>
      <c r="C1" s="373"/>
      <c r="D1" s="373"/>
      <c r="E1" s="373"/>
      <c r="F1" s="373"/>
      <c r="G1" s="373"/>
      <c r="H1" s="397" t="s">
        <v>249</v>
      </c>
      <c r="I1" s="398"/>
      <c r="J1" s="399"/>
      <c r="K1" s="168"/>
      <c r="L1" s="169"/>
      <c r="M1" s="400" t="s">
        <v>6</v>
      </c>
      <c r="N1" s="383"/>
      <c r="O1" s="383"/>
      <c r="P1" s="383"/>
      <c r="Q1" s="383"/>
      <c r="R1" s="383"/>
      <c r="S1" s="383"/>
      <c r="T1" s="383"/>
      <c r="U1" s="383"/>
      <c r="V1" s="383"/>
      <c r="W1" s="384"/>
      <c r="X1" s="385" t="s">
        <v>131</v>
      </c>
      <c r="Y1" s="386"/>
      <c r="Z1" s="386"/>
      <c r="AA1" s="386"/>
      <c r="AB1" s="386"/>
      <c r="AC1" s="386"/>
      <c r="AD1" s="386"/>
      <c r="AE1" s="386"/>
      <c r="AF1" s="386"/>
      <c r="AG1" s="386"/>
      <c r="AH1" s="387"/>
      <c r="AI1" s="401" t="s">
        <v>130</v>
      </c>
      <c r="AJ1" s="402"/>
      <c r="AK1" s="402"/>
      <c r="AL1" s="402"/>
      <c r="AM1" s="402"/>
      <c r="AN1" s="402"/>
      <c r="AO1" s="402"/>
      <c r="AP1" s="402"/>
      <c r="AQ1" s="402"/>
      <c r="AR1" s="402"/>
      <c r="AS1" s="403"/>
      <c r="AT1" s="404" t="s">
        <v>5</v>
      </c>
      <c r="AU1" s="405"/>
      <c r="AV1" s="405"/>
      <c r="AW1" s="405"/>
      <c r="AX1" s="405"/>
      <c r="AY1" s="405"/>
      <c r="AZ1" s="405"/>
      <c r="BA1" s="405"/>
      <c r="BB1" s="405"/>
      <c r="BC1" s="405"/>
      <c r="BD1" s="405"/>
      <c r="BE1" s="406"/>
      <c r="BF1" s="377" t="s">
        <v>7</v>
      </c>
      <c r="BG1" s="377"/>
      <c r="BH1" s="377"/>
      <c r="BI1" s="377"/>
      <c r="BJ1" s="377"/>
      <c r="BK1" s="377"/>
      <c r="BL1" s="377"/>
      <c r="BM1" s="377"/>
      <c r="BN1" s="378" t="s">
        <v>14</v>
      </c>
      <c r="BO1" s="379"/>
      <c r="BP1" s="371" t="s">
        <v>93</v>
      </c>
      <c r="BQ1" s="371"/>
      <c r="BR1" s="370" t="s">
        <v>138</v>
      </c>
      <c r="BS1" s="370"/>
      <c r="BT1" s="370"/>
      <c r="BU1" s="370"/>
      <c r="BV1" s="370"/>
      <c r="BW1" s="370"/>
      <c r="BX1" s="370"/>
      <c r="BY1" s="370"/>
      <c r="BZ1" s="370"/>
    </row>
    <row r="2" spans="1:79" ht="45" x14ac:dyDescent="0.2">
      <c r="A2" s="42" t="s">
        <v>8</v>
      </c>
      <c r="B2" s="43" t="s">
        <v>9</v>
      </c>
      <c r="C2" s="43" t="s">
        <v>10</v>
      </c>
      <c r="D2" s="43" t="s">
        <v>18</v>
      </c>
      <c r="E2" s="43" t="s">
        <v>20</v>
      </c>
      <c r="F2" s="43" t="s">
        <v>207</v>
      </c>
      <c r="G2" s="43" t="s">
        <v>19</v>
      </c>
      <c r="H2" s="250" t="s">
        <v>250</v>
      </c>
      <c r="I2" s="166" t="s">
        <v>251</v>
      </c>
      <c r="J2" s="167" t="s">
        <v>252</v>
      </c>
      <c r="K2" s="166"/>
      <c r="L2" s="167" t="s">
        <v>255</v>
      </c>
      <c r="M2" s="22" t="s">
        <v>22</v>
      </c>
      <c r="N2" s="22" t="s">
        <v>23</v>
      </c>
      <c r="O2" s="22" t="s">
        <v>1</v>
      </c>
      <c r="P2" s="22" t="s">
        <v>0</v>
      </c>
      <c r="Q2" s="22" t="s">
        <v>24</v>
      </c>
      <c r="R2" s="22" t="s">
        <v>92</v>
      </c>
      <c r="S2" s="22" t="s">
        <v>96</v>
      </c>
      <c r="T2" s="22" t="s">
        <v>23</v>
      </c>
      <c r="U2" s="22" t="s">
        <v>0</v>
      </c>
      <c r="V2" s="22" t="s">
        <v>24</v>
      </c>
      <c r="W2" s="41" t="s">
        <v>3</v>
      </c>
      <c r="X2" s="40" t="s">
        <v>22</v>
      </c>
      <c r="Y2" s="22" t="s">
        <v>23</v>
      </c>
      <c r="Z2" s="22" t="s">
        <v>1</v>
      </c>
      <c r="AA2" s="22" t="s">
        <v>0</v>
      </c>
      <c r="AB2" s="22" t="s">
        <v>24</v>
      </c>
      <c r="AC2" s="22" t="s">
        <v>205</v>
      </c>
      <c r="AD2" s="22" t="s">
        <v>12</v>
      </c>
      <c r="AE2" s="22" t="s">
        <v>23</v>
      </c>
      <c r="AF2" s="22" t="s">
        <v>0</v>
      </c>
      <c r="AG2" s="22" t="s">
        <v>24</v>
      </c>
      <c r="AH2" s="41" t="s">
        <v>3</v>
      </c>
      <c r="AI2" s="40" t="s">
        <v>22</v>
      </c>
      <c r="AJ2" s="22" t="s">
        <v>23</v>
      </c>
      <c r="AK2" s="22" t="s">
        <v>1</v>
      </c>
      <c r="AL2" s="22" t="s">
        <v>0</v>
      </c>
      <c r="AM2" s="22" t="s">
        <v>24</v>
      </c>
      <c r="AN2" s="22" t="s">
        <v>4</v>
      </c>
      <c r="AO2" s="22" t="s">
        <v>12</v>
      </c>
      <c r="AP2" s="22" t="s">
        <v>23</v>
      </c>
      <c r="AQ2" s="22" t="s">
        <v>0</v>
      </c>
      <c r="AR2" s="22" t="s">
        <v>24</v>
      </c>
      <c r="AS2" s="41" t="s">
        <v>3</v>
      </c>
      <c r="AT2" s="46" t="s">
        <v>22</v>
      </c>
      <c r="AU2" s="47" t="s">
        <v>23</v>
      </c>
      <c r="AV2" s="47" t="s">
        <v>1</v>
      </c>
      <c r="AW2" s="47" t="s">
        <v>0</v>
      </c>
      <c r="AX2" s="47" t="s">
        <v>245</v>
      </c>
      <c r="AY2" s="47" t="s">
        <v>2</v>
      </c>
      <c r="AZ2" s="47"/>
      <c r="BA2" s="47" t="s">
        <v>13</v>
      </c>
      <c r="BB2" s="47" t="s">
        <v>23</v>
      </c>
      <c r="BC2" s="47" t="s">
        <v>0</v>
      </c>
      <c r="BD2" s="47" t="s">
        <v>24</v>
      </c>
      <c r="BE2" s="30" t="s">
        <v>3</v>
      </c>
      <c r="BF2" s="48" t="s">
        <v>25</v>
      </c>
      <c r="BG2" s="49" t="s">
        <v>91</v>
      </c>
      <c r="BH2" s="50" t="s">
        <v>204</v>
      </c>
      <c r="BI2" s="15" t="s">
        <v>90</v>
      </c>
      <c r="BJ2" s="15" t="s">
        <v>242</v>
      </c>
      <c r="BK2" s="16"/>
      <c r="BL2" s="16"/>
      <c r="BM2" s="13" t="s">
        <v>3</v>
      </c>
      <c r="BN2" s="17" t="s">
        <v>15</v>
      </c>
      <c r="BO2" s="17" t="s">
        <v>16</v>
      </c>
      <c r="BP2" s="14" t="s">
        <v>17</v>
      </c>
      <c r="BQ2" s="14" t="s">
        <v>21</v>
      </c>
      <c r="BR2" s="38" t="s">
        <v>97</v>
      </c>
      <c r="BS2" s="38" t="s">
        <v>99</v>
      </c>
      <c r="BT2" s="38" t="s">
        <v>133</v>
      </c>
      <c r="BU2" s="38" t="s">
        <v>99</v>
      </c>
      <c r="BV2" s="38" t="s">
        <v>132</v>
      </c>
      <c r="BW2" s="38" t="s">
        <v>99</v>
      </c>
      <c r="BX2" s="38" t="s">
        <v>98</v>
      </c>
      <c r="BY2" s="38" t="s">
        <v>99</v>
      </c>
      <c r="BZ2" s="38" t="s">
        <v>29</v>
      </c>
      <c r="CA2" s="38" t="s">
        <v>369</v>
      </c>
    </row>
    <row r="3" spans="1:79" ht="45" customHeight="1" x14ac:dyDescent="0.2">
      <c r="A3" s="44" t="s">
        <v>373</v>
      </c>
      <c r="B3" s="21">
        <v>111111</v>
      </c>
      <c r="C3" s="21" t="s">
        <v>374</v>
      </c>
      <c r="D3" s="20" t="s">
        <v>82</v>
      </c>
      <c r="E3" s="20" t="s">
        <v>372</v>
      </c>
      <c r="F3" s="100"/>
      <c r="G3" s="100"/>
      <c r="H3" s="170"/>
      <c r="I3" s="158" t="s">
        <v>341</v>
      </c>
      <c r="J3" s="163"/>
      <c r="K3" s="162" t="s">
        <v>341</v>
      </c>
      <c r="L3" s="54" t="s">
        <v>341</v>
      </c>
      <c r="M3" s="148">
        <v>42747</v>
      </c>
      <c r="N3" s="120">
        <v>42747</v>
      </c>
      <c r="O3" s="52">
        <v>42959</v>
      </c>
      <c r="P3" s="121">
        <v>42959</v>
      </c>
      <c r="Q3" s="120"/>
      <c r="R3" s="28"/>
      <c r="S3" s="28"/>
      <c r="T3" s="53" t="s">
        <v>28</v>
      </c>
      <c r="U3" s="53" t="s">
        <v>28</v>
      </c>
      <c r="V3" s="53" t="s">
        <v>341</v>
      </c>
      <c r="W3" s="54" t="s">
        <v>28</v>
      </c>
      <c r="X3" s="51"/>
      <c r="Y3" s="120"/>
      <c r="Z3" s="52"/>
      <c r="AA3" s="120"/>
      <c r="AB3" s="120"/>
      <c r="AC3" s="52"/>
      <c r="AD3" s="52"/>
      <c r="AE3" s="53" t="s">
        <v>341</v>
      </c>
      <c r="AF3" s="53" t="s">
        <v>341</v>
      </c>
      <c r="AG3" s="53" t="s">
        <v>341</v>
      </c>
      <c r="AH3" s="54" t="s">
        <v>341</v>
      </c>
      <c r="AI3" s="51"/>
      <c r="AJ3" s="120"/>
      <c r="AK3" s="52"/>
      <c r="AL3" s="120"/>
      <c r="AM3" s="120"/>
      <c r="AN3" s="52"/>
      <c r="AO3" s="52"/>
      <c r="AP3" s="53" t="s">
        <v>341</v>
      </c>
      <c r="AQ3" s="53" t="s">
        <v>341</v>
      </c>
      <c r="AR3" s="53" t="s">
        <v>341</v>
      </c>
      <c r="AS3" s="54" t="s">
        <v>341</v>
      </c>
      <c r="AT3" s="55"/>
      <c r="AU3" s="121"/>
      <c r="AV3" s="56"/>
      <c r="AW3" s="121"/>
      <c r="AX3" s="121"/>
      <c r="AY3" s="45" t="s">
        <v>341</v>
      </c>
      <c r="AZ3" s="45"/>
      <c r="BA3" s="45" t="s">
        <v>341</v>
      </c>
      <c r="BB3" s="57" t="s">
        <v>341</v>
      </c>
      <c r="BC3" s="57" t="s">
        <v>341</v>
      </c>
      <c r="BD3" s="57" t="s">
        <v>341</v>
      </c>
      <c r="BE3" s="58"/>
      <c r="BF3" s="59">
        <v>100000</v>
      </c>
      <c r="BG3" s="60">
        <v>100000</v>
      </c>
      <c r="BH3" s="61"/>
      <c r="BI3" s="62"/>
      <c r="BJ3" s="60" t="e">
        <v>#DIV/0!</v>
      </c>
      <c r="BK3" s="63" t="e">
        <v>#DIV/0!</v>
      </c>
      <c r="BL3" s="63" t="s">
        <v>341</v>
      </c>
      <c r="BM3" s="64"/>
      <c r="BN3" s="18"/>
      <c r="BO3" s="19" t="s">
        <v>28</v>
      </c>
      <c r="BP3" s="65">
        <v>0</v>
      </c>
      <c r="BQ3" s="37" t="s">
        <v>375</v>
      </c>
      <c r="BR3" s="39" t="s">
        <v>341</v>
      </c>
      <c r="BS3" s="39" t="s">
        <v>341</v>
      </c>
      <c r="BT3" s="39" t="s">
        <v>341</v>
      </c>
      <c r="BU3" s="39" t="s">
        <v>341</v>
      </c>
      <c r="BV3" s="39" t="s">
        <v>341</v>
      </c>
      <c r="BW3" s="39" t="s">
        <v>341</v>
      </c>
      <c r="BX3" s="39" t="s">
        <v>341</v>
      </c>
      <c r="BY3" s="39" t="s">
        <v>376</v>
      </c>
      <c r="BZ3" s="39" t="s">
        <v>377</v>
      </c>
      <c r="CA3" s="38"/>
    </row>
    <row r="4" spans="1:79" ht="56.25" customHeight="1" x14ac:dyDescent="0.2">
      <c r="A4" s="44" t="s">
        <v>373</v>
      </c>
      <c r="B4" s="21">
        <v>111111</v>
      </c>
      <c r="C4" s="21" t="s">
        <v>374</v>
      </c>
      <c r="D4" s="20" t="s">
        <v>82</v>
      </c>
      <c r="E4" s="20"/>
      <c r="F4" s="100"/>
      <c r="G4" s="100"/>
      <c r="H4" s="170">
        <v>42747</v>
      </c>
      <c r="I4" s="158">
        <v>42778</v>
      </c>
      <c r="J4" s="163"/>
      <c r="K4" s="162" t="s">
        <v>380</v>
      </c>
      <c r="L4" s="54" t="s">
        <v>28</v>
      </c>
      <c r="M4" s="148"/>
      <c r="N4" s="120"/>
      <c r="O4" s="52"/>
      <c r="P4" s="121"/>
      <c r="Q4" s="120"/>
      <c r="R4" s="28"/>
      <c r="S4" s="28"/>
      <c r="T4" s="53" t="s">
        <v>341</v>
      </c>
      <c r="U4" s="53" t="s">
        <v>341</v>
      </c>
      <c r="V4" s="53" t="s">
        <v>341</v>
      </c>
      <c r="W4" s="54" t="s">
        <v>341</v>
      </c>
      <c r="X4" s="51"/>
      <c r="Y4" s="120"/>
      <c r="Z4" s="52"/>
      <c r="AA4" s="120"/>
      <c r="AB4" s="120"/>
      <c r="AC4" s="52"/>
      <c r="AD4" s="52"/>
      <c r="AE4" s="53" t="s">
        <v>341</v>
      </c>
      <c r="AF4" s="53" t="s">
        <v>341</v>
      </c>
      <c r="AG4" s="53" t="s">
        <v>341</v>
      </c>
      <c r="AH4" s="54" t="s">
        <v>341</v>
      </c>
      <c r="AI4" s="51"/>
      <c r="AJ4" s="120"/>
      <c r="AK4" s="52"/>
      <c r="AL4" s="120"/>
      <c r="AM4" s="120"/>
      <c r="AN4" s="52"/>
      <c r="AO4" s="52"/>
      <c r="AP4" s="53" t="s">
        <v>341</v>
      </c>
      <c r="AQ4" s="53" t="s">
        <v>341</v>
      </c>
      <c r="AR4" s="53" t="s">
        <v>341</v>
      </c>
      <c r="AS4" s="54" t="s">
        <v>341</v>
      </c>
      <c r="AT4" s="55"/>
      <c r="AU4" s="121"/>
      <c r="AV4" s="56"/>
      <c r="AW4" s="121"/>
      <c r="AX4" s="121"/>
      <c r="AY4" s="45" t="s">
        <v>341</v>
      </c>
      <c r="AZ4" s="45"/>
      <c r="BA4" s="45" t="s">
        <v>341</v>
      </c>
      <c r="BB4" s="57" t="s">
        <v>341</v>
      </c>
      <c r="BC4" s="57" t="s">
        <v>341</v>
      </c>
      <c r="BD4" s="57" t="s">
        <v>341</v>
      </c>
      <c r="BE4" s="58"/>
      <c r="BF4" s="59">
        <v>100000</v>
      </c>
      <c r="BG4" s="60">
        <v>100000</v>
      </c>
      <c r="BH4" s="61"/>
      <c r="BI4" s="62"/>
      <c r="BJ4" s="60" t="e">
        <v>#DIV/0!</v>
      </c>
      <c r="BK4" s="63" t="e">
        <v>#DIV/0!</v>
      </c>
      <c r="BL4" s="63" t="s">
        <v>341</v>
      </c>
      <c r="BM4" s="64"/>
      <c r="BN4" s="18"/>
      <c r="BO4" s="129" t="s">
        <v>341</v>
      </c>
      <c r="BP4" s="65" t="e">
        <v>#REF!</v>
      </c>
      <c r="BQ4" s="37" t="s">
        <v>341</v>
      </c>
      <c r="BR4" s="39" t="s">
        <v>341</v>
      </c>
      <c r="BS4" s="39" t="s">
        <v>341</v>
      </c>
      <c r="BT4" s="39" t="s">
        <v>341</v>
      </c>
      <c r="BU4" s="39" t="s">
        <v>341</v>
      </c>
      <c r="BV4" s="39" t="s">
        <v>341</v>
      </c>
      <c r="BW4" s="39" t="s">
        <v>341</v>
      </c>
      <c r="BX4" s="39" t="s">
        <v>341</v>
      </c>
      <c r="BY4" s="39" t="s">
        <v>376</v>
      </c>
      <c r="BZ4" s="39" t="s">
        <v>249</v>
      </c>
      <c r="CA4" s="38"/>
    </row>
    <row r="5" spans="1:79" s="66" customFormat="1" ht="123.75" customHeight="1" x14ac:dyDescent="0.2">
      <c r="A5" s="44" t="s">
        <v>379</v>
      </c>
      <c r="B5" s="21">
        <v>111111</v>
      </c>
      <c r="C5" s="21" t="s">
        <v>374</v>
      </c>
      <c r="D5" s="20" t="s">
        <v>82</v>
      </c>
      <c r="E5" s="20" t="s">
        <v>87</v>
      </c>
      <c r="F5" s="100"/>
      <c r="G5" s="100"/>
      <c r="H5" s="251"/>
      <c r="I5" s="157" t="s">
        <v>341</v>
      </c>
      <c r="J5" s="163"/>
      <c r="K5" s="161" t="s">
        <v>341</v>
      </c>
      <c r="L5" s="54" t="s">
        <v>341</v>
      </c>
      <c r="M5" s="148">
        <v>42747</v>
      </c>
      <c r="N5" s="120">
        <v>42747</v>
      </c>
      <c r="O5" s="52">
        <v>42959</v>
      </c>
      <c r="P5" s="120">
        <v>42959</v>
      </c>
      <c r="Q5" s="120"/>
      <c r="R5" s="28"/>
      <c r="S5" s="28"/>
      <c r="T5" s="53" t="s">
        <v>28</v>
      </c>
      <c r="U5" s="53" t="s">
        <v>28</v>
      </c>
      <c r="V5" s="53" t="s">
        <v>341</v>
      </c>
      <c r="W5" s="54" t="s">
        <v>28</v>
      </c>
      <c r="X5" s="51"/>
      <c r="Y5" s="120"/>
      <c r="Z5" s="52"/>
      <c r="AA5" s="120"/>
      <c r="AB5" s="120"/>
      <c r="AC5" s="52"/>
      <c r="AD5" s="52"/>
      <c r="AE5" s="53" t="s">
        <v>341</v>
      </c>
      <c r="AF5" s="53" t="s">
        <v>341</v>
      </c>
      <c r="AG5" s="53" t="s">
        <v>341</v>
      </c>
      <c r="AH5" s="54" t="s">
        <v>341</v>
      </c>
      <c r="AI5" s="51"/>
      <c r="AJ5" s="120"/>
      <c r="AK5" s="52"/>
      <c r="AL5" s="120"/>
      <c r="AM5" s="120"/>
      <c r="AN5" s="52"/>
      <c r="AO5" s="52"/>
      <c r="AP5" s="53" t="s">
        <v>341</v>
      </c>
      <c r="AQ5" s="53" t="s">
        <v>341</v>
      </c>
      <c r="AR5" s="53" t="s">
        <v>341</v>
      </c>
      <c r="AS5" s="54" t="s">
        <v>341</v>
      </c>
      <c r="AT5" s="55"/>
      <c r="AU5" s="121"/>
      <c r="AV5" s="56"/>
      <c r="AW5" s="121"/>
      <c r="AX5" s="121"/>
      <c r="AY5" s="45" t="s">
        <v>341</v>
      </c>
      <c r="AZ5" s="45"/>
      <c r="BA5" s="45" t="s">
        <v>341</v>
      </c>
      <c r="BB5" s="57" t="s">
        <v>341</v>
      </c>
      <c r="BC5" s="57" t="s">
        <v>341</v>
      </c>
      <c r="BD5" s="57" t="s">
        <v>341</v>
      </c>
      <c r="BE5" s="58"/>
      <c r="BF5" s="59">
        <v>100000</v>
      </c>
      <c r="BG5" s="60">
        <v>100000</v>
      </c>
      <c r="BH5" s="61"/>
      <c r="BI5" s="62"/>
      <c r="BJ5" s="60" t="e">
        <v>#DIV/0!</v>
      </c>
      <c r="BK5" s="63" t="e">
        <v>#DIV/0!</v>
      </c>
      <c r="BL5" s="63" t="s">
        <v>341</v>
      </c>
      <c r="BM5" s="64"/>
      <c r="BN5" s="18"/>
      <c r="BO5" s="29" t="s">
        <v>28</v>
      </c>
      <c r="BP5" s="65">
        <v>0</v>
      </c>
      <c r="BQ5" s="37" t="s">
        <v>375</v>
      </c>
      <c r="BR5" s="39" t="s">
        <v>341</v>
      </c>
      <c r="BS5" s="39" t="s">
        <v>341</v>
      </c>
      <c r="BT5" s="39" t="s">
        <v>341</v>
      </c>
      <c r="BU5" s="39" t="s">
        <v>341</v>
      </c>
      <c r="BV5" s="39" t="s">
        <v>341</v>
      </c>
      <c r="BW5" s="39" t="s">
        <v>341</v>
      </c>
      <c r="BX5" s="39" t="s">
        <v>341</v>
      </c>
      <c r="BY5" s="39" t="s">
        <v>376</v>
      </c>
      <c r="BZ5" s="39" t="s">
        <v>377</v>
      </c>
      <c r="CA5" s="38"/>
    </row>
    <row r="6" spans="1:79" ht="56.25" customHeight="1" x14ac:dyDescent="0.2">
      <c r="A6" s="44"/>
      <c r="B6" s="21"/>
      <c r="C6" s="21"/>
      <c r="D6" s="20"/>
      <c r="E6" s="20"/>
      <c r="F6" s="100"/>
      <c r="G6" s="100"/>
      <c r="H6" s="170"/>
      <c r="I6" s="158"/>
      <c r="J6" s="163"/>
      <c r="K6" s="162"/>
      <c r="L6" s="54"/>
      <c r="M6" s="148"/>
      <c r="N6" s="120"/>
      <c r="O6" s="52"/>
      <c r="P6" s="121"/>
      <c r="Q6" s="120"/>
      <c r="R6" s="28"/>
      <c r="S6" s="28"/>
      <c r="T6" s="53"/>
      <c r="U6" s="53"/>
      <c r="V6" s="53"/>
      <c r="W6" s="54"/>
      <c r="X6" s="51"/>
      <c r="Y6" s="120"/>
      <c r="Z6" s="52"/>
      <c r="AA6" s="120"/>
      <c r="AB6" s="120"/>
      <c r="AC6" s="52"/>
      <c r="AD6" s="52"/>
      <c r="AE6" s="53"/>
      <c r="AF6" s="53"/>
      <c r="AG6" s="53"/>
      <c r="AH6" s="54"/>
      <c r="AI6" s="51"/>
      <c r="AJ6" s="120"/>
      <c r="AK6" s="52"/>
      <c r="AL6" s="120"/>
      <c r="AM6" s="120"/>
      <c r="AN6" s="52"/>
      <c r="AO6" s="52"/>
      <c r="AP6" s="53"/>
      <c r="AQ6" s="53"/>
      <c r="AR6" s="53"/>
      <c r="AS6" s="54"/>
      <c r="AT6" s="55"/>
      <c r="AU6" s="121"/>
      <c r="AV6" s="56"/>
      <c r="AW6" s="121"/>
      <c r="AX6" s="121"/>
      <c r="AY6" s="45"/>
      <c r="AZ6" s="45"/>
      <c r="BA6" s="45"/>
      <c r="BB6" s="57"/>
      <c r="BC6" s="57"/>
      <c r="BD6" s="57"/>
      <c r="BE6" s="58"/>
      <c r="BF6" s="59"/>
      <c r="BG6" s="60"/>
      <c r="BH6" s="61"/>
      <c r="BI6" s="62"/>
      <c r="BJ6" s="60"/>
      <c r="BK6" s="63"/>
      <c r="BL6" s="63"/>
      <c r="BM6" s="64"/>
      <c r="BN6" s="18"/>
      <c r="BO6" s="129"/>
      <c r="BP6" s="65"/>
      <c r="BQ6" s="37"/>
      <c r="BR6" s="39" t="s">
        <v>341</v>
      </c>
      <c r="BS6" s="39" t="s">
        <v>341</v>
      </c>
      <c r="BT6" s="39" t="s">
        <v>341</v>
      </c>
      <c r="BU6" s="39" t="s">
        <v>341</v>
      </c>
      <c r="BV6" s="39" t="s">
        <v>341</v>
      </c>
      <c r="BW6" s="39" t="s">
        <v>341</v>
      </c>
      <c r="BX6" s="39" t="s">
        <v>342</v>
      </c>
      <c r="BY6" s="39" t="s">
        <v>343</v>
      </c>
      <c r="BZ6" s="39" t="s">
        <v>344</v>
      </c>
      <c r="CA6" s="38"/>
    </row>
    <row r="7" spans="1:79" ht="78.75" customHeight="1" x14ac:dyDescent="0.2">
      <c r="A7" s="224"/>
      <c r="B7" s="321"/>
      <c r="C7" s="321"/>
      <c r="D7" s="320"/>
      <c r="E7" s="320"/>
      <c r="F7" s="100"/>
      <c r="G7" s="100"/>
      <c r="H7" s="227"/>
      <c r="I7" s="347"/>
      <c r="J7" s="226"/>
      <c r="K7" s="346"/>
      <c r="L7" s="330"/>
      <c r="M7" s="345"/>
      <c r="N7" s="343"/>
      <c r="O7" s="328"/>
      <c r="P7" s="344"/>
      <c r="Q7" s="343"/>
      <c r="R7" s="322"/>
      <c r="S7" s="322"/>
      <c r="T7" s="329"/>
      <c r="U7" s="329"/>
      <c r="V7" s="329"/>
      <c r="W7" s="330"/>
      <c r="X7" s="327"/>
      <c r="Y7" s="343"/>
      <c r="Z7" s="328"/>
      <c r="AA7" s="343"/>
      <c r="AB7" s="343"/>
      <c r="AC7" s="328"/>
      <c r="AD7" s="328"/>
      <c r="AE7" s="329"/>
      <c r="AF7" s="329"/>
      <c r="AG7" s="329"/>
      <c r="AH7" s="330"/>
      <c r="AI7" s="327"/>
      <c r="AJ7" s="343"/>
      <c r="AK7" s="328"/>
      <c r="AL7" s="343"/>
      <c r="AM7" s="343"/>
      <c r="AN7" s="328"/>
      <c r="AO7" s="328"/>
      <c r="AP7" s="329"/>
      <c r="AQ7" s="329"/>
      <c r="AR7" s="329"/>
      <c r="AS7" s="330"/>
      <c r="AT7" s="331"/>
      <c r="AU7" s="344"/>
      <c r="AV7" s="332"/>
      <c r="AW7" s="344"/>
      <c r="AX7" s="344"/>
      <c r="AY7" s="326"/>
      <c r="AZ7" s="326"/>
      <c r="BA7" s="326"/>
      <c r="BB7" s="333"/>
      <c r="BC7" s="333"/>
      <c r="BD7" s="333"/>
      <c r="BE7" s="334"/>
      <c r="BF7" s="335"/>
      <c r="BG7" s="336"/>
      <c r="BH7" s="337"/>
      <c r="BI7" s="338"/>
      <c r="BJ7" s="336"/>
      <c r="BK7" s="339"/>
      <c r="BL7" s="339"/>
      <c r="BM7" s="340"/>
      <c r="BN7" s="318"/>
      <c r="BO7" s="319"/>
      <c r="BP7" s="341"/>
      <c r="BQ7" s="323"/>
      <c r="BR7" s="324" t="str">
        <f t="shared" ref="BR7" ca="1" si="0">IF(M7="","",IF(V7&lt;&gt;"","Completed ",IF(AND(U7&lt;&gt;"",P7&gt;TODAY()),"Forecast Completion on "&amp;DAY(P7)&amp;"-"&amp;MONTH(P7)&amp;"-"&amp;YEAR(P7)&amp;CHAR(10)&amp;IF(P7-O7&gt;0,(P7-O7)&amp;" day(s) late",(IF(P7-O7=0,"on time",(O7-P7)&amp;" day(s) early"))),IF(P7&lt;TODAY(),"Forecast Completion in the past, please update","Baseline Complete"))))</f>
        <v/>
      </c>
      <c r="BS7" s="324" t="str">
        <f t="shared" ref="BS7" ca="1" si="1">IF(BR7="Completed ",IF(Q7-O7&gt;0,Q7-O7&amp;" day(s) late",(IF(Q7-O7=0,"on time",O7-Q7&amp;" day(s) early"))),"")</f>
        <v/>
      </c>
      <c r="BT7" s="324" t="str">
        <f t="shared" ref="BT7" ca="1" si="2">IF(X7="","",IF(AG7&lt;&gt;"","Completed ",IF(AND(AF7&lt;&gt;"",AA7&gt;TODAY()),"Forecast Completion on "&amp;DAY(AA7)&amp;"-"&amp;MONTH(AA7)&amp;"-"&amp;YEAR(AA7)&amp;CHAR(10)&amp;IF(AA7-Z7&gt;0,(AA7-Z7)&amp;" day(s) late",(IF(AA7-Z7=0,"on time",(Z7-AA7)&amp;" day(s) early"))),IF(AA7&lt;TODAY(),"Forecast Completion in the past, please update","Baseline Complete"))))</f>
        <v/>
      </c>
      <c r="BU7" s="324" t="str">
        <f t="shared" ref="BU7" ca="1" si="3">IF(BT7="Completed ",IF(AB7-Z7&gt;0,AB7-Z7&amp;" day(s) late",(IF(AB7-Z7=0,"on time",Z7-AB7&amp;" day(s) early"))),"")</f>
        <v/>
      </c>
      <c r="BV7" s="324" t="str">
        <f t="shared" ref="BV7" ca="1" si="4">IF(AI7="","",IF(AR7&lt;&gt;"","Completed ",IF(AND(AQ7&lt;&gt;"",AL7&gt;TODAY()),"Forecast Completion on "&amp;DAY(AL7)&amp;"-"&amp;MONTH(AL7)&amp;"-"&amp;YEAR(AL7)&amp;CHAR(10)&amp;IF(AL7-AK7&gt;0,(AL7-AK7)&amp;" day(s) late",(IF(AL7-AK7=0,"on time",(AK7-AL7)&amp;" day(s) early"))),IF(AL7&lt;TODAY(),"Forecast Completion in the past, please update","Baseline Complete"))))</f>
        <v/>
      </c>
      <c r="BW7" s="324" t="str">
        <f t="shared" ref="BW7" ca="1" si="5">IF(BV7="Completed ",IF(AM7-AK7&gt;0,AM7-AK7&amp;" day(s) late",(IF(AM7-AK7=0,"on time",AK7-AM7&amp;" day(s) early"))),"")</f>
        <v/>
      </c>
      <c r="BX7" s="324" t="str">
        <f t="shared" ref="BX7" ca="1" si="6">IF(AT7="","",IF(BD7&lt;&gt;"","Completed ",IF(AND(BC7&lt;&gt;"",AW7&gt;TODAY()),"Forecast Completion on "&amp;DAY(AW7)&amp;"-"&amp;MONTH(AW7)&amp;"-"&amp;YEAR(AW7)&amp;CHAR(10)&amp;IF(AW7-AV7&gt;0,(AW7-AV7)&amp;" day(s) late",(IF(AW7-AV7=0,"on time",(AV7-AW7)&amp;" day(s) early"))),IF(AW7&lt;TODAY(),"Forecast Completion in the past, please update","Baseline Complete"))))</f>
        <v/>
      </c>
      <c r="BY7" s="324" t="str">
        <f t="shared" ref="BY7" ca="1" si="7">IF(BX7="Completed ",IF(AX7-AV7&gt;0,AX7-AV7&amp;" day(s) late",(IF(AX7-AV7=0,"on time",AV7-AX7&amp;" day(s) early"))),"")</f>
        <v/>
      </c>
      <c r="BZ7" s="324" t="str">
        <f t="shared" ref="BZ7" ca="1" si="8">IF(BX7="Completed ",IF(BG7-BF7&gt;0,"Over budget by £"&amp;(BG7-BF7),"Under budget by £"&amp;BF7-BG7),IF(BG7="","","Current Forecast Spend £"&amp;BG7))</f>
        <v/>
      </c>
      <c r="CA7" s="324" t="str">
        <f t="shared" ref="CA7" si="9">IF(COUNTA(AT7:AX7),"Stage Gate 5",IF(COUNTA(AI7:AM7),"Stage Gate 4", IF(COUNTA(X7:AB7),"Stage Gate 3",  IF(COUNTA(M7:Q7),"Stage Gate 2", "Stage Gate 1"))))</f>
        <v>Stage Gate 1</v>
      </c>
    </row>
    <row r="8" spans="1:79" ht="78.75" customHeight="1" x14ac:dyDescent="0.2">
      <c r="A8" s="224"/>
      <c r="B8" s="321"/>
      <c r="C8" s="321"/>
      <c r="D8" s="320"/>
      <c r="E8" s="320"/>
      <c r="F8" s="100"/>
      <c r="G8" s="100"/>
      <c r="H8" s="227"/>
      <c r="I8" s="347"/>
      <c r="J8" s="226"/>
      <c r="K8" s="346"/>
      <c r="L8" s="330"/>
      <c r="M8" s="345"/>
      <c r="N8" s="343"/>
      <c r="O8" s="328"/>
      <c r="P8" s="344"/>
      <c r="Q8" s="343"/>
      <c r="R8" s="322"/>
      <c r="S8" s="322"/>
      <c r="T8" s="329"/>
      <c r="U8" s="329"/>
      <c r="V8" s="329"/>
      <c r="W8" s="330"/>
      <c r="X8" s="327"/>
      <c r="Y8" s="343"/>
      <c r="Z8" s="328"/>
      <c r="AA8" s="343"/>
      <c r="AB8" s="343"/>
      <c r="AC8" s="328"/>
      <c r="AD8" s="328"/>
      <c r="AE8" s="329"/>
      <c r="AF8" s="329"/>
      <c r="AG8" s="329"/>
      <c r="AH8" s="330"/>
      <c r="AI8" s="327"/>
      <c r="AJ8" s="343"/>
      <c r="AK8" s="328"/>
      <c r="AL8" s="343"/>
      <c r="AM8" s="343"/>
      <c r="AN8" s="328"/>
      <c r="AO8" s="328"/>
      <c r="AP8" s="329"/>
      <c r="AQ8" s="329"/>
      <c r="AR8" s="329"/>
      <c r="AS8" s="330"/>
      <c r="AT8" s="331"/>
      <c r="AU8" s="344"/>
      <c r="AV8" s="332"/>
      <c r="AW8" s="344"/>
      <c r="AX8" s="344"/>
      <c r="AY8" s="326"/>
      <c r="AZ8" s="326"/>
      <c r="BA8" s="326"/>
      <c r="BB8" s="333"/>
      <c r="BC8" s="333"/>
      <c r="BD8" s="333"/>
      <c r="BE8" s="334"/>
      <c r="BF8" s="335"/>
      <c r="BG8" s="336"/>
      <c r="BH8" s="337"/>
      <c r="BI8" s="338"/>
      <c r="BJ8" s="336"/>
      <c r="BK8" s="339"/>
      <c r="BL8" s="339"/>
      <c r="BM8" s="340"/>
      <c r="BN8" s="318"/>
      <c r="BO8" s="319"/>
      <c r="BP8" s="341"/>
      <c r="BQ8" s="323"/>
      <c r="BR8" s="324" t="str">
        <f t="shared" ref="BR8:BR10" ca="1" si="10">IF(M8="","",IF(V8&lt;&gt;"","Completed ",IF(AND(U8&lt;&gt;"",P8&gt;TODAY()),"Forecast Completion on "&amp;DAY(P8)&amp;"-"&amp;MONTH(P8)&amp;"-"&amp;YEAR(P8)&amp;CHAR(10)&amp;IF(P8-O8&gt;0,(P8-O8)&amp;" day(s) late",(IF(P8-O8=0,"on time",(O8-P8)&amp;" day(s) early"))),IF(P8&lt;TODAY(),"Forecast Completion in the past, please update","Baseline Complete"))))</f>
        <v/>
      </c>
      <c r="BS8" s="324" t="str">
        <f t="shared" ref="BS8:BS10" ca="1" si="11">IF(BR8="Completed ",IF(Q8-O8&gt;0,Q8-O8&amp;" day(s) late",(IF(Q8-O8=0,"on time",O8-Q8&amp;" day(s) early"))),"")</f>
        <v/>
      </c>
      <c r="BT8" s="324" t="str">
        <f t="shared" ref="BT8:BT10" ca="1" si="12">IF(X8="","",IF(AG8&lt;&gt;"","Completed ",IF(AND(AF8&lt;&gt;"",AA8&gt;TODAY()),"Forecast Completion on "&amp;DAY(AA8)&amp;"-"&amp;MONTH(AA8)&amp;"-"&amp;YEAR(AA8)&amp;CHAR(10)&amp;IF(AA8-Z8&gt;0,(AA8-Z8)&amp;" day(s) late",(IF(AA8-Z8=0,"on time",(Z8-AA8)&amp;" day(s) early"))),IF(AA8&lt;TODAY(),"Forecast Completion in the past, please update","Baseline Complete"))))</f>
        <v/>
      </c>
      <c r="BU8" s="324" t="str">
        <f t="shared" ref="BU8:BU10" ca="1" si="13">IF(BT8="Completed ",IF(AB8-Z8&gt;0,AB8-Z8&amp;" day(s) late",(IF(AB8-Z8=0,"on time",Z8-AB8&amp;" day(s) early"))),"")</f>
        <v/>
      </c>
      <c r="BV8" s="324" t="str">
        <f t="shared" ref="BV8:BV10" ca="1" si="14">IF(AI8="","",IF(AR8&lt;&gt;"","Completed ",IF(AND(AQ8&lt;&gt;"",AL8&gt;TODAY()),"Forecast Completion on "&amp;DAY(AL8)&amp;"-"&amp;MONTH(AL8)&amp;"-"&amp;YEAR(AL8)&amp;CHAR(10)&amp;IF(AL8-AK8&gt;0,(AL8-AK8)&amp;" day(s) late",(IF(AL8-AK8=0,"on time",(AK8-AL8)&amp;" day(s) early"))),IF(AL8&lt;TODAY(),"Forecast Completion in the past, please update","Baseline Complete"))))</f>
        <v/>
      </c>
      <c r="BW8" s="324" t="str">
        <f t="shared" ref="BW8:BW10" ca="1" si="15">IF(BV8="Completed ",IF(AM8-AK8&gt;0,AM8-AK8&amp;" day(s) late",(IF(AM8-AK8=0,"on time",AK8-AM8&amp;" day(s) early"))),"")</f>
        <v/>
      </c>
      <c r="BX8" s="324" t="str">
        <f t="shared" ref="BX8:BX10" ca="1" si="16">IF(AT8="","",IF(BD8&lt;&gt;"","Completed ",IF(AND(BC8&lt;&gt;"",AW8&gt;TODAY()),"Forecast Completion on "&amp;DAY(AW8)&amp;"-"&amp;MONTH(AW8)&amp;"-"&amp;YEAR(AW8)&amp;CHAR(10)&amp;IF(AW8-AV8&gt;0,(AW8-AV8)&amp;" day(s) late",(IF(AW8-AV8=0,"on time",(AV8-AW8)&amp;" day(s) early"))),IF(AW8&lt;TODAY(),"Forecast Completion in the past, please update","Baseline Complete"))))</f>
        <v/>
      </c>
      <c r="BY8" s="324" t="str">
        <f t="shared" ref="BY8:BY10" ca="1" si="17">IF(BX8="Completed ",IF(AX8-AV8&gt;0,AX8-AV8&amp;" day(s) late",(IF(AX8-AV8=0,"on time",AV8-AX8&amp;" day(s) early"))),"")</f>
        <v/>
      </c>
      <c r="BZ8" s="324" t="str">
        <f t="shared" ref="BZ8:BZ10" ca="1" si="18">IF(BX8="Completed ",IF(BG8-BF8&gt;0,"Over budget by £"&amp;(BG8-BF8),"Under budget by £"&amp;BF8-BG8),IF(BG8="","","Current Forecast Spend £"&amp;BG8))</f>
        <v/>
      </c>
      <c r="CA8" s="324" t="str">
        <f t="shared" ref="CA8:CA10" si="19">IF(COUNTA(AT8:AX8),"Stage Gate 5",IF(COUNTA(AI8:AM8),"Stage Gate 4", IF(COUNTA(X8:AB8),"Stage Gate 3",  IF(COUNTA(M8:Q8),"Stage Gate 2", "Stage Gate 1"))))</f>
        <v>Stage Gate 1</v>
      </c>
    </row>
    <row r="9" spans="1:79" ht="202.5" customHeight="1" x14ac:dyDescent="0.2">
      <c r="A9" s="224"/>
      <c r="B9" s="321"/>
      <c r="C9" s="321"/>
      <c r="D9" s="320"/>
      <c r="E9" s="320"/>
      <c r="F9" s="100"/>
      <c r="G9" s="100"/>
      <c r="H9" s="227"/>
      <c r="I9" s="347"/>
      <c r="J9" s="226"/>
      <c r="K9" s="346"/>
      <c r="L9" s="330"/>
      <c r="M9" s="345"/>
      <c r="N9" s="343"/>
      <c r="O9" s="328"/>
      <c r="P9" s="344"/>
      <c r="Q9" s="343"/>
      <c r="R9" s="322"/>
      <c r="S9" s="322"/>
      <c r="T9" s="329"/>
      <c r="U9" s="329"/>
      <c r="V9" s="329"/>
      <c r="W9" s="330"/>
      <c r="X9" s="327"/>
      <c r="Y9" s="343"/>
      <c r="Z9" s="328"/>
      <c r="AA9" s="343"/>
      <c r="AB9" s="343"/>
      <c r="AC9" s="328"/>
      <c r="AD9" s="328"/>
      <c r="AE9" s="329"/>
      <c r="AF9" s="329"/>
      <c r="AG9" s="329"/>
      <c r="AH9" s="330"/>
      <c r="AI9" s="327"/>
      <c r="AJ9" s="343"/>
      <c r="AK9" s="328"/>
      <c r="AL9" s="343"/>
      <c r="AM9" s="343"/>
      <c r="AN9" s="328"/>
      <c r="AO9" s="328"/>
      <c r="AP9" s="329"/>
      <c r="AQ9" s="329"/>
      <c r="AR9" s="329"/>
      <c r="AS9" s="330"/>
      <c r="AT9" s="331"/>
      <c r="AU9" s="344"/>
      <c r="AV9" s="332"/>
      <c r="AW9" s="344"/>
      <c r="AX9" s="344"/>
      <c r="AY9" s="326"/>
      <c r="AZ9" s="326"/>
      <c r="BA9" s="326"/>
      <c r="BB9" s="333"/>
      <c r="BC9" s="333"/>
      <c r="BD9" s="333"/>
      <c r="BE9" s="334"/>
      <c r="BF9" s="335"/>
      <c r="BG9" s="336"/>
      <c r="BH9" s="337"/>
      <c r="BI9" s="338"/>
      <c r="BJ9" s="336"/>
      <c r="BK9" s="339"/>
      <c r="BL9" s="339"/>
      <c r="BM9" s="340"/>
      <c r="BN9" s="318"/>
      <c r="BO9" s="319"/>
      <c r="BP9" s="341"/>
      <c r="BQ9" s="323"/>
      <c r="BR9" s="324" t="str">
        <f t="shared" ca="1" si="10"/>
        <v/>
      </c>
      <c r="BS9" s="324" t="str">
        <f t="shared" ca="1" si="11"/>
        <v/>
      </c>
      <c r="BT9" s="324" t="str">
        <f t="shared" ca="1" si="12"/>
        <v/>
      </c>
      <c r="BU9" s="324" t="str">
        <f t="shared" ca="1" si="13"/>
        <v/>
      </c>
      <c r="BV9" s="324" t="str">
        <f t="shared" ca="1" si="14"/>
        <v/>
      </c>
      <c r="BW9" s="324" t="str">
        <f t="shared" ca="1" si="15"/>
        <v/>
      </c>
      <c r="BX9" s="324" t="str">
        <f t="shared" ca="1" si="16"/>
        <v/>
      </c>
      <c r="BY9" s="324" t="str">
        <f t="shared" ca="1" si="17"/>
        <v/>
      </c>
      <c r="BZ9" s="324" t="str">
        <f t="shared" ca="1" si="18"/>
        <v/>
      </c>
      <c r="CA9" s="324" t="str">
        <f t="shared" si="19"/>
        <v>Stage Gate 1</v>
      </c>
    </row>
    <row r="10" spans="1:79" ht="101.25" customHeight="1" x14ac:dyDescent="0.2">
      <c r="A10" s="224"/>
      <c r="B10" s="321"/>
      <c r="C10" s="321"/>
      <c r="D10" s="320"/>
      <c r="E10" s="320"/>
      <c r="F10" s="100"/>
      <c r="G10" s="100"/>
      <c r="H10" s="227"/>
      <c r="I10" s="347"/>
      <c r="J10" s="226"/>
      <c r="K10" s="346"/>
      <c r="L10" s="330"/>
      <c r="M10" s="345"/>
      <c r="N10" s="343"/>
      <c r="O10" s="328"/>
      <c r="P10" s="344"/>
      <c r="Q10" s="343"/>
      <c r="R10" s="322"/>
      <c r="S10" s="322"/>
      <c r="T10" s="329"/>
      <c r="U10" s="329"/>
      <c r="V10" s="329"/>
      <c r="W10" s="330"/>
      <c r="X10" s="327"/>
      <c r="Y10" s="343"/>
      <c r="Z10" s="328"/>
      <c r="AA10" s="343"/>
      <c r="AB10" s="343"/>
      <c r="AC10" s="328"/>
      <c r="AD10" s="328"/>
      <c r="AE10" s="329"/>
      <c r="AF10" s="329"/>
      <c r="AG10" s="329"/>
      <c r="AH10" s="330"/>
      <c r="AI10" s="327"/>
      <c r="AJ10" s="343"/>
      <c r="AK10" s="328"/>
      <c r="AL10" s="343"/>
      <c r="AM10" s="343"/>
      <c r="AN10" s="328"/>
      <c r="AO10" s="328"/>
      <c r="AP10" s="329"/>
      <c r="AQ10" s="329"/>
      <c r="AR10" s="329"/>
      <c r="AS10" s="330"/>
      <c r="AT10" s="331"/>
      <c r="AU10" s="344"/>
      <c r="AV10" s="332"/>
      <c r="AW10" s="344"/>
      <c r="AX10" s="344"/>
      <c r="AY10" s="326"/>
      <c r="AZ10" s="326"/>
      <c r="BA10" s="326"/>
      <c r="BB10" s="333"/>
      <c r="BC10" s="333"/>
      <c r="BD10" s="333"/>
      <c r="BE10" s="334"/>
      <c r="BF10" s="335"/>
      <c r="BG10" s="336"/>
      <c r="BH10" s="337"/>
      <c r="BI10" s="338"/>
      <c r="BJ10" s="336"/>
      <c r="BK10" s="339"/>
      <c r="BL10" s="339"/>
      <c r="BM10" s="340"/>
      <c r="BN10" s="318"/>
      <c r="BO10" s="319"/>
      <c r="BP10" s="341"/>
      <c r="BQ10" s="323"/>
      <c r="BR10" s="324" t="str">
        <f t="shared" ca="1" si="10"/>
        <v/>
      </c>
      <c r="BS10" s="324" t="str">
        <f t="shared" ca="1" si="11"/>
        <v/>
      </c>
      <c r="BT10" s="324" t="str">
        <f t="shared" ca="1" si="12"/>
        <v/>
      </c>
      <c r="BU10" s="324" t="str">
        <f t="shared" ca="1" si="13"/>
        <v/>
      </c>
      <c r="BV10" s="324" t="str">
        <f t="shared" ca="1" si="14"/>
        <v/>
      </c>
      <c r="BW10" s="324" t="str">
        <f t="shared" ca="1" si="15"/>
        <v/>
      </c>
      <c r="BX10" s="324" t="str">
        <f t="shared" ca="1" si="16"/>
        <v/>
      </c>
      <c r="BY10" s="324" t="str">
        <f t="shared" ca="1" si="17"/>
        <v/>
      </c>
      <c r="BZ10" s="324" t="str">
        <f t="shared" ca="1" si="18"/>
        <v/>
      </c>
      <c r="CA10" s="324" t="str">
        <f t="shared" si="19"/>
        <v>Stage Gate 1</v>
      </c>
    </row>
    <row r="11" spans="1:79" ht="45" x14ac:dyDescent="0.2">
      <c r="A11" s="325"/>
      <c r="B11" s="321"/>
      <c r="C11" s="321"/>
      <c r="D11" s="320"/>
      <c r="E11" s="320"/>
      <c r="F11" s="320"/>
      <c r="G11" s="266"/>
      <c r="H11" s="269"/>
      <c r="I11" s="348"/>
      <c r="J11" s="349"/>
      <c r="K11" s="346"/>
      <c r="L11" s="330"/>
      <c r="M11" s="345"/>
      <c r="N11" s="343"/>
      <c r="O11" s="328"/>
      <c r="P11" s="344"/>
      <c r="Q11" s="343"/>
      <c r="R11" s="322"/>
      <c r="S11" s="322"/>
      <c r="T11" s="329"/>
      <c r="U11" s="329"/>
      <c r="V11" s="329"/>
      <c r="W11" s="330"/>
      <c r="X11" s="327"/>
      <c r="Y11" s="343"/>
      <c r="Z11" s="328"/>
      <c r="AA11" s="343"/>
      <c r="AB11" s="343"/>
      <c r="AC11" s="328"/>
      <c r="AD11" s="328"/>
      <c r="AE11" s="329"/>
      <c r="AF11" s="329"/>
      <c r="AG11" s="329"/>
      <c r="AH11" s="330"/>
      <c r="AI11" s="327"/>
      <c r="AJ11" s="343"/>
      <c r="AK11" s="328"/>
      <c r="AL11" s="343"/>
      <c r="AM11" s="343"/>
      <c r="AN11" s="328"/>
      <c r="AO11" s="328"/>
      <c r="AP11" s="329"/>
      <c r="AQ11" s="329"/>
      <c r="AR11" s="329"/>
      <c r="AS11" s="330"/>
      <c r="AT11" s="331"/>
      <c r="AU11" s="344"/>
      <c r="AV11" s="332"/>
      <c r="AW11" s="344"/>
      <c r="AX11" s="344"/>
      <c r="AY11" s="326"/>
      <c r="AZ11" s="326"/>
      <c r="BA11" s="326"/>
      <c r="BB11" s="333"/>
      <c r="BC11" s="333"/>
      <c r="BD11" s="333"/>
      <c r="BE11" s="334"/>
      <c r="BF11" s="335"/>
      <c r="BG11" s="336"/>
      <c r="BH11" s="337"/>
      <c r="BI11" s="338"/>
      <c r="BJ11" s="336"/>
      <c r="BK11" s="339"/>
      <c r="BL11" s="339"/>
      <c r="BM11" s="340"/>
      <c r="BN11" s="318"/>
      <c r="BO11" s="319"/>
      <c r="BP11" s="341"/>
      <c r="BQ11" s="323"/>
      <c r="BR11" s="324" t="str">
        <f t="shared" ref="BR11" ca="1" si="20">IF(M11="","",IF(V11&lt;&gt;"","Completed ",IF(AND(U11&lt;&gt;"",P11&gt;TODAY()),"Forecast Completion on "&amp;DAY(P11)&amp;"-"&amp;MONTH(P11)&amp;"-"&amp;YEAR(P11)&amp;CHAR(10)&amp;IF(P11-O11&gt;0,(P11-O11)&amp;" day(s) late",(IF(P11-O11=0,"on time",(O11-P11)&amp;" day(s) early"))),IF(P11&lt;TODAY(),"Forecast Completion in the past, please update","Baseline Complete"))))</f>
        <v/>
      </c>
      <c r="BS11" s="324" t="str">
        <f t="shared" ref="BS11" ca="1" si="21">IF(BR11="Completed ",IF(Q11-O11&gt;0,Q11-O11&amp;" day(s) late",(IF(Q11-O11=0,"on time",O11-Q11&amp;" day(s) early"))),"")</f>
        <v/>
      </c>
      <c r="BT11" s="324" t="str">
        <f t="shared" ref="BT11" ca="1" si="22">IF(X11="","",IF(AG11&lt;&gt;"","Completed ",IF(AND(AF11&lt;&gt;"",AA11&gt;TODAY()),"Forecast Completion on "&amp;DAY(AA11)&amp;"-"&amp;MONTH(AA11)&amp;"-"&amp;YEAR(AA11)&amp;CHAR(10)&amp;IF(AA11-Z11&gt;0,(AA11-Z11)&amp;" day(s) late",(IF(AA11-Z11=0,"on time",(Z11-AA11)&amp;" day(s) early"))),IF(AA11&lt;TODAY(),"Forecast Completion in the past, please update","Baseline Complete"))))</f>
        <v/>
      </c>
      <c r="BU11" s="324" t="str">
        <f t="shared" ref="BU11" ca="1" si="23">IF(BT11="Completed ",IF(AB11-Z11&gt;0,AB11-Z11&amp;" day(s) late",(IF(AB11-Z11=0,"on time",Z11-AB11&amp;" day(s) early"))),"")</f>
        <v/>
      </c>
      <c r="BV11" s="324" t="str">
        <f t="shared" ref="BV11" ca="1" si="24">IF(AI11="","",IF(AR11&lt;&gt;"","Completed ",IF(AND(AQ11&lt;&gt;"",AL11&gt;TODAY()),"Forecast Completion on "&amp;DAY(AL11)&amp;"-"&amp;MONTH(AL11)&amp;"-"&amp;YEAR(AL11)&amp;CHAR(10)&amp;IF(AL11-AK11&gt;0,(AL11-AK11)&amp;" day(s) late",(IF(AL11-AK11=0,"on time",(AK11-AL11)&amp;" day(s) early"))),IF(AL11&lt;TODAY(),"Forecast Completion in the past, please update","Baseline Complete"))))</f>
        <v/>
      </c>
      <c r="BW11" s="324" t="str">
        <f t="shared" ref="BW11" ca="1" si="25">IF(BV11="Completed ",IF(AM11-AK11&gt;0,AM11-AK11&amp;" day(s) late",(IF(AM11-AK11=0,"on time",AK11-AM11&amp;" day(s) early"))),"")</f>
        <v/>
      </c>
      <c r="BX11" s="324" t="str">
        <f t="shared" ref="BX11" ca="1" si="26">IF(AT11="","",IF(BD11&lt;&gt;"","Completed ",IF(AND(BC11&lt;&gt;"",AW11&gt;TODAY()),"Forecast Completion on "&amp;DAY(AW11)&amp;"-"&amp;MONTH(AW11)&amp;"-"&amp;YEAR(AW11)&amp;CHAR(10)&amp;IF(AW11-AV11&gt;0,(AW11-AV11)&amp;" day(s) late",(IF(AW11-AV11=0,"on time",(AV11-AW11)&amp;" day(s) early"))),IF(AW11&lt;TODAY(),"Forecast Completion in the past, please update","Baseline Complete"))))</f>
        <v/>
      </c>
      <c r="BY11" s="324" t="str">
        <f t="shared" ref="BY11" ca="1" si="27">IF(BX11="Completed ",IF(AX11-AV11&gt;0,AX11-AV11&amp;" day(s) late",(IF(AX11-AV11=0,"on time",AV11-AX11&amp;" day(s) early"))),"")</f>
        <v/>
      </c>
      <c r="BZ11" s="324" t="str">
        <f t="shared" ref="BZ11" ca="1" si="28">IF(BX11="Completed ",IF(BG11-BF11&gt;0,"Over budget by £"&amp;(BG11-BF11),"Under budget by £"&amp;BF11-BG11),IF(BG11="","","Current Forecast Spend £"&amp;BG11))</f>
        <v/>
      </c>
      <c r="CA11" s="38" t="str">
        <f t="shared" ref="CA11" si="29">IF(COUNTA(AT11:AX11),"Stage Gate 5",IF(COUNTA(AI11:AM11),"Stage Gate 4", IF(COUNTA(X11:AB11),"Stage Gate 3",  IF(COUNTA(M11:Q11),"Stage Gate 2", "Stage Gate 1"))))</f>
        <v>Stage Gate 1</v>
      </c>
    </row>
    <row r="12" spans="1:79" ht="56.25" customHeight="1" x14ac:dyDescent="0.2">
      <c r="A12" s="44"/>
      <c r="B12" s="21"/>
      <c r="C12" s="21"/>
      <c r="D12" s="20"/>
      <c r="E12" s="20"/>
      <c r="F12" s="100"/>
      <c r="G12" s="100"/>
      <c r="H12" s="170"/>
      <c r="I12" s="158"/>
      <c r="J12" s="163"/>
      <c r="K12" s="162"/>
      <c r="L12" s="54"/>
      <c r="M12" s="148"/>
      <c r="N12" s="120"/>
      <c r="O12" s="52"/>
      <c r="P12" s="121"/>
      <c r="Q12" s="120"/>
      <c r="R12" s="28"/>
      <c r="S12" s="28"/>
      <c r="T12" s="53"/>
      <c r="U12" s="53"/>
      <c r="V12" s="53"/>
      <c r="W12" s="54"/>
      <c r="X12" s="51"/>
      <c r="Y12" s="120"/>
      <c r="Z12" s="52"/>
      <c r="AA12" s="120"/>
      <c r="AB12" s="120"/>
      <c r="AC12" s="52"/>
      <c r="AD12" s="52"/>
      <c r="AE12" s="53"/>
      <c r="AF12" s="53"/>
      <c r="AG12" s="53"/>
      <c r="AH12" s="54"/>
      <c r="AI12" s="51"/>
      <c r="AJ12" s="120"/>
      <c r="AK12" s="52"/>
      <c r="AL12" s="120"/>
      <c r="AM12" s="120"/>
      <c r="AN12" s="52"/>
      <c r="AO12" s="52"/>
      <c r="AP12" s="53"/>
      <c r="AQ12" s="53"/>
      <c r="AR12" s="53"/>
      <c r="AS12" s="54"/>
      <c r="AT12" s="55"/>
      <c r="AU12" s="121"/>
      <c r="AV12" s="56"/>
      <c r="AW12" s="121"/>
      <c r="AX12" s="121"/>
      <c r="AY12" s="45"/>
      <c r="AZ12" s="45"/>
      <c r="BA12" s="45"/>
      <c r="BB12" s="57"/>
      <c r="BC12" s="57"/>
      <c r="BD12" s="57"/>
      <c r="BE12" s="58"/>
      <c r="BF12" s="59"/>
      <c r="BG12" s="60"/>
      <c r="BH12" s="61"/>
      <c r="BI12" s="62"/>
      <c r="BJ12" s="60"/>
      <c r="BK12" s="63"/>
      <c r="BL12" s="63"/>
      <c r="BM12" s="64"/>
      <c r="BN12" s="18"/>
      <c r="BO12" s="19"/>
      <c r="BP12" s="65"/>
      <c r="BQ12" s="37"/>
      <c r="BR12" s="39" t="str">
        <f t="shared" ref="BR3:BR47" ca="1" si="30">IF(M12="","",IF(V12&lt;&gt;"","Completed ",IF(AND(U12&lt;&gt;"",P12&gt;TODAY()),"Forecast Completion on "&amp;DAY(P12)&amp;"-"&amp;MONTH(P12)&amp;"-"&amp;YEAR(P12)&amp;CHAR(10)&amp;IF(P12-O12&gt;0,(P12-O12)&amp;" day(s) late",(IF(P12-O12=0,"on time",(O12-P12)&amp;" day(s) early"))),IF(P12&lt;TODAY(),"Forecast Completion in the past, please update","Baseline Complete"))))</f>
        <v/>
      </c>
      <c r="BS12" s="39" t="str">
        <f t="shared" ref="BS3:BS47" ca="1" si="31">IF(BR12="Completed ",IF(Q12-O12&gt;0,Q12-O12&amp;" day(s) late",(IF(Q12-O12=0,"on time",O12-Q12&amp;" day(s) early"))),"")</f>
        <v/>
      </c>
      <c r="BT12" s="39" t="str">
        <f t="shared" ref="BT3:BT47" ca="1" si="32">IF(X12="","",IF(AG12&lt;&gt;"","Completed ",IF(AND(AF12&lt;&gt;"",AA12&gt;TODAY()),"Forecast Completion on "&amp;DAY(AA12)&amp;"-"&amp;MONTH(AA12)&amp;"-"&amp;YEAR(AA12)&amp;CHAR(10)&amp;IF(AA12-Z12&gt;0,(AA12-Z12)&amp;" day(s) late",(IF(AA12-Z12=0,"on time",(Z12-AA12)&amp;" day(s) early"))),IF(AA12&lt;TODAY(),"Forecast Completion in the past, please update","Baseline Complete"))))</f>
        <v/>
      </c>
      <c r="BU12" s="39" t="str">
        <f t="shared" ref="BU3:BU47" ca="1" si="33">IF(BT12="Completed ",IF(AB12-Z12&gt;0,AB12-Z12&amp;" day(s) late",(IF(AB12-Z12=0,"on time",Z12-AB12&amp;" day(s) early"))),"")</f>
        <v/>
      </c>
      <c r="BV12" s="39" t="str">
        <f t="shared" ref="BV3:BV47" ca="1" si="34">IF(AI12="","",IF(AR12&lt;&gt;"","Completed ",IF(AND(AQ12&lt;&gt;"",AL12&gt;TODAY()),"Forecast Completion on "&amp;DAY(AL12)&amp;"-"&amp;MONTH(AL12)&amp;"-"&amp;YEAR(AL12)&amp;CHAR(10)&amp;IF(AL12-AK12&gt;0,(AL12-AK12)&amp;" day(s) late",(IF(AL12-AK12=0,"on time",(AK12-AL12)&amp;" day(s) early"))),IF(AL12&lt;TODAY(),"Forecast Completion in the past, please update","Baseline Complete"))))</f>
        <v/>
      </c>
      <c r="BW12" s="39" t="str">
        <f t="shared" ref="BW3:BW47" ca="1" si="35">IF(BV12="Completed ",IF(AM12-AK12&gt;0,AM12-AK12&amp;" day(s) late",(IF(AM12-AK12=0,"on time",AK12-AM12&amp;" day(s) early"))),"")</f>
        <v/>
      </c>
      <c r="BX12" s="39" t="str">
        <f t="shared" ref="BX3:BX47" ca="1" si="36">IF(AT12="","",IF(BD12&lt;&gt;"","Completed ",IF(AND(BC12&lt;&gt;"",AW12&gt;TODAY()),"Forecast Completion on "&amp;DAY(AW12)&amp;"-"&amp;MONTH(AW12)&amp;"-"&amp;YEAR(AW12)&amp;CHAR(10)&amp;IF(AW12-AV12&gt;0,(AW12-AV12)&amp;" day(s) late",(IF(AW12-AV12=0,"on time",(AV12-AW12)&amp;" day(s) early"))),IF(AW12&lt;TODAY(),"Forecast Completion in the past, please update","Baseline Complete"))))</f>
        <v/>
      </c>
      <c r="BY12" s="39" t="str">
        <f t="shared" ref="BY3:BY47" ca="1" si="37">IF(BX12="Completed ",IF(AX12-AV12&gt;0,AX12-AV12&amp;" day(s) late",(IF(AX12-AV12=0,"on time",AV12-AX12&amp;" day(s) early"))),"")</f>
        <v/>
      </c>
      <c r="BZ12" s="39" t="str">
        <f t="shared" ref="BZ12:BZ47" ca="1" si="38">IF(BX12="Completed ",IF(BG12-BF12&gt;0,"Over budget by £"&amp;(BG12-BF12),"Under budget by £"&amp;BF12-BG12),IF(BG12="","","Current Forecast Spend £"&amp;BG12))</f>
        <v/>
      </c>
      <c r="CA12" s="38"/>
    </row>
    <row r="13" spans="1:79" ht="56.25" customHeight="1" x14ac:dyDescent="0.2">
      <c r="A13" s="44"/>
      <c r="B13" s="21"/>
      <c r="C13" s="21"/>
      <c r="D13" s="20"/>
      <c r="E13" s="20"/>
      <c r="F13" s="100"/>
      <c r="G13" s="100"/>
      <c r="H13" s="170"/>
      <c r="I13" s="158"/>
      <c r="J13" s="163"/>
      <c r="K13" s="162"/>
      <c r="L13" s="54"/>
      <c r="M13" s="148"/>
      <c r="N13" s="120"/>
      <c r="O13" s="52"/>
      <c r="P13" s="121"/>
      <c r="Q13" s="120"/>
      <c r="R13" s="28"/>
      <c r="S13" s="28"/>
      <c r="T13" s="53"/>
      <c r="U13" s="53"/>
      <c r="V13" s="53"/>
      <c r="W13" s="54"/>
      <c r="X13" s="51"/>
      <c r="Y13" s="120"/>
      <c r="Z13" s="52"/>
      <c r="AA13" s="121"/>
      <c r="AB13" s="120"/>
      <c r="AC13" s="52"/>
      <c r="AD13" s="52"/>
      <c r="AE13" s="53"/>
      <c r="AF13" s="53"/>
      <c r="AG13" s="53"/>
      <c r="AH13" s="54"/>
      <c r="AI13" s="51"/>
      <c r="AJ13" s="120"/>
      <c r="AK13" s="52"/>
      <c r="AL13" s="121"/>
      <c r="AM13" s="120"/>
      <c r="AN13" s="52"/>
      <c r="AO13" s="52"/>
      <c r="AP13" s="53"/>
      <c r="AQ13" s="53"/>
      <c r="AR13" s="53"/>
      <c r="AS13" s="54"/>
      <c r="AT13" s="55"/>
      <c r="AU13" s="121"/>
      <c r="AV13" s="56"/>
      <c r="AW13" s="121"/>
      <c r="AX13" s="121"/>
      <c r="AY13" s="45"/>
      <c r="AZ13" s="45"/>
      <c r="BA13" s="45"/>
      <c r="BB13" s="57"/>
      <c r="BC13" s="57"/>
      <c r="BD13" s="57"/>
      <c r="BE13" s="58"/>
      <c r="BF13" s="59"/>
      <c r="BG13" s="60"/>
      <c r="BH13" s="61"/>
      <c r="BI13" s="62"/>
      <c r="BJ13" s="60"/>
      <c r="BK13" s="63"/>
      <c r="BL13" s="63"/>
      <c r="BM13" s="64"/>
      <c r="BN13" s="130"/>
      <c r="BO13" s="129"/>
      <c r="BP13" s="65"/>
      <c r="BQ13" s="37"/>
      <c r="BR13" s="39" t="str">
        <f t="shared" ca="1" si="30"/>
        <v/>
      </c>
      <c r="BS13" s="39" t="str">
        <f t="shared" ca="1" si="31"/>
        <v/>
      </c>
      <c r="BT13" s="39" t="str">
        <f t="shared" ca="1" si="32"/>
        <v/>
      </c>
      <c r="BU13" s="39" t="str">
        <f t="shared" ca="1" si="33"/>
        <v/>
      </c>
      <c r="BV13" s="39" t="str">
        <f t="shared" ca="1" si="34"/>
        <v/>
      </c>
      <c r="BW13" s="39" t="str">
        <f t="shared" ca="1" si="35"/>
        <v/>
      </c>
      <c r="BX13" s="39" t="str">
        <f t="shared" ca="1" si="36"/>
        <v/>
      </c>
      <c r="BY13" s="39" t="str">
        <f t="shared" ca="1" si="37"/>
        <v/>
      </c>
      <c r="BZ13" s="39" t="str">
        <f t="shared" ca="1" si="38"/>
        <v/>
      </c>
      <c r="CA13" s="38"/>
    </row>
    <row r="14" spans="1:79" x14ac:dyDescent="0.2">
      <c r="A14" s="44"/>
      <c r="B14" s="21"/>
      <c r="C14" s="21"/>
      <c r="D14" s="20"/>
      <c r="E14" s="20"/>
      <c r="F14" s="100"/>
      <c r="G14" s="100"/>
      <c r="H14" s="170"/>
      <c r="I14" s="158"/>
      <c r="J14" s="163"/>
      <c r="K14" s="162"/>
      <c r="L14" s="54"/>
      <c r="M14" s="148"/>
      <c r="N14" s="120"/>
      <c r="O14" s="52"/>
      <c r="P14" s="121"/>
      <c r="Q14" s="120"/>
      <c r="R14" s="28"/>
      <c r="S14" s="28"/>
      <c r="T14" s="53"/>
      <c r="U14" s="53"/>
      <c r="V14" s="53"/>
      <c r="W14" s="54"/>
      <c r="X14" s="51"/>
      <c r="Y14" s="120"/>
      <c r="Z14" s="52"/>
      <c r="AA14" s="120"/>
      <c r="AB14" s="120"/>
      <c r="AC14" s="52"/>
      <c r="AD14" s="52"/>
      <c r="AE14" s="53"/>
      <c r="AF14" s="53"/>
      <c r="AG14" s="53"/>
      <c r="AH14" s="54"/>
      <c r="AI14" s="51"/>
      <c r="AJ14" s="120"/>
      <c r="AK14" s="52"/>
      <c r="AL14" s="120"/>
      <c r="AM14" s="120"/>
      <c r="AN14" s="52"/>
      <c r="AO14" s="52"/>
      <c r="AP14" s="53"/>
      <c r="AQ14" s="53"/>
      <c r="AR14" s="53"/>
      <c r="AS14" s="54"/>
      <c r="AT14" s="55"/>
      <c r="AU14" s="121"/>
      <c r="AV14" s="56"/>
      <c r="AW14" s="121"/>
      <c r="AX14" s="121"/>
      <c r="AY14" s="45"/>
      <c r="AZ14" s="45"/>
      <c r="BA14" s="45"/>
      <c r="BB14" s="57"/>
      <c r="BC14" s="57"/>
      <c r="BD14" s="57"/>
      <c r="BE14" s="58"/>
      <c r="BF14" s="59"/>
      <c r="BG14" s="60"/>
      <c r="BH14" s="61"/>
      <c r="BI14" s="62"/>
      <c r="BJ14" s="60"/>
      <c r="BK14" s="63"/>
      <c r="BL14" s="63"/>
      <c r="BM14" s="64"/>
      <c r="BN14" s="130"/>
      <c r="BO14" s="129"/>
      <c r="BP14" s="65"/>
      <c r="BQ14" s="37"/>
      <c r="BR14" s="39" t="str">
        <f t="shared" ca="1" si="30"/>
        <v/>
      </c>
      <c r="BS14" s="39" t="str">
        <f t="shared" ca="1" si="31"/>
        <v/>
      </c>
      <c r="BT14" s="39" t="str">
        <f t="shared" ca="1" si="32"/>
        <v/>
      </c>
      <c r="BU14" s="39" t="str">
        <f t="shared" ca="1" si="33"/>
        <v/>
      </c>
      <c r="BV14" s="39" t="str">
        <f t="shared" ca="1" si="34"/>
        <v/>
      </c>
      <c r="BW14" s="39" t="str">
        <f t="shared" ca="1" si="35"/>
        <v/>
      </c>
      <c r="BX14" s="39" t="str">
        <f t="shared" ca="1" si="36"/>
        <v/>
      </c>
      <c r="BY14" s="39" t="str">
        <f t="shared" ca="1" si="37"/>
        <v/>
      </c>
      <c r="BZ14" s="39" t="str">
        <f t="shared" ca="1" si="38"/>
        <v/>
      </c>
      <c r="CA14" s="38"/>
    </row>
    <row r="15" spans="1:79" ht="135" customHeight="1" x14ac:dyDescent="0.2">
      <c r="A15" s="44"/>
      <c r="B15" s="21"/>
      <c r="C15" s="21"/>
      <c r="D15" s="20"/>
      <c r="E15" s="20"/>
      <c r="F15" s="100"/>
      <c r="G15" s="100"/>
      <c r="H15" s="170"/>
      <c r="I15" s="158"/>
      <c r="J15" s="163"/>
      <c r="K15" s="162"/>
      <c r="L15" s="54"/>
      <c r="M15" s="148"/>
      <c r="N15" s="120"/>
      <c r="O15" s="52"/>
      <c r="P15" s="121"/>
      <c r="Q15" s="120"/>
      <c r="R15" s="28"/>
      <c r="S15" s="28"/>
      <c r="T15" s="53"/>
      <c r="U15" s="53"/>
      <c r="V15" s="53"/>
      <c r="W15" s="54"/>
      <c r="X15" s="51"/>
      <c r="Y15" s="120"/>
      <c r="Z15" s="52"/>
      <c r="AA15" s="120"/>
      <c r="AB15" s="120"/>
      <c r="AC15" s="52"/>
      <c r="AD15" s="52"/>
      <c r="AE15" s="53"/>
      <c r="AF15" s="53"/>
      <c r="AG15" s="53"/>
      <c r="AH15" s="54"/>
      <c r="AI15" s="51"/>
      <c r="AJ15" s="120"/>
      <c r="AK15" s="52"/>
      <c r="AL15" s="120"/>
      <c r="AM15" s="120"/>
      <c r="AN15" s="52"/>
      <c r="AO15" s="52"/>
      <c r="AP15" s="53"/>
      <c r="AQ15" s="53"/>
      <c r="AR15" s="53"/>
      <c r="AS15" s="54"/>
      <c r="AT15" s="55"/>
      <c r="AU15" s="121"/>
      <c r="AV15" s="56"/>
      <c r="AW15" s="121"/>
      <c r="AX15" s="121"/>
      <c r="AY15" s="45"/>
      <c r="AZ15" s="45"/>
      <c r="BA15" s="45"/>
      <c r="BB15" s="57"/>
      <c r="BC15" s="57"/>
      <c r="BD15" s="57"/>
      <c r="BE15" s="58"/>
      <c r="BF15" s="59"/>
      <c r="BG15" s="60"/>
      <c r="BH15" s="61"/>
      <c r="BI15" s="62"/>
      <c r="BJ15" s="60"/>
      <c r="BK15" s="63"/>
      <c r="BL15" s="63"/>
      <c r="BM15" s="64"/>
      <c r="BN15" s="18"/>
      <c r="BO15" s="129"/>
      <c r="BP15" s="65"/>
      <c r="BQ15" s="37"/>
      <c r="BR15" s="39" t="str">
        <f t="shared" ca="1" si="30"/>
        <v/>
      </c>
      <c r="BS15" s="39" t="str">
        <f t="shared" ca="1" si="31"/>
        <v/>
      </c>
      <c r="BT15" s="39" t="str">
        <f t="shared" ca="1" si="32"/>
        <v/>
      </c>
      <c r="BU15" s="39" t="str">
        <f t="shared" ca="1" si="33"/>
        <v/>
      </c>
      <c r="BV15" s="39" t="str">
        <f t="shared" ca="1" si="34"/>
        <v/>
      </c>
      <c r="BW15" s="39" t="str">
        <f t="shared" ca="1" si="35"/>
        <v/>
      </c>
      <c r="BX15" s="39" t="str">
        <f t="shared" ca="1" si="36"/>
        <v/>
      </c>
      <c r="BY15" s="39" t="str">
        <f t="shared" ca="1" si="37"/>
        <v/>
      </c>
      <c r="BZ15" s="39" t="str">
        <f t="shared" ca="1" si="38"/>
        <v/>
      </c>
      <c r="CA15" s="38"/>
    </row>
    <row r="16" spans="1:79" ht="90" customHeight="1" x14ac:dyDescent="0.2">
      <c r="A16" s="44"/>
      <c r="B16" s="21"/>
      <c r="C16" s="21"/>
      <c r="D16" s="20"/>
      <c r="E16" s="20"/>
      <c r="F16" s="100"/>
      <c r="G16" s="100"/>
      <c r="H16" s="170"/>
      <c r="I16" s="158"/>
      <c r="J16" s="163"/>
      <c r="K16" s="162"/>
      <c r="L16" s="54"/>
      <c r="M16" s="148"/>
      <c r="N16" s="120"/>
      <c r="O16" s="52"/>
      <c r="P16" s="121"/>
      <c r="Q16" s="120"/>
      <c r="R16" s="28"/>
      <c r="S16" s="28"/>
      <c r="T16" s="53"/>
      <c r="U16" s="53"/>
      <c r="V16" s="53"/>
      <c r="W16" s="54"/>
      <c r="X16" s="51"/>
      <c r="Y16" s="120"/>
      <c r="Z16" s="52"/>
      <c r="AA16" s="120"/>
      <c r="AB16" s="120"/>
      <c r="AC16" s="52"/>
      <c r="AD16" s="52"/>
      <c r="AE16" s="53"/>
      <c r="AF16" s="53"/>
      <c r="AG16" s="53"/>
      <c r="AH16" s="54"/>
      <c r="AI16" s="51"/>
      <c r="AJ16" s="120"/>
      <c r="AK16" s="52"/>
      <c r="AL16" s="120"/>
      <c r="AM16" s="120"/>
      <c r="AN16" s="52"/>
      <c r="AO16" s="52"/>
      <c r="AP16" s="53"/>
      <c r="AQ16" s="53"/>
      <c r="AR16" s="53"/>
      <c r="AS16" s="54"/>
      <c r="AT16" s="55"/>
      <c r="AU16" s="121"/>
      <c r="AV16" s="56"/>
      <c r="AW16" s="121"/>
      <c r="AX16" s="121"/>
      <c r="AY16" s="45"/>
      <c r="AZ16" s="45"/>
      <c r="BA16" s="45"/>
      <c r="BB16" s="57"/>
      <c r="BC16" s="57"/>
      <c r="BD16" s="57"/>
      <c r="BE16" s="58"/>
      <c r="BF16" s="59"/>
      <c r="BG16" s="60"/>
      <c r="BH16" s="61"/>
      <c r="BI16" s="62"/>
      <c r="BJ16" s="60"/>
      <c r="BK16" s="63"/>
      <c r="BL16" s="63"/>
      <c r="BM16" s="64"/>
      <c r="BN16" s="18"/>
      <c r="BO16" s="129"/>
      <c r="BP16" s="65"/>
      <c r="BQ16" s="37"/>
      <c r="BR16" s="39" t="str">
        <f t="shared" ca="1" si="30"/>
        <v/>
      </c>
      <c r="BS16" s="39" t="str">
        <f t="shared" ca="1" si="31"/>
        <v/>
      </c>
      <c r="BT16" s="39" t="str">
        <f t="shared" ca="1" si="32"/>
        <v/>
      </c>
      <c r="BU16" s="39" t="str">
        <f t="shared" ca="1" si="33"/>
        <v/>
      </c>
      <c r="BV16" s="39" t="str">
        <f t="shared" ca="1" si="34"/>
        <v/>
      </c>
      <c r="BW16" s="39" t="str">
        <f t="shared" ca="1" si="35"/>
        <v/>
      </c>
      <c r="BX16" s="39" t="str">
        <f t="shared" ca="1" si="36"/>
        <v/>
      </c>
      <c r="BY16" s="39" t="str">
        <f t="shared" ca="1" si="37"/>
        <v/>
      </c>
      <c r="BZ16" s="39" t="str">
        <f t="shared" ca="1" si="38"/>
        <v/>
      </c>
      <c r="CA16" s="38"/>
    </row>
    <row r="17" spans="1:79" ht="67.5" customHeight="1" x14ac:dyDescent="0.2">
      <c r="A17" s="44"/>
      <c r="B17" s="21"/>
      <c r="C17" s="21"/>
      <c r="D17" s="20"/>
      <c r="E17" s="20"/>
      <c r="F17" s="100"/>
      <c r="G17" s="100"/>
      <c r="H17" s="170"/>
      <c r="I17" s="158"/>
      <c r="J17" s="163"/>
      <c r="K17" s="162"/>
      <c r="L17" s="54"/>
      <c r="M17" s="148"/>
      <c r="N17" s="120"/>
      <c r="O17" s="52"/>
      <c r="P17" s="121"/>
      <c r="Q17" s="120"/>
      <c r="R17" s="28"/>
      <c r="S17" s="28"/>
      <c r="T17" s="53"/>
      <c r="U17" s="53"/>
      <c r="V17" s="53"/>
      <c r="W17" s="54"/>
      <c r="X17" s="51"/>
      <c r="Y17" s="120"/>
      <c r="Z17" s="52"/>
      <c r="AA17" s="120"/>
      <c r="AB17" s="120"/>
      <c r="AC17" s="52"/>
      <c r="AD17" s="52"/>
      <c r="AE17" s="53"/>
      <c r="AF17" s="53"/>
      <c r="AG17" s="53"/>
      <c r="AH17" s="54"/>
      <c r="AI17" s="51"/>
      <c r="AJ17" s="120"/>
      <c r="AK17" s="52"/>
      <c r="AL17" s="120"/>
      <c r="AM17" s="120"/>
      <c r="AN17" s="52"/>
      <c r="AO17" s="52"/>
      <c r="AP17" s="53"/>
      <c r="AQ17" s="53"/>
      <c r="AR17" s="53"/>
      <c r="AS17" s="54"/>
      <c r="AT17" s="55"/>
      <c r="AU17" s="121"/>
      <c r="AV17" s="56"/>
      <c r="AW17" s="121"/>
      <c r="AX17" s="121"/>
      <c r="AY17" s="45"/>
      <c r="AZ17" s="45"/>
      <c r="BA17" s="45"/>
      <c r="BB17" s="57"/>
      <c r="BC17" s="57"/>
      <c r="BD17" s="57"/>
      <c r="BE17" s="58"/>
      <c r="BF17" s="59"/>
      <c r="BG17" s="60"/>
      <c r="BH17" s="61"/>
      <c r="BI17" s="62"/>
      <c r="BJ17" s="60"/>
      <c r="BK17" s="63"/>
      <c r="BL17" s="63"/>
      <c r="BM17" s="64"/>
      <c r="BN17" s="18"/>
      <c r="BO17" s="129"/>
      <c r="BP17" s="65"/>
      <c r="BQ17" s="37"/>
      <c r="BR17" s="39" t="str">
        <f t="shared" ca="1" si="30"/>
        <v/>
      </c>
      <c r="BS17" s="39" t="str">
        <f t="shared" ca="1" si="31"/>
        <v/>
      </c>
      <c r="BT17" s="39" t="str">
        <f t="shared" ca="1" si="32"/>
        <v/>
      </c>
      <c r="BU17" s="39" t="str">
        <f t="shared" ca="1" si="33"/>
        <v/>
      </c>
      <c r="BV17" s="39" t="str">
        <f t="shared" ca="1" si="34"/>
        <v/>
      </c>
      <c r="BW17" s="39" t="str">
        <f t="shared" ca="1" si="35"/>
        <v/>
      </c>
      <c r="BX17" s="39" t="str">
        <f t="shared" ca="1" si="36"/>
        <v/>
      </c>
      <c r="BY17" s="39" t="str">
        <f t="shared" ca="1" si="37"/>
        <v/>
      </c>
      <c r="BZ17" s="39" t="str">
        <f t="shared" ca="1" si="38"/>
        <v/>
      </c>
      <c r="CA17" s="38"/>
    </row>
    <row r="18" spans="1:79" ht="78.75" customHeight="1" x14ac:dyDescent="0.2">
      <c r="A18" s="44"/>
      <c r="B18" s="21"/>
      <c r="C18" s="21"/>
      <c r="D18" s="20"/>
      <c r="E18" s="20"/>
      <c r="F18" s="100"/>
      <c r="G18" s="100"/>
      <c r="H18" s="170"/>
      <c r="I18" s="158"/>
      <c r="J18" s="163"/>
      <c r="K18" s="162"/>
      <c r="L18" s="54"/>
      <c r="M18" s="148"/>
      <c r="N18" s="120"/>
      <c r="O18" s="52"/>
      <c r="P18" s="121"/>
      <c r="Q18" s="120"/>
      <c r="R18" s="28"/>
      <c r="S18" s="28"/>
      <c r="T18" s="53"/>
      <c r="U18" s="53"/>
      <c r="V18" s="53"/>
      <c r="W18" s="54"/>
      <c r="X18" s="51"/>
      <c r="Y18" s="120"/>
      <c r="Z18" s="52"/>
      <c r="AA18" s="120"/>
      <c r="AB18" s="120"/>
      <c r="AC18" s="52"/>
      <c r="AD18" s="52"/>
      <c r="AE18" s="53"/>
      <c r="AF18" s="53"/>
      <c r="AG18" s="53"/>
      <c r="AH18" s="54"/>
      <c r="AI18" s="51"/>
      <c r="AJ18" s="119"/>
      <c r="AK18" s="52"/>
      <c r="AL18" s="120"/>
      <c r="AM18" s="120"/>
      <c r="AN18" s="52"/>
      <c r="AO18" s="52"/>
      <c r="AP18" s="53"/>
      <c r="AQ18" s="53"/>
      <c r="AR18" s="53"/>
      <c r="AS18" s="54"/>
      <c r="AT18" s="55"/>
      <c r="AU18" s="121"/>
      <c r="AV18" s="56"/>
      <c r="AW18" s="121"/>
      <c r="AX18" s="121"/>
      <c r="AY18" s="45"/>
      <c r="AZ18" s="45"/>
      <c r="BA18" s="45"/>
      <c r="BB18" s="57"/>
      <c r="BC18" s="57"/>
      <c r="BD18" s="57"/>
      <c r="BE18" s="58"/>
      <c r="BF18" s="59"/>
      <c r="BG18" s="60"/>
      <c r="BH18" s="61"/>
      <c r="BI18" s="62"/>
      <c r="BJ18" s="60"/>
      <c r="BK18" s="63"/>
      <c r="BL18" s="63"/>
      <c r="BM18" s="64"/>
      <c r="BN18" s="130"/>
      <c r="BO18" s="129"/>
      <c r="BP18" s="65"/>
      <c r="BQ18" s="37"/>
      <c r="BR18" s="39" t="str">
        <f t="shared" ca="1" si="30"/>
        <v/>
      </c>
      <c r="BS18" s="39" t="str">
        <f t="shared" ca="1" si="31"/>
        <v/>
      </c>
      <c r="BT18" s="39" t="str">
        <f t="shared" ca="1" si="32"/>
        <v/>
      </c>
      <c r="BU18" s="39" t="str">
        <f t="shared" ca="1" si="33"/>
        <v/>
      </c>
      <c r="BV18" s="39" t="str">
        <f t="shared" ca="1" si="34"/>
        <v/>
      </c>
      <c r="BW18" s="39" t="str">
        <f t="shared" ca="1" si="35"/>
        <v/>
      </c>
      <c r="BX18" s="39" t="str">
        <f t="shared" ca="1" si="36"/>
        <v/>
      </c>
      <c r="BY18" s="39" t="str">
        <f t="shared" ca="1" si="37"/>
        <v/>
      </c>
      <c r="BZ18" s="39" t="str">
        <f t="shared" ca="1" si="38"/>
        <v/>
      </c>
      <c r="CA18" s="38"/>
    </row>
    <row r="19" spans="1:79" ht="101.25" customHeight="1" x14ac:dyDescent="0.2">
      <c r="A19" s="44"/>
      <c r="B19" s="21"/>
      <c r="C19" s="21"/>
      <c r="D19" s="20"/>
      <c r="E19" s="20"/>
      <c r="F19" s="100"/>
      <c r="G19" s="100"/>
      <c r="H19" s="170"/>
      <c r="I19" s="158"/>
      <c r="J19" s="163"/>
      <c r="K19" s="162"/>
      <c r="L19" s="54"/>
      <c r="M19" s="148"/>
      <c r="N19" s="120"/>
      <c r="O19" s="52"/>
      <c r="P19" s="121"/>
      <c r="Q19" s="120"/>
      <c r="R19" s="28"/>
      <c r="S19" s="28"/>
      <c r="T19" s="53"/>
      <c r="U19" s="53"/>
      <c r="V19" s="53"/>
      <c r="W19" s="54"/>
      <c r="X19" s="51"/>
      <c r="Y19" s="120"/>
      <c r="Z19" s="52"/>
      <c r="AA19" s="120"/>
      <c r="AB19" s="120"/>
      <c r="AC19" s="52"/>
      <c r="AD19" s="52"/>
      <c r="AE19" s="53"/>
      <c r="AF19" s="53"/>
      <c r="AG19" s="53"/>
      <c r="AH19" s="54"/>
      <c r="AI19" s="51"/>
      <c r="AJ19" s="120"/>
      <c r="AK19" s="52"/>
      <c r="AL19" s="120"/>
      <c r="AM19" s="120"/>
      <c r="AN19" s="52"/>
      <c r="AO19" s="52"/>
      <c r="AP19" s="53"/>
      <c r="AQ19" s="53"/>
      <c r="AR19" s="53"/>
      <c r="AS19" s="54"/>
      <c r="AT19" s="55"/>
      <c r="AU19" s="121"/>
      <c r="AV19" s="56"/>
      <c r="AW19" s="121"/>
      <c r="AX19" s="121"/>
      <c r="AY19" s="45"/>
      <c r="AZ19" s="45"/>
      <c r="BA19" s="45"/>
      <c r="BB19" s="57"/>
      <c r="BC19" s="57"/>
      <c r="BD19" s="57"/>
      <c r="BE19" s="58"/>
      <c r="BF19" s="59"/>
      <c r="BG19" s="60"/>
      <c r="BH19" s="61"/>
      <c r="BI19" s="62"/>
      <c r="BJ19" s="60"/>
      <c r="BK19" s="63"/>
      <c r="BL19" s="63"/>
      <c r="BM19" s="64"/>
      <c r="BN19" s="18"/>
      <c r="BO19" s="129"/>
      <c r="BP19" s="65"/>
      <c r="BQ19" s="37"/>
      <c r="BR19" s="39" t="str">
        <f t="shared" ca="1" si="30"/>
        <v/>
      </c>
      <c r="BS19" s="39" t="str">
        <f t="shared" ca="1" si="31"/>
        <v/>
      </c>
      <c r="BT19" s="39" t="str">
        <f t="shared" ca="1" si="32"/>
        <v/>
      </c>
      <c r="BU19" s="39" t="str">
        <f t="shared" ca="1" si="33"/>
        <v/>
      </c>
      <c r="BV19" s="39" t="str">
        <f t="shared" ca="1" si="34"/>
        <v/>
      </c>
      <c r="BW19" s="39" t="str">
        <f t="shared" ca="1" si="35"/>
        <v/>
      </c>
      <c r="BX19" s="39" t="str">
        <f t="shared" ca="1" si="36"/>
        <v/>
      </c>
      <c r="BY19" s="39" t="str">
        <f t="shared" ca="1" si="37"/>
        <v/>
      </c>
      <c r="BZ19" s="39" t="str">
        <f t="shared" ca="1" si="38"/>
        <v/>
      </c>
      <c r="CA19" s="38"/>
    </row>
    <row r="20" spans="1:79" ht="258.75" customHeight="1" x14ac:dyDescent="0.2">
      <c r="A20" s="44"/>
      <c r="B20" s="21"/>
      <c r="C20" s="21"/>
      <c r="D20" s="20"/>
      <c r="E20" s="20"/>
      <c r="F20" s="100"/>
      <c r="G20" s="100"/>
      <c r="H20" s="170"/>
      <c r="I20" s="158"/>
      <c r="J20" s="163"/>
      <c r="K20" s="162"/>
      <c r="L20" s="54"/>
      <c r="M20" s="148"/>
      <c r="N20" s="120"/>
      <c r="O20" s="52"/>
      <c r="P20" s="121"/>
      <c r="Q20" s="120"/>
      <c r="R20" s="28"/>
      <c r="S20" s="28"/>
      <c r="T20" s="53"/>
      <c r="U20" s="53"/>
      <c r="V20" s="53"/>
      <c r="W20" s="54"/>
      <c r="X20" s="51"/>
      <c r="Y20" s="120"/>
      <c r="Z20" s="52"/>
      <c r="AA20" s="120"/>
      <c r="AB20" s="120"/>
      <c r="AC20" s="52"/>
      <c r="AD20" s="52"/>
      <c r="AE20" s="53"/>
      <c r="AF20" s="53"/>
      <c r="AG20" s="53"/>
      <c r="AH20" s="54"/>
      <c r="AI20" s="51"/>
      <c r="AJ20" s="120"/>
      <c r="AK20" s="52"/>
      <c r="AL20" s="120"/>
      <c r="AM20" s="120"/>
      <c r="AN20" s="52"/>
      <c r="AO20" s="52"/>
      <c r="AP20" s="53"/>
      <c r="AQ20" s="53"/>
      <c r="AR20" s="53"/>
      <c r="AS20" s="54"/>
      <c r="AT20" s="55"/>
      <c r="AU20" s="121"/>
      <c r="AV20" s="56"/>
      <c r="AW20" s="121"/>
      <c r="AX20" s="121"/>
      <c r="AY20" s="45"/>
      <c r="AZ20" s="45"/>
      <c r="BA20" s="45"/>
      <c r="BB20" s="57"/>
      <c r="BC20" s="57"/>
      <c r="BD20" s="57"/>
      <c r="BE20" s="58"/>
      <c r="BF20" s="59"/>
      <c r="BG20" s="60"/>
      <c r="BH20" s="61"/>
      <c r="BI20" s="62"/>
      <c r="BJ20" s="60"/>
      <c r="BK20" s="63"/>
      <c r="BL20" s="63"/>
      <c r="BM20" s="64"/>
      <c r="BN20" s="130"/>
      <c r="BO20" s="19"/>
      <c r="BP20" s="65"/>
      <c r="BQ20" s="37"/>
      <c r="BR20" s="39" t="str">
        <f t="shared" ca="1" si="30"/>
        <v/>
      </c>
      <c r="BS20" s="39" t="str">
        <f t="shared" ca="1" si="31"/>
        <v/>
      </c>
      <c r="BT20" s="39" t="str">
        <f t="shared" ca="1" si="32"/>
        <v/>
      </c>
      <c r="BU20" s="39" t="str">
        <f t="shared" ca="1" si="33"/>
        <v/>
      </c>
      <c r="BV20" s="39" t="str">
        <f t="shared" ca="1" si="34"/>
        <v/>
      </c>
      <c r="BW20" s="39" t="str">
        <f t="shared" ca="1" si="35"/>
        <v/>
      </c>
      <c r="BX20" s="39" t="str">
        <f t="shared" ca="1" si="36"/>
        <v/>
      </c>
      <c r="BY20" s="39" t="str">
        <f t="shared" ca="1" si="37"/>
        <v/>
      </c>
      <c r="BZ20" s="39" t="str">
        <f t="shared" ca="1" si="38"/>
        <v/>
      </c>
      <c r="CA20" s="38"/>
    </row>
    <row r="21" spans="1:79" ht="45" customHeight="1" x14ac:dyDescent="0.2">
      <c r="A21" s="44"/>
      <c r="B21" s="21"/>
      <c r="C21" s="21"/>
      <c r="D21" s="20"/>
      <c r="E21" s="20"/>
      <c r="F21" s="100"/>
      <c r="G21" s="100"/>
      <c r="H21" s="170"/>
      <c r="I21" s="158"/>
      <c r="J21" s="163"/>
      <c r="K21" s="162"/>
      <c r="L21" s="54"/>
      <c r="M21" s="148"/>
      <c r="N21" s="120"/>
      <c r="O21" s="52"/>
      <c r="P21" s="121"/>
      <c r="Q21" s="120"/>
      <c r="R21" s="28"/>
      <c r="S21" s="28"/>
      <c r="T21" s="53"/>
      <c r="U21" s="53"/>
      <c r="V21" s="53"/>
      <c r="W21" s="54"/>
      <c r="X21" s="51"/>
      <c r="Y21" s="120"/>
      <c r="Z21" s="52"/>
      <c r="AA21" s="120"/>
      <c r="AB21" s="120"/>
      <c r="AC21" s="52"/>
      <c r="AD21" s="52"/>
      <c r="AE21" s="53"/>
      <c r="AF21" s="53"/>
      <c r="AG21" s="53"/>
      <c r="AH21" s="54"/>
      <c r="AI21" s="51"/>
      <c r="AJ21" s="120"/>
      <c r="AK21" s="52"/>
      <c r="AL21" s="120"/>
      <c r="AM21" s="120"/>
      <c r="AN21" s="52"/>
      <c r="AO21" s="52"/>
      <c r="AP21" s="53"/>
      <c r="AQ21" s="53"/>
      <c r="AR21" s="53"/>
      <c r="AS21" s="54"/>
      <c r="AT21" s="55"/>
      <c r="AU21" s="121"/>
      <c r="AV21" s="56"/>
      <c r="AW21" s="121"/>
      <c r="AX21" s="121"/>
      <c r="AY21" s="45"/>
      <c r="AZ21" s="45"/>
      <c r="BA21" s="45"/>
      <c r="BB21" s="57"/>
      <c r="BC21" s="57"/>
      <c r="BD21" s="57"/>
      <c r="BE21" s="58"/>
      <c r="BF21" s="59"/>
      <c r="BG21" s="60"/>
      <c r="BH21" s="61"/>
      <c r="BI21" s="62"/>
      <c r="BJ21" s="60"/>
      <c r="BK21" s="63"/>
      <c r="BL21" s="63"/>
      <c r="BM21" s="64"/>
      <c r="BN21" s="130"/>
      <c r="BO21" s="129"/>
      <c r="BP21" s="65"/>
      <c r="BQ21" s="37"/>
      <c r="BR21" s="39" t="str">
        <f t="shared" ca="1" si="30"/>
        <v/>
      </c>
      <c r="BS21" s="39" t="str">
        <f t="shared" ca="1" si="31"/>
        <v/>
      </c>
      <c r="BT21" s="39" t="str">
        <f t="shared" ca="1" si="32"/>
        <v/>
      </c>
      <c r="BU21" s="39" t="str">
        <f t="shared" ca="1" si="33"/>
        <v/>
      </c>
      <c r="BV21" s="39" t="str">
        <f t="shared" ca="1" si="34"/>
        <v/>
      </c>
      <c r="BW21" s="39" t="str">
        <f t="shared" ca="1" si="35"/>
        <v/>
      </c>
      <c r="BX21" s="39" t="str">
        <f t="shared" ca="1" si="36"/>
        <v/>
      </c>
      <c r="BY21" s="39" t="str">
        <f t="shared" ca="1" si="37"/>
        <v/>
      </c>
      <c r="BZ21" s="39" t="str">
        <f t="shared" ca="1" si="38"/>
        <v/>
      </c>
      <c r="CA21" s="38"/>
    </row>
    <row r="22" spans="1:79" x14ac:dyDescent="0.2">
      <c r="A22" s="44"/>
      <c r="B22" s="21"/>
      <c r="C22" s="21"/>
      <c r="D22" s="20"/>
      <c r="E22" s="20"/>
      <c r="F22" s="100"/>
      <c r="G22" s="100"/>
      <c r="H22" s="170"/>
      <c r="I22" s="158"/>
      <c r="J22" s="163"/>
      <c r="K22" s="162"/>
      <c r="L22" s="54"/>
      <c r="M22" s="148"/>
      <c r="N22" s="120"/>
      <c r="O22" s="52"/>
      <c r="P22" s="121"/>
      <c r="Q22" s="120"/>
      <c r="R22" s="28"/>
      <c r="S22" s="28"/>
      <c r="T22" s="53"/>
      <c r="U22" s="53"/>
      <c r="V22" s="53"/>
      <c r="W22" s="54"/>
      <c r="X22" s="51"/>
      <c r="Y22" s="120"/>
      <c r="Z22" s="52"/>
      <c r="AA22" s="120"/>
      <c r="AB22" s="120"/>
      <c r="AC22" s="52"/>
      <c r="AD22" s="52"/>
      <c r="AE22" s="53"/>
      <c r="AF22" s="53"/>
      <c r="AG22" s="53"/>
      <c r="AH22" s="54"/>
      <c r="AI22" s="51"/>
      <c r="AJ22" s="120"/>
      <c r="AK22" s="52"/>
      <c r="AL22" s="120"/>
      <c r="AM22" s="120"/>
      <c r="AN22" s="52"/>
      <c r="AO22" s="52"/>
      <c r="AP22" s="53"/>
      <c r="AQ22" s="53"/>
      <c r="AR22" s="53"/>
      <c r="AS22" s="54"/>
      <c r="AT22" s="55"/>
      <c r="AU22" s="121"/>
      <c r="AV22" s="56"/>
      <c r="AW22" s="121"/>
      <c r="AX22" s="121"/>
      <c r="AY22" s="45"/>
      <c r="AZ22" s="45"/>
      <c r="BA22" s="45"/>
      <c r="BB22" s="57"/>
      <c r="BC22" s="57"/>
      <c r="BD22" s="57"/>
      <c r="BE22" s="58"/>
      <c r="BF22" s="59"/>
      <c r="BG22" s="60"/>
      <c r="BH22" s="61"/>
      <c r="BI22" s="62"/>
      <c r="BJ22" s="60"/>
      <c r="BK22" s="63"/>
      <c r="BL22" s="63"/>
      <c r="BM22" s="64"/>
      <c r="BN22" s="18"/>
      <c r="BO22" s="129"/>
      <c r="BP22" s="65"/>
      <c r="BQ22" s="37"/>
      <c r="BR22" s="39" t="str">
        <f t="shared" ca="1" si="30"/>
        <v/>
      </c>
      <c r="BS22" s="39" t="str">
        <f t="shared" ca="1" si="31"/>
        <v/>
      </c>
      <c r="BT22" s="39" t="str">
        <f t="shared" ca="1" si="32"/>
        <v/>
      </c>
      <c r="BU22" s="39" t="str">
        <f t="shared" ca="1" si="33"/>
        <v/>
      </c>
      <c r="BV22" s="39" t="str">
        <f t="shared" ca="1" si="34"/>
        <v/>
      </c>
      <c r="BW22" s="39" t="str">
        <f t="shared" ca="1" si="35"/>
        <v/>
      </c>
      <c r="BX22" s="39" t="str">
        <f t="shared" ca="1" si="36"/>
        <v/>
      </c>
      <c r="BY22" s="39" t="str">
        <f t="shared" ca="1" si="37"/>
        <v/>
      </c>
      <c r="BZ22" s="39" t="str">
        <f t="shared" ca="1" si="38"/>
        <v/>
      </c>
      <c r="CA22" s="38"/>
    </row>
    <row r="23" spans="1:79" ht="225" customHeight="1" x14ac:dyDescent="0.2">
      <c r="A23" s="44"/>
      <c r="B23" s="21"/>
      <c r="C23" s="21"/>
      <c r="D23" s="20"/>
      <c r="E23" s="20"/>
      <c r="F23" s="100"/>
      <c r="G23" s="100"/>
      <c r="H23" s="170"/>
      <c r="I23" s="158"/>
      <c r="J23" s="163"/>
      <c r="K23" s="162"/>
      <c r="L23" s="54"/>
      <c r="M23" s="148"/>
      <c r="N23" s="120"/>
      <c r="O23" s="52"/>
      <c r="P23" s="121"/>
      <c r="Q23" s="120"/>
      <c r="R23" s="28"/>
      <c r="S23" s="28"/>
      <c r="T23" s="53"/>
      <c r="U23" s="53"/>
      <c r="V23" s="53"/>
      <c r="W23" s="54"/>
      <c r="X23" s="51"/>
      <c r="Y23" s="120"/>
      <c r="Z23" s="52"/>
      <c r="AA23" s="120"/>
      <c r="AB23" s="120"/>
      <c r="AC23" s="52"/>
      <c r="AD23" s="52"/>
      <c r="AE23" s="53"/>
      <c r="AF23" s="53"/>
      <c r="AG23" s="53"/>
      <c r="AH23" s="54"/>
      <c r="AI23" s="51"/>
      <c r="AJ23" s="120"/>
      <c r="AK23" s="52"/>
      <c r="AL23" s="120"/>
      <c r="AM23" s="120"/>
      <c r="AN23" s="52"/>
      <c r="AO23" s="52"/>
      <c r="AP23" s="53"/>
      <c r="AQ23" s="53"/>
      <c r="AR23" s="53"/>
      <c r="AS23" s="54"/>
      <c r="AT23" s="55"/>
      <c r="AU23" s="121"/>
      <c r="AV23" s="56"/>
      <c r="AW23" s="121"/>
      <c r="AX23" s="121"/>
      <c r="AY23" s="45"/>
      <c r="AZ23" s="45"/>
      <c r="BA23" s="45"/>
      <c r="BB23" s="57"/>
      <c r="BC23" s="57"/>
      <c r="BD23" s="57"/>
      <c r="BE23" s="58"/>
      <c r="BF23" s="59"/>
      <c r="BG23" s="60"/>
      <c r="BH23" s="61"/>
      <c r="BI23" s="62"/>
      <c r="BJ23" s="60"/>
      <c r="BK23" s="63"/>
      <c r="BL23" s="63"/>
      <c r="BM23" s="64"/>
      <c r="BN23" s="18"/>
      <c r="BO23" s="19"/>
      <c r="BP23" s="65"/>
      <c r="BQ23" s="37"/>
      <c r="BR23" s="39" t="str">
        <f t="shared" ca="1" si="30"/>
        <v/>
      </c>
      <c r="BS23" s="39" t="str">
        <f t="shared" ca="1" si="31"/>
        <v/>
      </c>
      <c r="BT23" s="39" t="str">
        <f t="shared" ca="1" si="32"/>
        <v/>
      </c>
      <c r="BU23" s="39" t="str">
        <f t="shared" ca="1" si="33"/>
        <v/>
      </c>
      <c r="BV23" s="39" t="str">
        <f t="shared" ca="1" si="34"/>
        <v/>
      </c>
      <c r="BW23" s="39" t="str">
        <f t="shared" ca="1" si="35"/>
        <v/>
      </c>
      <c r="BX23" s="39" t="str">
        <f t="shared" ca="1" si="36"/>
        <v/>
      </c>
      <c r="BY23" s="39" t="str">
        <f t="shared" ca="1" si="37"/>
        <v/>
      </c>
      <c r="BZ23" s="39" t="str">
        <f t="shared" ca="1" si="38"/>
        <v/>
      </c>
      <c r="CA23" s="38"/>
    </row>
    <row r="24" spans="1:79" ht="123.75" customHeight="1" x14ac:dyDescent="0.2">
      <c r="A24" s="44"/>
      <c r="B24" s="21"/>
      <c r="C24" s="21"/>
      <c r="D24" s="20"/>
      <c r="E24" s="20"/>
      <c r="F24" s="100"/>
      <c r="G24" s="100"/>
      <c r="H24" s="170"/>
      <c r="I24" s="158"/>
      <c r="J24" s="163"/>
      <c r="K24" s="162"/>
      <c r="L24" s="54"/>
      <c r="M24" s="148"/>
      <c r="N24" s="120"/>
      <c r="O24" s="52"/>
      <c r="P24" s="121"/>
      <c r="Q24" s="120"/>
      <c r="R24" s="28"/>
      <c r="S24" s="28"/>
      <c r="T24" s="53"/>
      <c r="U24" s="53"/>
      <c r="V24" s="53"/>
      <c r="W24" s="54"/>
      <c r="X24" s="51"/>
      <c r="Y24" s="120"/>
      <c r="Z24" s="52"/>
      <c r="AA24" s="120"/>
      <c r="AB24" s="120"/>
      <c r="AC24" s="52"/>
      <c r="AD24" s="52"/>
      <c r="AE24" s="53"/>
      <c r="AF24" s="53"/>
      <c r="AG24" s="53"/>
      <c r="AH24" s="54"/>
      <c r="AI24" s="51"/>
      <c r="AJ24" s="120"/>
      <c r="AK24" s="52"/>
      <c r="AL24" s="120"/>
      <c r="AM24" s="120"/>
      <c r="AN24" s="52"/>
      <c r="AO24" s="52"/>
      <c r="AP24" s="53"/>
      <c r="AQ24" s="53"/>
      <c r="AR24" s="53"/>
      <c r="AS24" s="54"/>
      <c r="AT24" s="55"/>
      <c r="AU24" s="121"/>
      <c r="AV24" s="56"/>
      <c r="AW24" s="121"/>
      <c r="AX24" s="121"/>
      <c r="AY24" s="45"/>
      <c r="AZ24" s="45"/>
      <c r="BA24" s="45"/>
      <c r="BB24" s="57"/>
      <c r="BC24" s="57"/>
      <c r="BD24" s="57"/>
      <c r="BE24" s="58"/>
      <c r="BF24" s="59"/>
      <c r="BG24" s="60"/>
      <c r="BH24" s="61"/>
      <c r="BI24" s="62"/>
      <c r="BJ24" s="60"/>
      <c r="BK24" s="63"/>
      <c r="BL24" s="63"/>
      <c r="BM24" s="64"/>
      <c r="BN24" s="18"/>
      <c r="BO24" s="19"/>
      <c r="BP24" s="65"/>
      <c r="BQ24" s="37"/>
      <c r="BR24" s="39" t="str">
        <f t="shared" ca="1" si="30"/>
        <v/>
      </c>
      <c r="BS24" s="39" t="str">
        <f t="shared" ca="1" si="31"/>
        <v/>
      </c>
      <c r="BT24" s="39" t="str">
        <f t="shared" ca="1" si="32"/>
        <v/>
      </c>
      <c r="BU24" s="39" t="str">
        <f t="shared" ca="1" si="33"/>
        <v/>
      </c>
      <c r="BV24" s="39" t="str">
        <f t="shared" ca="1" si="34"/>
        <v/>
      </c>
      <c r="BW24" s="39" t="str">
        <f t="shared" ca="1" si="35"/>
        <v/>
      </c>
      <c r="BX24" s="39" t="str">
        <f t="shared" ca="1" si="36"/>
        <v/>
      </c>
      <c r="BY24" s="39" t="str">
        <f t="shared" ca="1" si="37"/>
        <v/>
      </c>
      <c r="BZ24" s="39" t="str">
        <f t="shared" ca="1" si="38"/>
        <v/>
      </c>
      <c r="CA24" s="38"/>
    </row>
    <row r="25" spans="1:79" ht="78.75" customHeight="1" x14ac:dyDescent="0.2">
      <c r="A25" s="44"/>
      <c r="B25" s="21"/>
      <c r="C25" s="21"/>
      <c r="D25" s="20"/>
      <c r="E25" s="20"/>
      <c r="F25" s="100"/>
      <c r="G25" s="100"/>
      <c r="H25" s="170"/>
      <c r="I25" s="158"/>
      <c r="J25" s="163"/>
      <c r="K25" s="162"/>
      <c r="L25" s="54"/>
      <c r="M25" s="148"/>
      <c r="N25" s="120"/>
      <c r="O25" s="52"/>
      <c r="P25" s="121"/>
      <c r="Q25" s="120"/>
      <c r="R25" s="28"/>
      <c r="S25" s="28"/>
      <c r="T25" s="53"/>
      <c r="U25" s="53"/>
      <c r="V25" s="53"/>
      <c r="W25" s="54"/>
      <c r="X25" s="51"/>
      <c r="Y25" s="120"/>
      <c r="Z25" s="52"/>
      <c r="AA25" s="120"/>
      <c r="AB25" s="120"/>
      <c r="AC25" s="52"/>
      <c r="AD25" s="52"/>
      <c r="AE25" s="53"/>
      <c r="AF25" s="53"/>
      <c r="AG25" s="53"/>
      <c r="AH25" s="54"/>
      <c r="AI25" s="51"/>
      <c r="AJ25" s="120"/>
      <c r="AK25" s="52"/>
      <c r="AL25" s="120"/>
      <c r="AM25" s="120"/>
      <c r="AN25" s="52"/>
      <c r="AO25" s="52"/>
      <c r="AP25" s="53"/>
      <c r="AQ25" s="53"/>
      <c r="AR25" s="53"/>
      <c r="AS25" s="54"/>
      <c r="AT25" s="55"/>
      <c r="AU25" s="121"/>
      <c r="AV25" s="56"/>
      <c r="AW25" s="121"/>
      <c r="AX25" s="121"/>
      <c r="AY25" s="45"/>
      <c r="AZ25" s="45"/>
      <c r="BA25" s="45"/>
      <c r="BB25" s="57"/>
      <c r="BC25" s="57"/>
      <c r="BD25" s="57"/>
      <c r="BE25" s="58"/>
      <c r="BF25" s="59"/>
      <c r="BG25" s="60"/>
      <c r="BH25" s="61"/>
      <c r="BI25" s="62"/>
      <c r="BJ25" s="60"/>
      <c r="BK25" s="63"/>
      <c r="BL25" s="63"/>
      <c r="BM25" s="64"/>
      <c r="BN25" s="18"/>
      <c r="BO25" s="19"/>
      <c r="BP25" s="65"/>
      <c r="BQ25" s="37"/>
      <c r="BR25" s="39" t="str">
        <f t="shared" ca="1" si="30"/>
        <v/>
      </c>
      <c r="BS25" s="39" t="str">
        <f t="shared" ca="1" si="31"/>
        <v/>
      </c>
      <c r="BT25" s="39" t="str">
        <f t="shared" ca="1" si="32"/>
        <v/>
      </c>
      <c r="BU25" s="39" t="str">
        <f t="shared" ca="1" si="33"/>
        <v/>
      </c>
      <c r="BV25" s="39" t="str">
        <f t="shared" ca="1" si="34"/>
        <v/>
      </c>
      <c r="BW25" s="39" t="str">
        <f t="shared" ca="1" si="35"/>
        <v/>
      </c>
      <c r="BX25" s="39" t="str">
        <f t="shared" ca="1" si="36"/>
        <v/>
      </c>
      <c r="BY25" s="39" t="str">
        <f t="shared" ca="1" si="37"/>
        <v/>
      </c>
      <c r="BZ25" s="39" t="str">
        <f t="shared" ca="1" si="38"/>
        <v/>
      </c>
      <c r="CA25" s="38"/>
    </row>
    <row r="26" spans="1:79" ht="101.25" customHeight="1" x14ac:dyDescent="0.2">
      <c r="A26" s="44"/>
      <c r="B26" s="21"/>
      <c r="C26" s="21"/>
      <c r="D26" s="20"/>
      <c r="E26" s="20"/>
      <c r="F26" s="100"/>
      <c r="G26" s="100"/>
      <c r="H26" s="170"/>
      <c r="I26" s="158"/>
      <c r="J26" s="163"/>
      <c r="K26" s="162"/>
      <c r="L26" s="54"/>
      <c r="M26" s="148"/>
      <c r="N26" s="120"/>
      <c r="O26" s="52"/>
      <c r="P26" s="121"/>
      <c r="Q26" s="120"/>
      <c r="R26" s="28"/>
      <c r="S26" s="28"/>
      <c r="T26" s="53"/>
      <c r="U26" s="53"/>
      <c r="V26" s="53"/>
      <c r="W26" s="54"/>
      <c r="X26" s="51"/>
      <c r="Y26" s="120"/>
      <c r="Z26" s="52"/>
      <c r="AA26" s="120"/>
      <c r="AB26" s="120"/>
      <c r="AC26" s="52"/>
      <c r="AD26" s="52"/>
      <c r="AE26" s="53"/>
      <c r="AF26" s="53"/>
      <c r="AG26" s="53"/>
      <c r="AH26" s="54"/>
      <c r="AI26" s="51"/>
      <c r="AJ26" s="120"/>
      <c r="AK26" s="52"/>
      <c r="AL26" s="120"/>
      <c r="AM26" s="120"/>
      <c r="AN26" s="52"/>
      <c r="AO26" s="52"/>
      <c r="AP26" s="53"/>
      <c r="AQ26" s="53"/>
      <c r="AR26" s="53"/>
      <c r="AS26" s="54"/>
      <c r="AT26" s="55"/>
      <c r="AU26" s="121"/>
      <c r="AV26" s="56"/>
      <c r="AW26" s="121"/>
      <c r="AX26" s="121"/>
      <c r="AY26" s="45"/>
      <c r="AZ26" s="45"/>
      <c r="BA26" s="45"/>
      <c r="BB26" s="57"/>
      <c r="BC26" s="57"/>
      <c r="BD26" s="57"/>
      <c r="BE26" s="58"/>
      <c r="BF26" s="59"/>
      <c r="BG26" s="60"/>
      <c r="BH26" s="61"/>
      <c r="BI26" s="62"/>
      <c r="BJ26" s="60"/>
      <c r="BK26" s="63"/>
      <c r="BL26" s="63"/>
      <c r="BM26" s="64"/>
      <c r="BN26" s="18"/>
      <c r="BO26" s="29"/>
      <c r="BP26" s="65"/>
      <c r="BQ26" s="37"/>
      <c r="BR26" s="39" t="str">
        <f t="shared" ca="1" si="30"/>
        <v/>
      </c>
      <c r="BS26" s="39" t="str">
        <f t="shared" ca="1" si="31"/>
        <v/>
      </c>
      <c r="BT26" s="39" t="str">
        <f t="shared" ca="1" si="32"/>
        <v/>
      </c>
      <c r="BU26" s="39" t="str">
        <f t="shared" ca="1" si="33"/>
        <v/>
      </c>
      <c r="BV26" s="39" t="str">
        <f t="shared" ca="1" si="34"/>
        <v/>
      </c>
      <c r="BW26" s="39" t="str">
        <f t="shared" ca="1" si="35"/>
        <v/>
      </c>
      <c r="BX26" s="39" t="str">
        <f t="shared" ca="1" si="36"/>
        <v/>
      </c>
      <c r="BY26" s="39" t="str">
        <f t="shared" ca="1" si="37"/>
        <v/>
      </c>
      <c r="BZ26" s="39" t="str">
        <f t="shared" ca="1" si="38"/>
        <v/>
      </c>
      <c r="CA26" s="38"/>
    </row>
    <row r="27" spans="1:79" ht="101.25" customHeight="1" x14ac:dyDescent="0.2">
      <c r="A27" s="44"/>
      <c r="B27" s="21"/>
      <c r="C27" s="21"/>
      <c r="D27" s="20"/>
      <c r="E27" s="20"/>
      <c r="F27" s="100"/>
      <c r="G27" s="100"/>
      <c r="H27" s="170"/>
      <c r="I27" s="158"/>
      <c r="J27" s="163"/>
      <c r="K27" s="162"/>
      <c r="L27" s="54"/>
      <c r="M27" s="148"/>
      <c r="N27" s="120"/>
      <c r="O27" s="52"/>
      <c r="P27" s="121"/>
      <c r="Q27" s="120"/>
      <c r="R27" s="28"/>
      <c r="S27" s="28"/>
      <c r="T27" s="53"/>
      <c r="U27" s="53"/>
      <c r="V27" s="53"/>
      <c r="W27" s="54"/>
      <c r="X27" s="51"/>
      <c r="Y27" s="120"/>
      <c r="Z27" s="52"/>
      <c r="AA27" s="120"/>
      <c r="AB27" s="120"/>
      <c r="AC27" s="52"/>
      <c r="AD27" s="52"/>
      <c r="AE27" s="53"/>
      <c r="AF27" s="53"/>
      <c r="AG27" s="53"/>
      <c r="AH27" s="54"/>
      <c r="AI27" s="51"/>
      <c r="AJ27" s="120"/>
      <c r="AK27" s="52"/>
      <c r="AL27" s="120"/>
      <c r="AM27" s="120"/>
      <c r="AN27" s="52"/>
      <c r="AO27" s="52"/>
      <c r="AP27" s="53"/>
      <c r="AQ27" s="53"/>
      <c r="AR27" s="53"/>
      <c r="AS27" s="54"/>
      <c r="AT27" s="55"/>
      <c r="AU27" s="121"/>
      <c r="AV27" s="56"/>
      <c r="AW27" s="121"/>
      <c r="AX27" s="121"/>
      <c r="AY27" s="45"/>
      <c r="AZ27" s="45"/>
      <c r="BA27" s="45"/>
      <c r="BB27" s="57"/>
      <c r="BC27" s="57"/>
      <c r="BD27" s="57"/>
      <c r="BE27" s="58"/>
      <c r="BF27" s="59"/>
      <c r="BG27" s="60"/>
      <c r="BH27" s="61"/>
      <c r="BI27" s="62"/>
      <c r="BJ27" s="60"/>
      <c r="BK27" s="63"/>
      <c r="BL27" s="63"/>
      <c r="BM27" s="64"/>
      <c r="BN27" s="18"/>
      <c r="BO27" s="19"/>
      <c r="BP27" s="65"/>
      <c r="BQ27" s="37"/>
      <c r="BR27" s="39" t="str">
        <f t="shared" ca="1" si="30"/>
        <v/>
      </c>
      <c r="BS27" s="39" t="str">
        <f t="shared" ca="1" si="31"/>
        <v/>
      </c>
      <c r="BT27" s="39" t="str">
        <f t="shared" ca="1" si="32"/>
        <v/>
      </c>
      <c r="BU27" s="39" t="str">
        <f t="shared" ca="1" si="33"/>
        <v/>
      </c>
      <c r="BV27" s="39" t="str">
        <f t="shared" ca="1" si="34"/>
        <v/>
      </c>
      <c r="BW27" s="39" t="str">
        <f t="shared" ca="1" si="35"/>
        <v/>
      </c>
      <c r="BX27" s="39" t="str">
        <f t="shared" ca="1" si="36"/>
        <v/>
      </c>
      <c r="BY27" s="39" t="str">
        <f t="shared" ca="1" si="37"/>
        <v/>
      </c>
      <c r="BZ27" s="39" t="str">
        <f t="shared" ca="1" si="38"/>
        <v/>
      </c>
      <c r="CA27" s="38"/>
    </row>
    <row r="28" spans="1:79" ht="202.5" customHeight="1" x14ac:dyDescent="0.2">
      <c r="A28" s="44"/>
      <c r="B28" s="21"/>
      <c r="C28" s="21"/>
      <c r="D28" s="20"/>
      <c r="E28" s="20"/>
      <c r="F28" s="100"/>
      <c r="G28" s="100"/>
      <c r="H28" s="170"/>
      <c r="I28" s="158"/>
      <c r="J28" s="163"/>
      <c r="K28" s="162"/>
      <c r="L28" s="54"/>
      <c r="M28" s="148"/>
      <c r="N28" s="120"/>
      <c r="O28" s="52"/>
      <c r="P28" s="121"/>
      <c r="Q28" s="120"/>
      <c r="R28" s="28"/>
      <c r="S28" s="28"/>
      <c r="T28" s="53"/>
      <c r="U28" s="53"/>
      <c r="V28" s="53"/>
      <c r="W28" s="54"/>
      <c r="X28" s="51"/>
      <c r="Y28" s="120"/>
      <c r="Z28" s="52"/>
      <c r="AA28" s="120"/>
      <c r="AB28" s="120"/>
      <c r="AC28" s="52"/>
      <c r="AD28" s="52"/>
      <c r="AE28" s="53"/>
      <c r="AF28" s="53"/>
      <c r="AG28" s="53"/>
      <c r="AH28" s="54"/>
      <c r="AI28" s="51"/>
      <c r="AJ28" s="120"/>
      <c r="AK28" s="52"/>
      <c r="AL28" s="120"/>
      <c r="AM28" s="120"/>
      <c r="AN28" s="52"/>
      <c r="AO28" s="52"/>
      <c r="AP28" s="53"/>
      <c r="AQ28" s="53"/>
      <c r="AR28" s="53"/>
      <c r="AS28" s="54"/>
      <c r="AT28" s="55"/>
      <c r="AU28" s="121"/>
      <c r="AV28" s="56"/>
      <c r="AW28" s="121"/>
      <c r="AX28" s="121"/>
      <c r="AY28" s="45"/>
      <c r="AZ28" s="45"/>
      <c r="BA28" s="45"/>
      <c r="BB28" s="57"/>
      <c r="BC28" s="57"/>
      <c r="BD28" s="57"/>
      <c r="BE28" s="58"/>
      <c r="BF28" s="59"/>
      <c r="BG28" s="60"/>
      <c r="BH28" s="61"/>
      <c r="BI28" s="62"/>
      <c r="BJ28" s="60"/>
      <c r="BK28" s="63"/>
      <c r="BL28" s="63"/>
      <c r="BM28" s="64"/>
      <c r="BN28" s="18"/>
      <c r="BO28" s="19"/>
      <c r="BP28" s="65"/>
      <c r="BQ28" s="37"/>
      <c r="BR28" s="39" t="str">
        <f t="shared" ca="1" si="30"/>
        <v/>
      </c>
      <c r="BS28" s="39" t="str">
        <f t="shared" ca="1" si="31"/>
        <v/>
      </c>
      <c r="BT28" s="39" t="str">
        <f t="shared" ca="1" si="32"/>
        <v/>
      </c>
      <c r="BU28" s="39" t="str">
        <f t="shared" ca="1" si="33"/>
        <v/>
      </c>
      <c r="BV28" s="39" t="str">
        <f t="shared" ca="1" si="34"/>
        <v/>
      </c>
      <c r="BW28" s="39" t="str">
        <f t="shared" ca="1" si="35"/>
        <v/>
      </c>
      <c r="BX28" s="39" t="str">
        <f t="shared" ca="1" si="36"/>
        <v/>
      </c>
      <c r="BY28" s="39" t="str">
        <f t="shared" ca="1" si="37"/>
        <v/>
      </c>
      <c r="BZ28" s="39" t="str">
        <f t="shared" ca="1" si="38"/>
        <v/>
      </c>
      <c r="CA28" s="38"/>
    </row>
    <row r="29" spans="1:79" ht="45" customHeight="1" x14ac:dyDescent="0.2">
      <c r="A29" s="44"/>
      <c r="B29" s="21"/>
      <c r="C29" s="21"/>
      <c r="D29" s="20"/>
      <c r="E29" s="20"/>
      <c r="F29" s="100"/>
      <c r="G29" s="100"/>
      <c r="H29" s="170"/>
      <c r="I29" s="158"/>
      <c r="J29" s="163"/>
      <c r="K29" s="162"/>
      <c r="L29" s="54"/>
      <c r="M29" s="148"/>
      <c r="N29" s="120"/>
      <c r="O29" s="52"/>
      <c r="P29" s="121"/>
      <c r="Q29" s="120"/>
      <c r="R29" s="28"/>
      <c r="S29" s="28"/>
      <c r="T29" s="53"/>
      <c r="U29" s="53"/>
      <c r="V29" s="53"/>
      <c r="W29" s="54"/>
      <c r="X29" s="51"/>
      <c r="Y29" s="120"/>
      <c r="Z29" s="52"/>
      <c r="AA29" s="120"/>
      <c r="AB29" s="120"/>
      <c r="AC29" s="52"/>
      <c r="AD29" s="52"/>
      <c r="AE29" s="53"/>
      <c r="AF29" s="53"/>
      <c r="AG29" s="53"/>
      <c r="AH29" s="54"/>
      <c r="AI29" s="51"/>
      <c r="AJ29" s="120"/>
      <c r="AK29" s="52"/>
      <c r="AL29" s="120"/>
      <c r="AM29" s="120"/>
      <c r="AN29" s="52"/>
      <c r="AO29" s="52"/>
      <c r="AP29" s="53"/>
      <c r="AQ29" s="53"/>
      <c r="AR29" s="53"/>
      <c r="AS29" s="54"/>
      <c r="AT29" s="55"/>
      <c r="AU29" s="121"/>
      <c r="AV29" s="56"/>
      <c r="AW29" s="121"/>
      <c r="AX29" s="121"/>
      <c r="AY29" s="45"/>
      <c r="AZ29" s="45"/>
      <c r="BA29" s="45"/>
      <c r="BB29" s="57"/>
      <c r="BC29" s="57"/>
      <c r="BD29" s="57"/>
      <c r="BE29" s="58"/>
      <c r="BF29" s="59"/>
      <c r="BG29" s="60"/>
      <c r="BH29" s="61"/>
      <c r="BI29" s="62"/>
      <c r="BJ29" s="60"/>
      <c r="BK29" s="63"/>
      <c r="BL29" s="63"/>
      <c r="BM29" s="64"/>
      <c r="BN29" s="18"/>
      <c r="BO29" s="19"/>
      <c r="BP29" s="65"/>
      <c r="BQ29" s="37"/>
      <c r="BR29" s="39" t="str">
        <f t="shared" ca="1" si="30"/>
        <v/>
      </c>
      <c r="BS29" s="39" t="str">
        <f t="shared" ca="1" si="31"/>
        <v/>
      </c>
      <c r="BT29" s="39" t="str">
        <f t="shared" ca="1" si="32"/>
        <v/>
      </c>
      <c r="BU29" s="39" t="str">
        <f t="shared" ca="1" si="33"/>
        <v/>
      </c>
      <c r="BV29" s="39" t="str">
        <f t="shared" ca="1" si="34"/>
        <v/>
      </c>
      <c r="BW29" s="39" t="str">
        <f t="shared" ca="1" si="35"/>
        <v/>
      </c>
      <c r="BX29" s="39" t="str">
        <f t="shared" ca="1" si="36"/>
        <v/>
      </c>
      <c r="BY29" s="39" t="str">
        <f t="shared" ca="1" si="37"/>
        <v/>
      </c>
      <c r="BZ29" s="39" t="str">
        <f t="shared" ca="1" si="38"/>
        <v/>
      </c>
      <c r="CA29" s="38"/>
    </row>
    <row r="30" spans="1:79" ht="45" customHeight="1" x14ac:dyDescent="0.2">
      <c r="A30" s="44"/>
      <c r="B30" s="21"/>
      <c r="C30" s="21"/>
      <c r="D30" s="20"/>
      <c r="E30" s="20"/>
      <c r="F30" s="100"/>
      <c r="G30" s="100"/>
      <c r="H30" s="170"/>
      <c r="I30" s="158"/>
      <c r="J30" s="163"/>
      <c r="K30" s="162"/>
      <c r="L30" s="54"/>
      <c r="M30" s="148"/>
      <c r="N30" s="120"/>
      <c r="O30" s="52"/>
      <c r="P30" s="121"/>
      <c r="Q30" s="120"/>
      <c r="R30" s="28"/>
      <c r="S30" s="28"/>
      <c r="T30" s="53"/>
      <c r="U30" s="53"/>
      <c r="V30" s="53"/>
      <c r="W30" s="54"/>
      <c r="X30" s="51"/>
      <c r="Y30" s="120"/>
      <c r="Z30" s="52"/>
      <c r="AA30" s="120"/>
      <c r="AB30" s="120"/>
      <c r="AC30" s="52"/>
      <c r="AD30" s="52"/>
      <c r="AE30" s="53"/>
      <c r="AF30" s="53"/>
      <c r="AG30" s="53"/>
      <c r="AH30" s="54"/>
      <c r="AI30" s="51"/>
      <c r="AJ30" s="120"/>
      <c r="AK30" s="52"/>
      <c r="AL30" s="120"/>
      <c r="AM30" s="120"/>
      <c r="AN30" s="52"/>
      <c r="AO30" s="52"/>
      <c r="AP30" s="53"/>
      <c r="AQ30" s="53"/>
      <c r="AR30" s="53"/>
      <c r="AS30" s="54"/>
      <c r="AT30" s="55"/>
      <c r="AU30" s="121"/>
      <c r="AV30" s="56"/>
      <c r="AW30" s="121"/>
      <c r="AX30" s="121"/>
      <c r="AY30" s="45"/>
      <c r="AZ30" s="45"/>
      <c r="BA30" s="45"/>
      <c r="BB30" s="57"/>
      <c r="BC30" s="57"/>
      <c r="BD30" s="57"/>
      <c r="BE30" s="58"/>
      <c r="BF30" s="59"/>
      <c r="BG30" s="60"/>
      <c r="BH30" s="61"/>
      <c r="BI30" s="62"/>
      <c r="BJ30" s="60"/>
      <c r="BK30" s="63"/>
      <c r="BL30" s="63"/>
      <c r="BM30" s="64"/>
      <c r="BN30" s="18"/>
      <c r="BO30" s="19"/>
      <c r="BP30" s="65"/>
      <c r="BQ30" s="37"/>
      <c r="BR30" s="39" t="str">
        <f t="shared" ca="1" si="30"/>
        <v/>
      </c>
      <c r="BS30" s="39" t="str">
        <f t="shared" ca="1" si="31"/>
        <v/>
      </c>
      <c r="BT30" s="39" t="str">
        <f t="shared" ca="1" si="32"/>
        <v/>
      </c>
      <c r="BU30" s="39" t="str">
        <f t="shared" ca="1" si="33"/>
        <v/>
      </c>
      <c r="BV30" s="39" t="str">
        <f t="shared" ca="1" si="34"/>
        <v/>
      </c>
      <c r="BW30" s="39" t="str">
        <f t="shared" ca="1" si="35"/>
        <v/>
      </c>
      <c r="BX30" s="39" t="str">
        <f t="shared" ca="1" si="36"/>
        <v/>
      </c>
      <c r="BY30" s="39" t="str">
        <f t="shared" ca="1" si="37"/>
        <v/>
      </c>
      <c r="BZ30" s="39" t="str">
        <f t="shared" ca="1" si="38"/>
        <v/>
      </c>
      <c r="CA30" s="38"/>
    </row>
    <row r="31" spans="1:79" ht="56.25" customHeight="1" x14ac:dyDescent="0.2">
      <c r="A31" s="44"/>
      <c r="B31" s="21"/>
      <c r="C31" s="21"/>
      <c r="D31" s="20"/>
      <c r="E31" s="20"/>
      <c r="F31" s="100"/>
      <c r="G31" s="100"/>
      <c r="H31" s="170"/>
      <c r="I31" s="158"/>
      <c r="J31" s="163"/>
      <c r="K31" s="162"/>
      <c r="L31" s="54"/>
      <c r="M31" s="148"/>
      <c r="N31" s="120"/>
      <c r="O31" s="52"/>
      <c r="P31" s="121"/>
      <c r="Q31" s="120"/>
      <c r="R31" s="28"/>
      <c r="S31" s="28"/>
      <c r="T31" s="53"/>
      <c r="U31" s="53"/>
      <c r="V31" s="53"/>
      <c r="W31" s="54"/>
      <c r="X31" s="51"/>
      <c r="Y31" s="120"/>
      <c r="Z31" s="52"/>
      <c r="AA31" s="120"/>
      <c r="AB31" s="120"/>
      <c r="AC31" s="52"/>
      <c r="AD31" s="52"/>
      <c r="AE31" s="53"/>
      <c r="AF31" s="53"/>
      <c r="AG31" s="53"/>
      <c r="AH31" s="54"/>
      <c r="AI31" s="51"/>
      <c r="AJ31" s="120"/>
      <c r="AK31" s="52"/>
      <c r="AL31" s="120"/>
      <c r="AM31" s="120"/>
      <c r="AN31" s="52"/>
      <c r="AO31" s="52"/>
      <c r="AP31" s="53"/>
      <c r="AQ31" s="53"/>
      <c r="AR31" s="53"/>
      <c r="AS31" s="54"/>
      <c r="AT31" s="55"/>
      <c r="AU31" s="121"/>
      <c r="AV31" s="56"/>
      <c r="AW31" s="121"/>
      <c r="AX31" s="121"/>
      <c r="AY31" s="45"/>
      <c r="AZ31" s="45"/>
      <c r="BA31" s="45"/>
      <c r="BB31" s="57"/>
      <c r="BC31" s="57"/>
      <c r="BD31" s="57"/>
      <c r="BE31" s="58"/>
      <c r="BF31" s="59"/>
      <c r="BG31" s="60"/>
      <c r="BH31" s="61"/>
      <c r="BI31" s="62"/>
      <c r="BJ31" s="60"/>
      <c r="BK31" s="63"/>
      <c r="BL31" s="63"/>
      <c r="BM31" s="64"/>
      <c r="BN31" s="18"/>
      <c r="BO31" s="19"/>
      <c r="BP31" s="65"/>
      <c r="BQ31" s="37"/>
      <c r="BR31" s="39" t="str">
        <f t="shared" ca="1" si="30"/>
        <v/>
      </c>
      <c r="BS31" s="39" t="str">
        <f t="shared" ca="1" si="31"/>
        <v/>
      </c>
      <c r="BT31" s="39" t="str">
        <f t="shared" ca="1" si="32"/>
        <v/>
      </c>
      <c r="BU31" s="39" t="str">
        <f t="shared" ca="1" si="33"/>
        <v/>
      </c>
      <c r="BV31" s="39" t="str">
        <f t="shared" ca="1" si="34"/>
        <v/>
      </c>
      <c r="BW31" s="39" t="str">
        <f t="shared" ca="1" si="35"/>
        <v/>
      </c>
      <c r="BX31" s="39" t="str">
        <f t="shared" ca="1" si="36"/>
        <v/>
      </c>
      <c r="BY31" s="39" t="str">
        <f t="shared" ca="1" si="37"/>
        <v/>
      </c>
      <c r="BZ31" s="39" t="str">
        <f t="shared" ca="1" si="38"/>
        <v/>
      </c>
      <c r="CA31" s="38"/>
    </row>
    <row r="32" spans="1:79" ht="90" customHeight="1" x14ac:dyDescent="0.2">
      <c r="A32" s="44"/>
      <c r="B32" s="21"/>
      <c r="C32" s="21"/>
      <c r="D32" s="20"/>
      <c r="E32" s="20"/>
      <c r="F32" s="100"/>
      <c r="G32" s="100"/>
      <c r="H32" s="170"/>
      <c r="I32" s="158"/>
      <c r="J32" s="163"/>
      <c r="K32" s="162"/>
      <c r="L32" s="54"/>
      <c r="M32" s="148"/>
      <c r="N32" s="120"/>
      <c r="O32" s="52"/>
      <c r="P32" s="121"/>
      <c r="Q32" s="120"/>
      <c r="R32" s="28"/>
      <c r="S32" s="28"/>
      <c r="T32" s="53"/>
      <c r="U32" s="53"/>
      <c r="V32" s="53"/>
      <c r="W32" s="54"/>
      <c r="X32" s="51"/>
      <c r="Y32" s="120"/>
      <c r="Z32" s="52"/>
      <c r="AA32" s="120"/>
      <c r="AB32" s="120"/>
      <c r="AC32" s="52"/>
      <c r="AD32" s="52"/>
      <c r="AE32" s="53"/>
      <c r="AF32" s="53"/>
      <c r="AG32" s="53"/>
      <c r="AH32" s="54"/>
      <c r="AI32" s="51"/>
      <c r="AJ32" s="120"/>
      <c r="AK32" s="52"/>
      <c r="AL32" s="120"/>
      <c r="AM32" s="120"/>
      <c r="AN32" s="52"/>
      <c r="AO32" s="52"/>
      <c r="AP32" s="53"/>
      <c r="AQ32" s="53"/>
      <c r="AR32" s="53"/>
      <c r="AS32" s="54"/>
      <c r="AT32" s="55"/>
      <c r="AU32" s="121"/>
      <c r="AV32" s="56"/>
      <c r="AW32" s="121"/>
      <c r="AX32" s="121"/>
      <c r="AY32" s="45"/>
      <c r="AZ32" s="45"/>
      <c r="BA32" s="45"/>
      <c r="BB32" s="57"/>
      <c r="BC32" s="57"/>
      <c r="BD32" s="57"/>
      <c r="BE32" s="58"/>
      <c r="BF32" s="59"/>
      <c r="BG32" s="60"/>
      <c r="BH32" s="61"/>
      <c r="BI32" s="62"/>
      <c r="BJ32" s="60"/>
      <c r="BK32" s="63"/>
      <c r="BL32" s="63"/>
      <c r="BM32" s="64"/>
      <c r="BN32" s="18"/>
      <c r="BO32" s="19"/>
      <c r="BP32" s="65"/>
      <c r="BQ32" s="37"/>
      <c r="BR32" s="39" t="str">
        <f t="shared" ca="1" si="30"/>
        <v/>
      </c>
      <c r="BS32" s="39" t="str">
        <f t="shared" ca="1" si="31"/>
        <v/>
      </c>
      <c r="BT32" s="39" t="str">
        <f t="shared" ca="1" si="32"/>
        <v/>
      </c>
      <c r="BU32" s="39" t="str">
        <f t="shared" ca="1" si="33"/>
        <v/>
      </c>
      <c r="BV32" s="39" t="str">
        <f t="shared" ca="1" si="34"/>
        <v/>
      </c>
      <c r="BW32" s="39" t="str">
        <f t="shared" ca="1" si="35"/>
        <v/>
      </c>
      <c r="BX32" s="39" t="str">
        <f t="shared" ca="1" si="36"/>
        <v/>
      </c>
      <c r="BY32" s="39" t="str">
        <f t="shared" ca="1" si="37"/>
        <v/>
      </c>
      <c r="BZ32" s="39" t="str">
        <f t="shared" ca="1" si="38"/>
        <v/>
      </c>
      <c r="CA32" s="38"/>
    </row>
    <row r="33" spans="1:79" ht="78.75" customHeight="1" x14ac:dyDescent="0.2">
      <c r="A33" s="44"/>
      <c r="B33" s="21"/>
      <c r="C33" s="21"/>
      <c r="D33" s="20"/>
      <c r="E33" s="20"/>
      <c r="F33" s="100"/>
      <c r="G33" s="100"/>
      <c r="H33" s="170"/>
      <c r="I33" s="158"/>
      <c r="J33" s="163"/>
      <c r="K33" s="162"/>
      <c r="L33" s="54"/>
      <c r="M33" s="148"/>
      <c r="N33" s="120"/>
      <c r="O33" s="52"/>
      <c r="P33" s="121"/>
      <c r="Q33" s="120"/>
      <c r="R33" s="28"/>
      <c r="S33" s="28"/>
      <c r="T33" s="53"/>
      <c r="U33" s="53"/>
      <c r="V33" s="53"/>
      <c r="W33" s="54"/>
      <c r="X33" s="51"/>
      <c r="Y33" s="120"/>
      <c r="Z33" s="52"/>
      <c r="AA33" s="120"/>
      <c r="AB33" s="120"/>
      <c r="AC33" s="52"/>
      <c r="AD33" s="52"/>
      <c r="AE33" s="53"/>
      <c r="AF33" s="53"/>
      <c r="AG33" s="53"/>
      <c r="AH33" s="54"/>
      <c r="AI33" s="51"/>
      <c r="AJ33" s="120"/>
      <c r="AK33" s="52"/>
      <c r="AL33" s="120"/>
      <c r="AM33" s="120"/>
      <c r="AN33" s="52"/>
      <c r="AO33" s="52"/>
      <c r="AP33" s="53"/>
      <c r="AQ33" s="53"/>
      <c r="AR33" s="53"/>
      <c r="AS33" s="54"/>
      <c r="AT33" s="55"/>
      <c r="AU33" s="121"/>
      <c r="AV33" s="56"/>
      <c r="AW33" s="121"/>
      <c r="AX33" s="121"/>
      <c r="AY33" s="45"/>
      <c r="AZ33" s="45"/>
      <c r="BA33" s="45"/>
      <c r="BB33" s="57"/>
      <c r="BC33" s="57"/>
      <c r="BD33" s="57"/>
      <c r="BE33" s="58"/>
      <c r="BF33" s="59"/>
      <c r="BG33" s="60"/>
      <c r="BH33" s="61"/>
      <c r="BI33" s="62"/>
      <c r="BJ33" s="60"/>
      <c r="BK33" s="63"/>
      <c r="BL33" s="63"/>
      <c r="BM33" s="64"/>
      <c r="BN33" s="18"/>
      <c r="BO33" s="19"/>
      <c r="BP33" s="65"/>
      <c r="BQ33" s="37"/>
      <c r="BR33" s="39" t="str">
        <f t="shared" ca="1" si="30"/>
        <v/>
      </c>
      <c r="BS33" s="39" t="str">
        <f t="shared" ca="1" si="31"/>
        <v/>
      </c>
      <c r="BT33" s="39" t="str">
        <f t="shared" ca="1" si="32"/>
        <v/>
      </c>
      <c r="BU33" s="39" t="str">
        <f t="shared" ca="1" si="33"/>
        <v/>
      </c>
      <c r="BV33" s="39" t="str">
        <f t="shared" ca="1" si="34"/>
        <v/>
      </c>
      <c r="BW33" s="39" t="str">
        <f t="shared" ca="1" si="35"/>
        <v/>
      </c>
      <c r="BX33" s="39" t="str">
        <f t="shared" ca="1" si="36"/>
        <v/>
      </c>
      <c r="BY33" s="39" t="str">
        <f t="shared" ca="1" si="37"/>
        <v/>
      </c>
      <c r="BZ33" s="39" t="str">
        <f t="shared" ca="1" si="38"/>
        <v/>
      </c>
      <c r="CA33" s="38"/>
    </row>
    <row r="34" spans="1:79" ht="78.75" customHeight="1" x14ac:dyDescent="0.2">
      <c r="A34" s="44"/>
      <c r="B34" s="21"/>
      <c r="C34" s="21"/>
      <c r="D34" s="20"/>
      <c r="E34" s="20"/>
      <c r="F34" s="100"/>
      <c r="G34" s="100"/>
      <c r="H34" s="170"/>
      <c r="I34" s="158"/>
      <c r="J34" s="163"/>
      <c r="K34" s="162"/>
      <c r="L34" s="54"/>
      <c r="M34" s="148"/>
      <c r="N34" s="120"/>
      <c r="O34" s="52"/>
      <c r="P34" s="121"/>
      <c r="Q34" s="120"/>
      <c r="R34" s="28"/>
      <c r="S34" s="28"/>
      <c r="T34" s="53"/>
      <c r="U34" s="53"/>
      <c r="V34" s="53"/>
      <c r="W34" s="54"/>
      <c r="X34" s="51"/>
      <c r="Y34" s="120"/>
      <c r="Z34" s="52"/>
      <c r="AA34" s="120"/>
      <c r="AB34" s="120"/>
      <c r="AC34" s="52"/>
      <c r="AD34" s="52"/>
      <c r="AE34" s="53"/>
      <c r="AF34" s="53"/>
      <c r="AG34" s="53"/>
      <c r="AH34" s="54"/>
      <c r="AI34" s="51"/>
      <c r="AJ34" s="120"/>
      <c r="AK34" s="52"/>
      <c r="AL34" s="120"/>
      <c r="AM34" s="120"/>
      <c r="AN34" s="52"/>
      <c r="AO34" s="52"/>
      <c r="AP34" s="53"/>
      <c r="AQ34" s="53"/>
      <c r="AR34" s="53"/>
      <c r="AS34" s="54"/>
      <c r="AT34" s="55"/>
      <c r="AU34" s="121"/>
      <c r="AV34" s="56"/>
      <c r="AW34" s="121"/>
      <c r="AX34" s="121"/>
      <c r="AY34" s="45"/>
      <c r="AZ34" s="45"/>
      <c r="BA34" s="45"/>
      <c r="BB34" s="57"/>
      <c r="BC34" s="57"/>
      <c r="BD34" s="57"/>
      <c r="BE34" s="58"/>
      <c r="BF34" s="59"/>
      <c r="BG34" s="60"/>
      <c r="BH34" s="61"/>
      <c r="BI34" s="62"/>
      <c r="BJ34" s="60"/>
      <c r="BK34" s="63"/>
      <c r="BL34" s="63"/>
      <c r="BM34" s="64"/>
      <c r="BN34" s="18"/>
      <c r="BO34" s="19"/>
      <c r="BP34" s="65"/>
      <c r="BQ34" s="37"/>
      <c r="BR34" s="39" t="str">
        <f t="shared" ca="1" si="30"/>
        <v/>
      </c>
      <c r="BS34" s="39" t="str">
        <f t="shared" ca="1" si="31"/>
        <v/>
      </c>
      <c r="BT34" s="39" t="str">
        <f t="shared" ca="1" si="32"/>
        <v/>
      </c>
      <c r="BU34" s="39" t="str">
        <f t="shared" ca="1" si="33"/>
        <v/>
      </c>
      <c r="BV34" s="39" t="str">
        <f t="shared" ca="1" si="34"/>
        <v/>
      </c>
      <c r="BW34" s="39" t="str">
        <f t="shared" ca="1" si="35"/>
        <v/>
      </c>
      <c r="BX34" s="39" t="str">
        <f t="shared" ca="1" si="36"/>
        <v/>
      </c>
      <c r="BY34" s="39" t="str">
        <f t="shared" ca="1" si="37"/>
        <v/>
      </c>
      <c r="BZ34" s="39" t="str">
        <f t="shared" ca="1" si="38"/>
        <v/>
      </c>
      <c r="CA34" s="38"/>
    </row>
    <row r="35" spans="1:79" ht="63" customHeight="1" x14ac:dyDescent="0.2">
      <c r="A35" s="44"/>
      <c r="B35" s="21"/>
      <c r="C35" s="21"/>
      <c r="D35" s="20"/>
      <c r="E35" s="20"/>
      <c r="F35" s="100"/>
      <c r="G35" s="100"/>
      <c r="H35" s="159"/>
      <c r="I35" s="158"/>
      <c r="J35" s="164"/>
      <c r="K35" s="162"/>
      <c r="L35" s="54"/>
      <c r="M35" s="148"/>
      <c r="N35" s="120"/>
      <c r="O35" s="52"/>
      <c r="P35" s="121"/>
      <c r="Q35" s="120"/>
      <c r="R35" s="28"/>
      <c r="S35" s="28"/>
      <c r="T35" s="53"/>
      <c r="U35" s="53"/>
      <c r="V35" s="53"/>
      <c r="W35" s="54"/>
      <c r="X35" s="51"/>
      <c r="Y35" s="120"/>
      <c r="Z35" s="52"/>
      <c r="AA35" s="120"/>
      <c r="AB35" s="120"/>
      <c r="AC35" s="52"/>
      <c r="AD35" s="52"/>
      <c r="AE35" s="53"/>
      <c r="AF35" s="53"/>
      <c r="AG35" s="53"/>
      <c r="AH35" s="54"/>
      <c r="AI35" s="51"/>
      <c r="AJ35" s="120"/>
      <c r="AK35" s="52"/>
      <c r="AL35" s="120"/>
      <c r="AM35" s="120"/>
      <c r="AN35" s="52"/>
      <c r="AO35" s="52"/>
      <c r="AP35" s="53"/>
      <c r="AQ35" s="53"/>
      <c r="AR35" s="53"/>
      <c r="AS35" s="54"/>
      <c r="AT35" s="55"/>
      <c r="AU35" s="121"/>
      <c r="AV35" s="56"/>
      <c r="AW35" s="121"/>
      <c r="AX35" s="121"/>
      <c r="AY35" s="45"/>
      <c r="AZ35" s="45"/>
      <c r="BA35" s="45"/>
      <c r="BB35" s="57"/>
      <c r="BC35" s="57"/>
      <c r="BD35" s="57"/>
      <c r="BE35" s="58"/>
      <c r="BF35" s="59"/>
      <c r="BG35" s="59"/>
      <c r="BH35" s="61"/>
      <c r="BI35" s="59"/>
      <c r="BJ35" s="60"/>
      <c r="BK35" s="63"/>
      <c r="BL35" s="63"/>
      <c r="BM35" s="64"/>
      <c r="BN35" s="18"/>
      <c r="BO35" s="19"/>
      <c r="BP35" s="65"/>
      <c r="BQ35" s="37"/>
      <c r="BR35" s="39" t="str">
        <f t="shared" ca="1" si="30"/>
        <v/>
      </c>
      <c r="BS35" s="39" t="str">
        <f t="shared" ca="1" si="31"/>
        <v/>
      </c>
      <c r="BT35" s="39" t="str">
        <f t="shared" ca="1" si="32"/>
        <v/>
      </c>
      <c r="BU35" s="39" t="str">
        <f t="shared" ca="1" si="33"/>
        <v/>
      </c>
      <c r="BV35" s="39" t="str">
        <f t="shared" ca="1" si="34"/>
        <v/>
      </c>
      <c r="BW35" s="39" t="str">
        <f t="shared" ca="1" si="35"/>
        <v/>
      </c>
      <c r="BX35" s="39" t="str">
        <f t="shared" ca="1" si="36"/>
        <v/>
      </c>
      <c r="BY35" s="39" t="str">
        <f t="shared" ca="1" si="37"/>
        <v/>
      </c>
      <c r="BZ35" s="39" t="str">
        <f t="shared" ca="1" si="38"/>
        <v/>
      </c>
      <c r="CA35" s="38"/>
    </row>
    <row r="36" spans="1:79" ht="60.75" customHeight="1" x14ac:dyDescent="0.2">
      <c r="A36" s="44"/>
      <c r="B36" s="21"/>
      <c r="C36" s="21"/>
      <c r="D36" s="20"/>
      <c r="E36" s="20"/>
      <c r="F36" s="100"/>
      <c r="G36" s="100"/>
      <c r="H36" s="159"/>
      <c r="I36" s="158"/>
      <c r="J36" s="164"/>
      <c r="K36" s="162"/>
      <c r="L36" s="54"/>
      <c r="M36" s="148"/>
      <c r="N36" s="120"/>
      <c r="O36" s="52"/>
      <c r="P36" s="121"/>
      <c r="Q36" s="120"/>
      <c r="R36" s="28"/>
      <c r="S36" s="28"/>
      <c r="T36" s="53"/>
      <c r="U36" s="53"/>
      <c r="V36" s="53"/>
      <c r="W36" s="54"/>
      <c r="X36" s="51"/>
      <c r="Y36" s="120"/>
      <c r="Z36" s="52"/>
      <c r="AA36" s="120"/>
      <c r="AB36" s="120"/>
      <c r="AC36" s="52"/>
      <c r="AD36" s="52"/>
      <c r="AE36" s="53"/>
      <c r="AF36" s="53"/>
      <c r="AG36" s="53"/>
      <c r="AH36" s="54"/>
      <c r="AI36" s="51"/>
      <c r="AJ36" s="120"/>
      <c r="AK36" s="52"/>
      <c r="AL36" s="120"/>
      <c r="AM36" s="120"/>
      <c r="AN36" s="52"/>
      <c r="AO36" s="52"/>
      <c r="AP36" s="53"/>
      <c r="AQ36" s="53"/>
      <c r="AR36" s="53"/>
      <c r="AS36" s="54"/>
      <c r="AT36" s="55"/>
      <c r="AU36" s="121"/>
      <c r="AV36" s="56"/>
      <c r="AW36" s="121"/>
      <c r="AX36" s="121"/>
      <c r="AY36" s="45"/>
      <c r="AZ36" s="45"/>
      <c r="BA36" s="45"/>
      <c r="BB36" s="57"/>
      <c r="BC36" s="57"/>
      <c r="BD36" s="57"/>
      <c r="BE36" s="58"/>
      <c r="BF36" s="59"/>
      <c r="BG36" s="60"/>
      <c r="BH36" s="61"/>
      <c r="BI36" s="62"/>
      <c r="BJ36" s="60"/>
      <c r="BK36" s="63"/>
      <c r="BL36" s="63"/>
      <c r="BM36" s="64"/>
      <c r="BN36" s="18"/>
      <c r="BO36" s="19"/>
      <c r="BP36" s="65"/>
      <c r="BQ36" s="37"/>
      <c r="BR36" s="39" t="str">
        <f t="shared" ca="1" si="30"/>
        <v/>
      </c>
      <c r="BS36" s="39" t="str">
        <f t="shared" ca="1" si="31"/>
        <v/>
      </c>
      <c r="BT36" s="39" t="str">
        <f t="shared" ca="1" si="32"/>
        <v/>
      </c>
      <c r="BU36" s="39" t="str">
        <f t="shared" ca="1" si="33"/>
        <v/>
      </c>
      <c r="BV36" s="39" t="str">
        <f t="shared" ca="1" si="34"/>
        <v/>
      </c>
      <c r="BW36" s="39" t="str">
        <f t="shared" ca="1" si="35"/>
        <v/>
      </c>
      <c r="BX36" s="39" t="str">
        <f t="shared" ca="1" si="36"/>
        <v/>
      </c>
      <c r="BY36" s="39" t="str">
        <f t="shared" ca="1" si="37"/>
        <v/>
      </c>
      <c r="BZ36" s="39" t="str">
        <f t="shared" ca="1" si="38"/>
        <v/>
      </c>
      <c r="CA36" s="38"/>
    </row>
    <row r="37" spans="1:79" x14ac:dyDescent="0.2">
      <c r="A37" s="44"/>
      <c r="B37" s="21"/>
      <c r="C37" s="21"/>
      <c r="D37" s="20"/>
      <c r="E37" s="100"/>
      <c r="F37" s="100"/>
      <c r="G37" s="100"/>
      <c r="H37" s="159"/>
      <c r="I37" s="158"/>
      <c r="J37" s="164"/>
      <c r="K37" s="162"/>
      <c r="L37" s="54"/>
      <c r="M37" s="148"/>
      <c r="N37" s="120"/>
      <c r="O37" s="52"/>
      <c r="P37" s="121"/>
      <c r="Q37" s="120"/>
      <c r="R37" s="28"/>
      <c r="S37" s="28"/>
      <c r="T37" s="53"/>
      <c r="U37" s="53"/>
      <c r="V37" s="53"/>
      <c r="W37" s="54"/>
      <c r="X37" s="51"/>
      <c r="Y37" s="120"/>
      <c r="Z37" s="52"/>
      <c r="AA37" s="120"/>
      <c r="AB37" s="120"/>
      <c r="AC37" s="52"/>
      <c r="AD37" s="52"/>
      <c r="AE37" s="53"/>
      <c r="AF37" s="53"/>
      <c r="AG37" s="53"/>
      <c r="AH37" s="54"/>
      <c r="AI37" s="51"/>
      <c r="AJ37" s="120"/>
      <c r="AK37" s="52"/>
      <c r="AL37" s="120"/>
      <c r="AM37" s="120"/>
      <c r="AN37" s="52"/>
      <c r="AO37" s="52"/>
      <c r="AP37" s="53"/>
      <c r="AQ37" s="53"/>
      <c r="AR37" s="53"/>
      <c r="AS37" s="54"/>
      <c r="AT37" s="55"/>
      <c r="AU37" s="121"/>
      <c r="AV37" s="56"/>
      <c r="AW37" s="121"/>
      <c r="AX37" s="121"/>
      <c r="AY37" s="45"/>
      <c r="AZ37" s="45"/>
      <c r="BA37" s="45"/>
      <c r="BB37" s="57"/>
      <c r="BC37" s="57"/>
      <c r="BD37" s="57"/>
      <c r="BE37" s="58"/>
      <c r="BF37" s="59"/>
      <c r="BG37" s="60"/>
      <c r="BH37" s="61"/>
      <c r="BI37" s="62"/>
      <c r="BJ37" s="60"/>
      <c r="BK37" s="63"/>
      <c r="BL37" s="63"/>
      <c r="BM37" s="64"/>
      <c r="BN37" s="18"/>
      <c r="BO37" s="19"/>
      <c r="BP37" s="65"/>
      <c r="BQ37" s="37"/>
      <c r="BR37" s="39" t="str">
        <f t="shared" ca="1" si="30"/>
        <v/>
      </c>
      <c r="BS37" s="39" t="str">
        <f t="shared" ca="1" si="31"/>
        <v/>
      </c>
      <c r="BT37" s="39" t="str">
        <f t="shared" ca="1" si="32"/>
        <v/>
      </c>
      <c r="BU37" s="39" t="str">
        <f t="shared" ca="1" si="33"/>
        <v/>
      </c>
      <c r="BV37" s="39" t="str">
        <f t="shared" ca="1" si="34"/>
        <v/>
      </c>
      <c r="BW37" s="39" t="str">
        <f t="shared" ca="1" si="35"/>
        <v/>
      </c>
      <c r="BX37" s="39" t="str">
        <f t="shared" ca="1" si="36"/>
        <v/>
      </c>
      <c r="BY37" s="39" t="str">
        <f t="shared" ca="1" si="37"/>
        <v/>
      </c>
      <c r="BZ37" s="39" t="str">
        <f t="shared" ca="1" si="38"/>
        <v/>
      </c>
      <c r="CA37" s="38"/>
    </row>
    <row r="38" spans="1:79" ht="15" customHeight="1" x14ac:dyDescent="0.2">
      <c r="A38" s="44"/>
      <c r="B38" s="21"/>
      <c r="C38" s="21"/>
      <c r="D38" s="20"/>
      <c r="E38" s="20"/>
      <c r="F38" s="100"/>
      <c r="G38" s="100"/>
      <c r="H38" s="159"/>
      <c r="I38" s="158"/>
      <c r="J38" s="164"/>
      <c r="K38" s="162"/>
      <c r="L38" s="54"/>
      <c r="M38" s="148"/>
      <c r="N38" s="120"/>
      <c r="O38" s="52"/>
      <c r="P38" s="121"/>
      <c r="Q38" s="120"/>
      <c r="R38" s="28"/>
      <c r="S38" s="28"/>
      <c r="T38" s="53"/>
      <c r="U38" s="53"/>
      <c r="V38" s="53"/>
      <c r="W38" s="54"/>
      <c r="X38" s="51"/>
      <c r="Y38" s="120"/>
      <c r="Z38" s="52"/>
      <c r="AA38" s="120"/>
      <c r="AB38" s="120"/>
      <c r="AC38" s="52"/>
      <c r="AD38" s="52"/>
      <c r="AE38" s="53"/>
      <c r="AF38" s="53"/>
      <c r="AG38" s="53"/>
      <c r="AH38" s="54"/>
      <c r="AI38" s="51"/>
      <c r="AJ38" s="120"/>
      <c r="AK38" s="52"/>
      <c r="AL38" s="120"/>
      <c r="AM38" s="120"/>
      <c r="AN38" s="52"/>
      <c r="AO38" s="52"/>
      <c r="AP38" s="53"/>
      <c r="AQ38" s="53"/>
      <c r="AR38" s="53"/>
      <c r="AS38" s="54"/>
      <c r="AT38" s="55"/>
      <c r="AU38" s="121"/>
      <c r="AV38" s="56"/>
      <c r="AW38" s="121"/>
      <c r="AX38" s="121"/>
      <c r="AY38" s="45"/>
      <c r="AZ38" s="45"/>
      <c r="BA38" s="45"/>
      <c r="BB38" s="57"/>
      <c r="BC38" s="57"/>
      <c r="BD38" s="57"/>
      <c r="BE38" s="58"/>
      <c r="BF38" s="59"/>
      <c r="BG38" s="60"/>
      <c r="BH38" s="61"/>
      <c r="BI38" s="62"/>
      <c r="BJ38" s="60"/>
      <c r="BK38" s="63"/>
      <c r="BL38" s="63"/>
      <c r="BM38" s="64"/>
      <c r="BN38" s="18"/>
      <c r="BO38" s="19"/>
      <c r="BP38" s="65"/>
      <c r="BQ38" s="37"/>
      <c r="BR38" s="39" t="str">
        <f t="shared" ca="1" si="30"/>
        <v/>
      </c>
      <c r="BS38" s="39" t="str">
        <f t="shared" ca="1" si="31"/>
        <v/>
      </c>
      <c r="BT38" s="39" t="str">
        <f t="shared" ca="1" si="32"/>
        <v/>
      </c>
      <c r="BU38" s="39" t="str">
        <f t="shared" ca="1" si="33"/>
        <v/>
      </c>
      <c r="BV38" s="39" t="str">
        <f t="shared" ca="1" si="34"/>
        <v/>
      </c>
      <c r="BW38" s="39" t="str">
        <f t="shared" ca="1" si="35"/>
        <v/>
      </c>
      <c r="BX38" s="39" t="str">
        <f t="shared" ca="1" si="36"/>
        <v/>
      </c>
      <c r="BY38" s="39" t="str">
        <f t="shared" ca="1" si="37"/>
        <v/>
      </c>
      <c r="BZ38" s="39" t="str">
        <f t="shared" ca="1" si="38"/>
        <v/>
      </c>
      <c r="CA38" s="38"/>
    </row>
    <row r="39" spans="1:79" ht="15" customHeight="1" x14ac:dyDescent="0.2">
      <c r="A39" s="44"/>
      <c r="B39" s="21"/>
      <c r="C39" s="21"/>
      <c r="D39" s="20"/>
      <c r="E39" s="20"/>
      <c r="F39" s="100"/>
      <c r="G39" s="100"/>
      <c r="H39" s="159"/>
      <c r="I39" s="158"/>
      <c r="J39" s="164"/>
      <c r="K39" s="162"/>
      <c r="L39" s="54"/>
      <c r="M39" s="148"/>
      <c r="N39" s="120"/>
      <c r="O39" s="52"/>
      <c r="P39" s="121"/>
      <c r="Q39" s="120"/>
      <c r="R39" s="28"/>
      <c r="S39" s="28"/>
      <c r="T39" s="53"/>
      <c r="U39" s="53"/>
      <c r="V39" s="53"/>
      <c r="W39" s="54"/>
      <c r="X39" s="51"/>
      <c r="Y39" s="120"/>
      <c r="Z39" s="52"/>
      <c r="AA39" s="120"/>
      <c r="AB39" s="120"/>
      <c r="AC39" s="52"/>
      <c r="AD39" s="52"/>
      <c r="AE39" s="53"/>
      <c r="AF39" s="53"/>
      <c r="AG39" s="53"/>
      <c r="AH39" s="54"/>
      <c r="AI39" s="51"/>
      <c r="AJ39" s="120"/>
      <c r="AK39" s="52"/>
      <c r="AL39" s="120"/>
      <c r="AM39" s="120"/>
      <c r="AN39" s="52"/>
      <c r="AO39" s="52"/>
      <c r="AP39" s="53"/>
      <c r="AQ39" s="53"/>
      <c r="AR39" s="53"/>
      <c r="AS39" s="54"/>
      <c r="AT39" s="55"/>
      <c r="AU39" s="121"/>
      <c r="AV39" s="56"/>
      <c r="AW39" s="121"/>
      <c r="AX39" s="121"/>
      <c r="AY39" s="45"/>
      <c r="AZ39" s="45"/>
      <c r="BA39" s="45"/>
      <c r="BB39" s="57"/>
      <c r="BC39" s="57"/>
      <c r="BD39" s="57"/>
      <c r="BE39" s="58"/>
      <c r="BF39" s="59"/>
      <c r="BG39" s="60"/>
      <c r="BH39" s="61"/>
      <c r="BI39" s="62"/>
      <c r="BJ39" s="60"/>
      <c r="BK39" s="63"/>
      <c r="BL39" s="63"/>
      <c r="BM39" s="64"/>
      <c r="BN39" s="18"/>
      <c r="BO39" s="19"/>
      <c r="BP39" s="65"/>
      <c r="BQ39" s="37"/>
      <c r="BR39" s="39" t="str">
        <f t="shared" ca="1" si="30"/>
        <v/>
      </c>
      <c r="BS39" s="39" t="str">
        <f t="shared" ca="1" si="31"/>
        <v/>
      </c>
      <c r="BT39" s="39" t="str">
        <f t="shared" ca="1" si="32"/>
        <v/>
      </c>
      <c r="BU39" s="39" t="str">
        <f t="shared" ca="1" si="33"/>
        <v/>
      </c>
      <c r="BV39" s="39" t="str">
        <f t="shared" ca="1" si="34"/>
        <v/>
      </c>
      <c r="BW39" s="39" t="str">
        <f t="shared" ca="1" si="35"/>
        <v/>
      </c>
      <c r="BX39" s="39" t="str">
        <f t="shared" ca="1" si="36"/>
        <v/>
      </c>
      <c r="BY39" s="39" t="str">
        <f t="shared" ca="1" si="37"/>
        <v/>
      </c>
      <c r="BZ39" s="39" t="str">
        <f t="shared" ca="1" si="38"/>
        <v/>
      </c>
      <c r="CA39" s="38"/>
    </row>
    <row r="40" spans="1:79" ht="15" customHeight="1" x14ac:dyDescent="0.2">
      <c r="A40" s="44"/>
      <c r="B40" s="21"/>
      <c r="C40" s="21"/>
      <c r="D40" s="20"/>
      <c r="E40" s="20"/>
      <c r="F40" s="100"/>
      <c r="G40" s="100"/>
      <c r="H40" s="159"/>
      <c r="I40" s="158"/>
      <c r="J40" s="164"/>
      <c r="K40" s="162"/>
      <c r="L40" s="54"/>
      <c r="M40" s="148"/>
      <c r="N40" s="120"/>
      <c r="O40" s="52"/>
      <c r="P40" s="121"/>
      <c r="Q40" s="120"/>
      <c r="R40" s="28"/>
      <c r="S40" s="28"/>
      <c r="T40" s="53"/>
      <c r="U40" s="53"/>
      <c r="V40" s="53"/>
      <c r="W40" s="54"/>
      <c r="X40" s="51"/>
      <c r="Y40" s="120"/>
      <c r="Z40" s="52"/>
      <c r="AA40" s="120"/>
      <c r="AB40" s="120"/>
      <c r="AC40" s="52"/>
      <c r="AD40" s="52"/>
      <c r="AE40" s="53"/>
      <c r="AF40" s="53"/>
      <c r="AG40" s="53"/>
      <c r="AH40" s="54"/>
      <c r="AI40" s="51"/>
      <c r="AJ40" s="120"/>
      <c r="AK40" s="52"/>
      <c r="AL40" s="120"/>
      <c r="AM40" s="120"/>
      <c r="AN40" s="52"/>
      <c r="AO40" s="52"/>
      <c r="AP40" s="53"/>
      <c r="AQ40" s="53"/>
      <c r="AR40" s="53"/>
      <c r="AS40" s="54"/>
      <c r="AT40" s="55"/>
      <c r="AU40" s="121"/>
      <c r="AV40" s="56"/>
      <c r="AW40" s="121"/>
      <c r="AX40" s="121"/>
      <c r="AY40" s="45"/>
      <c r="AZ40" s="45"/>
      <c r="BA40" s="45"/>
      <c r="BB40" s="57"/>
      <c r="BC40" s="57"/>
      <c r="BD40" s="57"/>
      <c r="BE40" s="58"/>
      <c r="BF40" s="59"/>
      <c r="BG40" s="60"/>
      <c r="BH40" s="61"/>
      <c r="BI40" s="62"/>
      <c r="BJ40" s="60"/>
      <c r="BK40" s="63"/>
      <c r="BL40" s="63"/>
      <c r="BM40" s="64"/>
      <c r="BN40" s="18"/>
      <c r="BO40" s="19"/>
      <c r="BP40" s="65"/>
      <c r="BQ40" s="37"/>
      <c r="BR40" s="39" t="str">
        <f t="shared" ca="1" si="30"/>
        <v/>
      </c>
      <c r="BS40" s="39" t="str">
        <f t="shared" ca="1" si="31"/>
        <v/>
      </c>
      <c r="BT40" s="39" t="str">
        <f t="shared" ca="1" si="32"/>
        <v/>
      </c>
      <c r="BU40" s="39" t="str">
        <f t="shared" ca="1" si="33"/>
        <v/>
      </c>
      <c r="BV40" s="39" t="str">
        <f t="shared" ca="1" si="34"/>
        <v/>
      </c>
      <c r="BW40" s="39" t="str">
        <f t="shared" ca="1" si="35"/>
        <v/>
      </c>
      <c r="BX40" s="39" t="str">
        <f t="shared" ca="1" si="36"/>
        <v/>
      </c>
      <c r="BY40" s="39" t="str">
        <f t="shared" ca="1" si="37"/>
        <v/>
      </c>
      <c r="BZ40" s="39" t="str">
        <f t="shared" ca="1" si="38"/>
        <v/>
      </c>
      <c r="CA40" s="38"/>
    </row>
    <row r="41" spans="1:79" ht="15" customHeight="1" x14ac:dyDescent="0.2">
      <c r="A41" s="44"/>
      <c r="B41" s="21"/>
      <c r="C41" s="21"/>
      <c r="D41" s="20"/>
      <c r="E41" s="20"/>
      <c r="F41" s="100"/>
      <c r="G41" s="100"/>
      <c r="H41" s="159"/>
      <c r="I41" s="158"/>
      <c r="J41" s="164"/>
      <c r="K41" s="162"/>
      <c r="L41" s="54"/>
      <c r="M41" s="148"/>
      <c r="N41" s="120"/>
      <c r="O41" s="52"/>
      <c r="P41" s="121"/>
      <c r="Q41" s="120"/>
      <c r="R41" s="28"/>
      <c r="S41" s="28"/>
      <c r="T41" s="53"/>
      <c r="U41" s="53"/>
      <c r="V41" s="53"/>
      <c r="W41" s="54"/>
      <c r="X41" s="51"/>
      <c r="Y41" s="120"/>
      <c r="Z41" s="52"/>
      <c r="AA41" s="120"/>
      <c r="AB41" s="120"/>
      <c r="AC41" s="52"/>
      <c r="AD41" s="52"/>
      <c r="AE41" s="53"/>
      <c r="AF41" s="53"/>
      <c r="AG41" s="53"/>
      <c r="AH41" s="54"/>
      <c r="AI41" s="51"/>
      <c r="AJ41" s="120"/>
      <c r="AK41" s="52"/>
      <c r="AL41" s="120"/>
      <c r="AM41" s="120"/>
      <c r="AN41" s="52"/>
      <c r="AO41" s="52"/>
      <c r="AP41" s="53"/>
      <c r="AQ41" s="53"/>
      <c r="AR41" s="53"/>
      <c r="AS41" s="54"/>
      <c r="AT41" s="55"/>
      <c r="AU41" s="121"/>
      <c r="AV41" s="56"/>
      <c r="AW41" s="121"/>
      <c r="AX41" s="121"/>
      <c r="AY41" s="45"/>
      <c r="AZ41" s="45"/>
      <c r="BA41" s="45"/>
      <c r="BB41" s="57"/>
      <c r="BC41" s="57"/>
      <c r="BD41" s="57"/>
      <c r="BE41" s="58"/>
      <c r="BF41" s="59"/>
      <c r="BG41" s="60"/>
      <c r="BH41" s="61"/>
      <c r="BI41" s="62"/>
      <c r="BJ41" s="60"/>
      <c r="BK41" s="63"/>
      <c r="BL41" s="63"/>
      <c r="BM41" s="64"/>
      <c r="BN41" s="18"/>
      <c r="BO41" s="19"/>
      <c r="BP41" s="65"/>
      <c r="BQ41" s="37"/>
      <c r="BR41" s="39" t="str">
        <f t="shared" ca="1" si="30"/>
        <v/>
      </c>
      <c r="BS41" s="39" t="str">
        <f t="shared" ca="1" si="31"/>
        <v/>
      </c>
      <c r="BT41" s="39" t="str">
        <f t="shared" ca="1" si="32"/>
        <v/>
      </c>
      <c r="BU41" s="39" t="str">
        <f t="shared" ca="1" si="33"/>
        <v/>
      </c>
      <c r="BV41" s="39" t="str">
        <f t="shared" ca="1" si="34"/>
        <v/>
      </c>
      <c r="BW41" s="39" t="str">
        <f t="shared" ca="1" si="35"/>
        <v/>
      </c>
      <c r="BX41" s="39" t="str">
        <f t="shared" ca="1" si="36"/>
        <v/>
      </c>
      <c r="BY41" s="39" t="str">
        <f t="shared" ca="1" si="37"/>
        <v/>
      </c>
      <c r="BZ41" s="39" t="str">
        <f t="shared" ca="1" si="38"/>
        <v/>
      </c>
      <c r="CA41" s="38"/>
    </row>
    <row r="42" spans="1:79" ht="15" customHeight="1" x14ac:dyDescent="0.2">
      <c r="A42" s="44"/>
      <c r="B42" s="21"/>
      <c r="C42" s="21"/>
      <c r="D42" s="20"/>
      <c r="E42" s="20"/>
      <c r="F42" s="100"/>
      <c r="G42" s="100"/>
      <c r="H42" s="159"/>
      <c r="I42" s="158"/>
      <c r="J42" s="164"/>
      <c r="K42" s="162"/>
      <c r="L42" s="54"/>
      <c r="M42" s="148"/>
      <c r="N42" s="120"/>
      <c r="O42" s="52"/>
      <c r="P42" s="121"/>
      <c r="Q42" s="120"/>
      <c r="R42" s="28"/>
      <c r="S42" s="28"/>
      <c r="T42" s="53"/>
      <c r="U42" s="53"/>
      <c r="V42" s="53"/>
      <c r="W42" s="54"/>
      <c r="X42" s="51"/>
      <c r="Y42" s="120"/>
      <c r="Z42" s="52"/>
      <c r="AA42" s="120"/>
      <c r="AB42" s="120"/>
      <c r="AC42" s="52"/>
      <c r="AD42" s="52"/>
      <c r="AE42" s="53"/>
      <c r="AF42" s="53"/>
      <c r="AG42" s="53"/>
      <c r="AH42" s="54"/>
      <c r="AI42" s="51"/>
      <c r="AJ42" s="120"/>
      <c r="AK42" s="52"/>
      <c r="AL42" s="120"/>
      <c r="AM42" s="120"/>
      <c r="AN42" s="52"/>
      <c r="AO42" s="52"/>
      <c r="AP42" s="53"/>
      <c r="AQ42" s="53"/>
      <c r="AR42" s="53"/>
      <c r="AS42" s="54"/>
      <c r="AT42" s="55"/>
      <c r="AU42" s="121"/>
      <c r="AV42" s="56"/>
      <c r="AW42" s="121"/>
      <c r="AX42" s="121"/>
      <c r="AY42" s="45"/>
      <c r="AZ42" s="45"/>
      <c r="BA42" s="45"/>
      <c r="BB42" s="57"/>
      <c r="BC42" s="57"/>
      <c r="BD42" s="57"/>
      <c r="BE42" s="58"/>
      <c r="BF42" s="59"/>
      <c r="BG42" s="60"/>
      <c r="BH42" s="61"/>
      <c r="BI42" s="62"/>
      <c r="BJ42" s="60"/>
      <c r="BK42" s="63"/>
      <c r="BL42" s="63"/>
      <c r="BM42" s="64"/>
      <c r="BN42" s="18"/>
      <c r="BO42" s="19"/>
      <c r="BP42" s="65"/>
      <c r="BQ42" s="37"/>
      <c r="BR42" s="39" t="str">
        <f t="shared" ca="1" si="30"/>
        <v/>
      </c>
      <c r="BS42" s="39" t="str">
        <f t="shared" ca="1" si="31"/>
        <v/>
      </c>
      <c r="BT42" s="39" t="str">
        <f t="shared" ca="1" si="32"/>
        <v/>
      </c>
      <c r="BU42" s="39" t="str">
        <f t="shared" ca="1" si="33"/>
        <v/>
      </c>
      <c r="BV42" s="39" t="str">
        <f t="shared" ca="1" si="34"/>
        <v/>
      </c>
      <c r="BW42" s="39" t="str">
        <f t="shared" ca="1" si="35"/>
        <v/>
      </c>
      <c r="BX42" s="39" t="str">
        <f t="shared" ca="1" si="36"/>
        <v/>
      </c>
      <c r="BY42" s="39" t="str">
        <f t="shared" ca="1" si="37"/>
        <v/>
      </c>
      <c r="BZ42" s="39" t="str">
        <f t="shared" ca="1" si="38"/>
        <v/>
      </c>
      <c r="CA42" s="38"/>
    </row>
    <row r="43" spans="1:79" ht="15" customHeight="1" x14ac:dyDescent="0.2">
      <c r="A43" s="44"/>
      <c r="B43" s="21"/>
      <c r="C43" s="21"/>
      <c r="D43" s="20"/>
      <c r="E43" s="20"/>
      <c r="F43" s="100"/>
      <c r="G43" s="100"/>
      <c r="H43" s="159"/>
      <c r="I43" s="158"/>
      <c r="J43" s="164"/>
      <c r="K43" s="162"/>
      <c r="L43" s="54"/>
      <c r="M43" s="148"/>
      <c r="N43" s="120"/>
      <c r="O43" s="52"/>
      <c r="P43" s="121"/>
      <c r="Q43" s="120"/>
      <c r="R43" s="28"/>
      <c r="S43" s="28"/>
      <c r="T43" s="53"/>
      <c r="U43" s="53"/>
      <c r="V43" s="53"/>
      <c r="W43" s="54"/>
      <c r="X43" s="51"/>
      <c r="Y43" s="120"/>
      <c r="Z43" s="52"/>
      <c r="AA43" s="120"/>
      <c r="AB43" s="120"/>
      <c r="AC43" s="52"/>
      <c r="AD43" s="52"/>
      <c r="AE43" s="53"/>
      <c r="AF43" s="53"/>
      <c r="AG43" s="53"/>
      <c r="AH43" s="54"/>
      <c r="AI43" s="51"/>
      <c r="AJ43" s="120"/>
      <c r="AK43" s="52"/>
      <c r="AL43" s="120"/>
      <c r="AM43" s="120"/>
      <c r="AN43" s="52"/>
      <c r="AO43" s="52"/>
      <c r="AP43" s="53"/>
      <c r="AQ43" s="53"/>
      <c r="AR43" s="53"/>
      <c r="AS43" s="54"/>
      <c r="AT43" s="55"/>
      <c r="AU43" s="121"/>
      <c r="AV43" s="56"/>
      <c r="AW43" s="121"/>
      <c r="AX43" s="121"/>
      <c r="AY43" s="45"/>
      <c r="AZ43" s="45"/>
      <c r="BA43" s="45"/>
      <c r="BB43" s="57"/>
      <c r="BC43" s="57"/>
      <c r="BD43" s="57"/>
      <c r="BE43" s="58"/>
      <c r="BF43" s="59"/>
      <c r="BG43" s="60"/>
      <c r="BH43" s="61"/>
      <c r="BI43" s="62"/>
      <c r="BJ43" s="60"/>
      <c r="BK43" s="63"/>
      <c r="BL43" s="63"/>
      <c r="BM43" s="64"/>
      <c r="BN43" s="18"/>
      <c r="BO43" s="19"/>
      <c r="BP43" s="65"/>
      <c r="BQ43" s="37"/>
      <c r="BR43" s="39" t="str">
        <f t="shared" ca="1" si="30"/>
        <v/>
      </c>
      <c r="BS43" s="39" t="str">
        <f t="shared" ca="1" si="31"/>
        <v/>
      </c>
      <c r="BT43" s="39" t="str">
        <f t="shared" ca="1" si="32"/>
        <v/>
      </c>
      <c r="BU43" s="39" t="str">
        <f t="shared" ca="1" si="33"/>
        <v/>
      </c>
      <c r="BV43" s="39" t="str">
        <f t="shared" ca="1" si="34"/>
        <v/>
      </c>
      <c r="BW43" s="39" t="str">
        <f t="shared" ca="1" si="35"/>
        <v/>
      </c>
      <c r="BX43" s="39" t="str">
        <f t="shared" ca="1" si="36"/>
        <v/>
      </c>
      <c r="BY43" s="39" t="str">
        <f t="shared" ca="1" si="37"/>
        <v/>
      </c>
      <c r="BZ43" s="39" t="str">
        <f t="shared" ca="1" si="38"/>
        <v/>
      </c>
      <c r="CA43" s="38"/>
    </row>
    <row r="44" spans="1:79" ht="15" customHeight="1" x14ac:dyDescent="0.2">
      <c r="A44" s="44"/>
      <c r="B44" s="21"/>
      <c r="C44" s="21"/>
      <c r="D44" s="20"/>
      <c r="E44" s="20"/>
      <c r="F44" s="100"/>
      <c r="G44" s="100"/>
      <c r="H44" s="159"/>
      <c r="I44" s="158"/>
      <c r="J44" s="164"/>
      <c r="K44" s="162"/>
      <c r="L44" s="54"/>
      <c r="M44" s="148"/>
      <c r="N44" s="120"/>
      <c r="O44" s="52"/>
      <c r="P44" s="121"/>
      <c r="Q44" s="120"/>
      <c r="R44" s="28"/>
      <c r="S44" s="28"/>
      <c r="T44" s="53"/>
      <c r="U44" s="53"/>
      <c r="V44" s="53"/>
      <c r="W44" s="54"/>
      <c r="X44" s="51"/>
      <c r="Y44" s="120"/>
      <c r="Z44" s="52"/>
      <c r="AA44" s="120"/>
      <c r="AB44" s="120"/>
      <c r="AC44" s="52"/>
      <c r="AD44" s="52"/>
      <c r="AE44" s="53"/>
      <c r="AF44" s="53"/>
      <c r="AG44" s="53"/>
      <c r="AH44" s="54"/>
      <c r="AI44" s="51"/>
      <c r="AJ44" s="120"/>
      <c r="AK44" s="52"/>
      <c r="AL44" s="120"/>
      <c r="AM44" s="120"/>
      <c r="AN44" s="52"/>
      <c r="AO44" s="52"/>
      <c r="AP44" s="53"/>
      <c r="AQ44" s="53"/>
      <c r="AR44" s="53"/>
      <c r="AS44" s="54"/>
      <c r="AT44" s="55"/>
      <c r="AU44" s="121"/>
      <c r="AV44" s="56"/>
      <c r="AW44" s="121"/>
      <c r="AX44" s="121"/>
      <c r="AY44" s="45"/>
      <c r="AZ44" s="45"/>
      <c r="BA44" s="45"/>
      <c r="BB44" s="57"/>
      <c r="BC44" s="57"/>
      <c r="BD44" s="57"/>
      <c r="BE44" s="58"/>
      <c r="BF44" s="59"/>
      <c r="BG44" s="60"/>
      <c r="BH44" s="61"/>
      <c r="BI44" s="62"/>
      <c r="BJ44" s="60"/>
      <c r="BK44" s="63"/>
      <c r="BL44" s="63"/>
      <c r="BM44" s="64"/>
      <c r="BN44" s="18"/>
      <c r="BO44" s="19"/>
      <c r="BP44" s="65"/>
      <c r="BQ44" s="37"/>
      <c r="BR44" s="39" t="str">
        <f t="shared" ca="1" si="30"/>
        <v/>
      </c>
      <c r="BS44" s="39" t="str">
        <f t="shared" ca="1" si="31"/>
        <v/>
      </c>
      <c r="BT44" s="39" t="str">
        <f t="shared" ca="1" si="32"/>
        <v/>
      </c>
      <c r="BU44" s="39" t="str">
        <f t="shared" ca="1" si="33"/>
        <v/>
      </c>
      <c r="BV44" s="39" t="str">
        <f t="shared" ca="1" si="34"/>
        <v/>
      </c>
      <c r="BW44" s="39" t="str">
        <f t="shared" ca="1" si="35"/>
        <v/>
      </c>
      <c r="BX44" s="39" t="str">
        <f t="shared" ca="1" si="36"/>
        <v/>
      </c>
      <c r="BY44" s="39" t="str">
        <f t="shared" ca="1" si="37"/>
        <v/>
      </c>
      <c r="BZ44" s="39" t="str">
        <f t="shared" ca="1" si="38"/>
        <v/>
      </c>
      <c r="CA44" s="38"/>
    </row>
    <row r="45" spans="1:79" ht="15" customHeight="1" x14ac:dyDescent="0.2">
      <c r="A45" s="44"/>
      <c r="B45" s="21"/>
      <c r="C45" s="21"/>
      <c r="D45" s="20"/>
      <c r="E45" s="20"/>
      <c r="F45" s="100"/>
      <c r="G45" s="100"/>
      <c r="H45" s="159"/>
      <c r="I45" s="158"/>
      <c r="J45" s="164"/>
      <c r="K45" s="162"/>
      <c r="L45" s="54"/>
      <c r="M45" s="148"/>
      <c r="N45" s="120"/>
      <c r="O45" s="52"/>
      <c r="P45" s="121"/>
      <c r="Q45" s="120"/>
      <c r="R45" s="28"/>
      <c r="S45" s="28"/>
      <c r="T45" s="53"/>
      <c r="U45" s="53"/>
      <c r="V45" s="53"/>
      <c r="W45" s="54"/>
      <c r="X45" s="51"/>
      <c r="Y45" s="120"/>
      <c r="Z45" s="52"/>
      <c r="AA45" s="120"/>
      <c r="AB45" s="120"/>
      <c r="AC45" s="52"/>
      <c r="AD45" s="52"/>
      <c r="AE45" s="53"/>
      <c r="AF45" s="53"/>
      <c r="AG45" s="53"/>
      <c r="AH45" s="54"/>
      <c r="AI45" s="51"/>
      <c r="AJ45" s="120"/>
      <c r="AK45" s="52"/>
      <c r="AL45" s="120"/>
      <c r="AM45" s="120"/>
      <c r="AN45" s="52"/>
      <c r="AO45" s="52"/>
      <c r="AP45" s="53"/>
      <c r="AQ45" s="53"/>
      <c r="AR45" s="53"/>
      <c r="AS45" s="54"/>
      <c r="AT45" s="55"/>
      <c r="AU45" s="121"/>
      <c r="AV45" s="56"/>
      <c r="AW45" s="121"/>
      <c r="AX45" s="121"/>
      <c r="AY45" s="45"/>
      <c r="AZ45" s="45"/>
      <c r="BA45" s="45"/>
      <c r="BB45" s="57"/>
      <c r="BC45" s="57"/>
      <c r="BD45" s="57"/>
      <c r="BE45" s="58"/>
      <c r="BF45" s="59"/>
      <c r="BG45" s="60"/>
      <c r="BH45" s="61"/>
      <c r="BI45" s="62"/>
      <c r="BJ45" s="60"/>
      <c r="BK45" s="63"/>
      <c r="BL45" s="63"/>
      <c r="BM45" s="64"/>
      <c r="BN45" s="18"/>
      <c r="BO45" s="19"/>
      <c r="BP45" s="65"/>
      <c r="BQ45" s="37"/>
      <c r="BR45" s="39" t="str">
        <f t="shared" ca="1" si="30"/>
        <v/>
      </c>
      <c r="BS45" s="39" t="str">
        <f t="shared" ca="1" si="31"/>
        <v/>
      </c>
      <c r="BT45" s="39" t="str">
        <f t="shared" ca="1" si="32"/>
        <v/>
      </c>
      <c r="BU45" s="39" t="str">
        <f t="shared" ca="1" si="33"/>
        <v/>
      </c>
      <c r="BV45" s="39" t="str">
        <f t="shared" ca="1" si="34"/>
        <v/>
      </c>
      <c r="BW45" s="39" t="str">
        <f t="shared" ca="1" si="35"/>
        <v/>
      </c>
      <c r="BX45" s="39" t="str">
        <f t="shared" ca="1" si="36"/>
        <v/>
      </c>
      <c r="BY45" s="39" t="str">
        <f t="shared" ca="1" si="37"/>
        <v/>
      </c>
      <c r="BZ45" s="39" t="str">
        <f t="shared" ca="1" si="38"/>
        <v/>
      </c>
      <c r="CA45" s="38"/>
    </row>
    <row r="46" spans="1:79" ht="15" customHeight="1" x14ac:dyDescent="0.2">
      <c r="A46" s="44"/>
      <c r="B46" s="21"/>
      <c r="C46" s="21"/>
      <c r="D46" s="20"/>
      <c r="E46" s="20"/>
      <c r="F46" s="100"/>
      <c r="G46" s="100"/>
      <c r="H46" s="159"/>
      <c r="I46" s="158"/>
      <c r="J46" s="164"/>
      <c r="K46" s="162"/>
      <c r="L46" s="54"/>
      <c r="M46" s="148"/>
      <c r="N46" s="120"/>
      <c r="O46" s="52"/>
      <c r="P46" s="121"/>
      <c r="Q46" s="120"/>
      <c r="R46" s="28"/>
      <c r="S46" s="28"/>
      <c r="T46" s="53"/>
      <c r="U46" s="53"/>
      <c r="V46" s="53"/>
      <c r="W46" s="54"/>
      <c r="X46" s="51"/>
      <c r="Y46" s="120"/>
      <c r="Z46" s="52"/>
      <c r="AA46" s="120"/>
      <c r="AB46" s="120"/>
      <c r="AC46" s="52"/>
      <c r="AD46" s="52"/>
      <c r="AE46" s="53"/>
      <c r="AF46" s="53"/>
      <c r="AG46" s="53"/>
      <c r="AH46" s="54"/>
      <c r="AI46" s="51"/>
      <c r="AJ46" s="120"/>
      <c r="AK46" s="52"/>
      <c r="AL46" s="120"/>
      <c r="AM46" s="120"/>
      <c r="AN46" s="52"/>
      <c r="AO46" s="52"/>
      <c r="AP46" s="53"/>
      <c r="AQ46" s="53"/>
      <c r="AR46" s="53"/>
      <c r="AS46" s="54"/>
      <c r="AT46" s="55"/>
      <c r="AU46" s="121"/>
      <c r="AV46" s="56"/>
      <c r="AW46" s="121"/>
      <c r="AX46" s="121"/>
      <c r="AY46" s="45"/>
      <c r="AZ46" s="45"/>
      <c r="BA46" s="45"/>
      <c r="BB46" s="57"/>
      <c r="BC46" s="57"/>
      <c r="BD46" s="57"/>
      <c r="BE46" s="58"/>
      <c r="BF46" s="59"/>
      <c r="BG46" s="60"/>
      <c r="BH46" s="61"/>
      <c r="BI46" s="62"/>
      <c r="BJ46" s="60"/>
      <c r="BK46" s="63"/>
      <c r="BL46" s="63"/>
      <c r="BM46" s="64"/>
      <c r="BN46" s="18"/>
      <c r="BO46" s="19"/>
      <c r="BP46" s="65"/>
      <c r="BQ46" s="37"/>
      <c r="BR46" s="39" t="str">
        <f t="shared" ca="1" si="30"/>
        <v/>
      </c>
      <c r="BS46" s="39" t="str">
        <f t="shared" ca="1" si="31"/>
        <v/>
      </c>
      <c r="BT46" s="39" t="str">
        <f t="shared" ca="1" si="32"/>
        <v/>
      </c>
      <c r="BU46" s="39" t="str">
        <f t="shared" ca="1" si="33"/>
        <v/>
      </c>
      <c r="BV46" s="39" t="str">
        <f t="shared" ca="1" si="34"/>
        <v/>
      </c>
      <c r="BW46" s="39" t="str">
        <f t="shared" ca="1" si="35"/>
        <v/>
      </c>
      <c r="BX46" s="39" t="str">
        <f t="shared" ca="1" si="36"/>
        <v/>
      </c>
      <c r="BY46" s="39" t="str">
        <f t="shared" ca="1" si="37"/>
        <v/>
      </c>
      <c r="BZ46" s="39" t="str">
        <f t="shared" ca="1" si="38"/>
        <v/>
      </c>
      <c r="CA46" s="38"/>
    </row>
    <row r="47" spans="1:79" ht="15" customHeight="1" x14ac:dyDescent="0.2">
      <c r="A47" s="44"/>
      <c r="B47" s="21"/>
      <c r="C47" s="21"/>
      <c r="D47" s="20"/>
      <c r="E47" s="20"/>
      <c r="F47" s="100"/>
      <c r="G47" s="100"/>
      <c r="H47" s="159"/>
      <c r="I47" s="158"/>
      <c r="J47" s="164"/>
      <c r="K47" s="162"/>
      <c r="L47" s="54"/>
      <c r="M47" s="148"/>
      <c r="N47" s="120"/>
      <c r="O47" s="52"/>
      <c r="P47" s="121"/>
      <c r="Q47" s="120"/>
      <c r="R47" s="28"/>
      <c r="S47" s="28"/>
      <c r="T47" s="53"/>
      <c r="U47" s="53"/>
      <c r="V47" s="53"/>
      <c r="W47" s="54"/>
      <c r="X47" s="51"/>
      <c r="Y47" s="120"/>
      <c r="Z47" s="52"/>
      <c r="AA47" s="120"/>
      <c r="AB47" s="120"/>
      <c r="AC47" s="52"/>
      <c r="AD47" s="52"/>
      <c r="AE47" s="53"/>
      <c r="AF47" s="53"/>
      <c r="AG47" s="53"/>
      <c r="AH47" s="54"/>
      <c r="AI47" s="51"/>
      <c r="AJ47" s="120"/>
      <c r="AK47" s="52"/>
      <c r="AL47" s="120"/>
      <c r="AM47" s="120"/>
      <c r="AN47" s="52"/>
      <c r="AO47" s="52"/>
      <c r="AP47" s="53"/>
      <c r="AQ47" s="53"/>
      <c r="AR47" s="53"/>
      <c r="AS47" s="54"/>
      <c r="AT47" s="55"/>
      <c r="AU47" s="121"/>
      <c r="AV47" s="56"/>
      <c r="AW47" s="121"/>
      <c r="AX47" s="121"/>
      <c r="AY47" s="45"/>
      <c r="AZ47" s="45"/>
      <c r="BA47" s="45"/>
      <c r="BB47" s="57"/>
      <c r="BC47" s="57"/>
      <c r="BD47" s="57"/>
      <c r="BE47" s="58"/>
      <c r="BF47" s="59"/>
      <c r="BG47" s="60"/>
      <c r="BH47" s="61"/>
      <c r="BI47" s="62"/>
      <c r="BJ47" s="60"/>
      <c r="BK47" s="63"/>
      <c r="BL47" s="63"/>
      <c r="BM47" s="64"/>
      <c r="BN47" s="18"/>
      <c r="BO47" s="19"/>
      <c r="BP47" s="65"/>
      <c r="BQ47" s="37"/>
      <c r="BR47" s="39" t="str">
        <f t="shared" ca="1" si="30"/>
        <v/>
      </c>
      <c r="BS47" s="39" t="str">
        <f t="shared" ca="1" si="31"/>
        <v/>
      </c>
      <c r="BT47" s="39" t="str">
        <f t="shared" ca="1" si="32"/>
        <v/>
      </c>
      <c r="BU47" s="39" t="str">
        <f t="shared" ca="1" si="33"/>
        <v/>
      </c>
      <c r="BV47" s="39" t="str">
        <f t="shared" ca="1" si="34"/>
        <v/>
      </c>
      <c r="BW47" s="39" t="str">
        <f t="shared" ca="1" si="35"/>
        <v/>
      </c>
      <c r="BX47" s="39" t="str">
        <f t="shared" ca="1" si="36"/>
        <v/>
      </c>
      <c r="BY47" s="39" t="str">
        <f t="shared" ca="1" si="37"/>
        <v/>
      </c>
      <c r="BZ47" s="39" t="str">
        <f t="shared" ca="1" si="38"/>
        <v/>
      </c>
      <c r="CA47" s="38"/>
    </row>
    <row r="51" spans="66:66" x14ac:dyDescent="0.2">
      <c r="BN51" s="211"/>
    </row>
  </sheetData>
  <sheetProtection autoFilter="0"/>
  <protectedRanges>
    <protectedRange sqref="BN51 BN5:BO6 BN12:BO47" name="Range19"/>
    <protectedRange sqref="BA5:BA6 BA12:BA47" name="Range4"/>
    <protectedRange sqref="AX5:AX6 AX12:AX47" name="Range3"/>
    <protectedRange sqref="AW5:AW6 AW12:AW47" name="Range2"/>
    <protectedRange sqref="AU5:AU6 AU12:AU47" name="Range1"/>
    <protectedRange sqref="AJ5:AJ6 AJ12:AJ47" name="Range5"/>
    <protectedRange sqref="AL5:AL6 AL12:AL47" name="Range6"/>
    <protectedRange sqref="AM5:AM6 AM12:AM47" name="Range7"/>
    <protectedRange sqref="AO5:AO6 AO12:AO47" name="Range8"/>
    <protectedRange sqref="Y5:Y6 Y12:Y47" name="Range9"/>
    <protectedRange sqref="AA5:AB6 AA12:AB47" name="Range10"/>
    <protectedRange sqref="AD5:AD6 AD12:AD47" name="Range11"/>
    <protectedRange sqref="N5:N6 N12:N47" name="Range12"/>
    <protectedRange sqref="AA5:AB6 AA12:AB47" name="Range13"/>
    <protectedRange sqref="AD5:AD6 AD12:AD47" name="Range14"/>
    <protectedRange sqref="N5:N6 N12:N47" name="Range15"/>
    <protectedRange sqref="P5:Q6 P12:Q47" name="Range16"/>
    <protectedRange sqref="S5:S6 S12:S47" name="Range17"/>
    <protectedRange sqref="A5:L5 A35:G35 A36:H47 A6:J6 J36:J47 A12:J34" name="Range18"/>
    <protectedRange sqref="H35:L35 I36:I47 K6:L6 K36:L47 K12:L34" name="Range18_1"/>
    <protectedRange sqref="BN3:BO3" name="Range19_2"/>
    <protectedRange sqref="BA3" name="Range4_2"/>
    <protectedRange sqref="AX3" name="Range3_2"/>
    <protectedRange sqref="AW3" name="Range2_2"/>
    <protectedRange sqref="AU3" name="Range1_2"/>
    <protectedRange sqref="AJ3" name="Range5_2"/>
    <protectedRange sqref="AL3" name="Range6_2"/>
    <protectedRange sqref="AM3" name="Range7_2"/>
    <protectedRange sqref="AO3" name="Range8_2"/>
    <protectedRange sqref="Y3" name="Range9_2"/>
    <protectedRange sqref="AA3:AB3" name="Range10_2"/>
    <protectedRange sqref="AD3" name="Range11_2"/>
    <protectedRange sqref="N3" name="Range12_2"/>
    <protectedRange sqref="AA3:AB3" name="Range13_2"/>
    <protectedRange sqref="AD3" name="Range14_2"/>
    <protectedRange sqref="N3" name="Range15_2"/>
    <protectedRange sqref="P3:Q3" name="Range16_2"/>
    <protectedRange sqref="S3" name="Range17_2"/>
    <protectedRange sqref="A3:J3" name="Range18_3"/>
    <protectedRange sqref="K3:L3" name="Range18_1_2"/>
    <protectedRange sqref="BN4:BO4" name="Range19_1"/>
    <protectedRange sqref="BA4" name="Range4_1"/>
    <protectedRange sqref="AX4" name="Range3_1"/>
    <protectedRange sqref="AW4" name="Range2_1"/>
    <protectedRange sqref="AU4" name="Range1_1"/>
    <protectedRange sqref="AJ4" name="Range5_1"/>
    <protectedRange sqref="AL4" name="Range6_1"/>
    <protectedRange sqref="AM4" name="Range7_1"/>
    <protectedRange sqref="AO4" name="Range8_1"/>
    <protectedRange sqref="Y4" name="Range9_1"/>
    <protectedRange sqref="AA4:AB4" name="Range10_1"/>
    <protectedRange sqref="AD4" name="Range11_1"/>
    <protectedRange sqref="N4" name="Range12_1"/>
    <protectedRange sqref="AA4:AB4" name="Range13_1"/>
    <protectedRange sqref="AD4" name="Range14_1"/>
    <protectedRange sqref="N4" name="Range15_1"/>
    <protectedRange sqref="P4:Q4" name="Range16_1"/>
    <protectedRange sqref="S4" name="Range17_1"/>
    <protectedRange sqref="A4:J4" name="Range18_2"/>
    <protectedRange sqref="K4:L4" name="Range18_1_1"/>
    <protectedRange sqref="BG11" name="Range18_4"/>
    <protectedRange sqref="BA11" name="Range4_3"/>
    <protectedRange sqref="AX11" name="Range3_3"/>
    <protectedRange sqref="AW11" name="Range2_3"/>
    <protectedRange sqref="AU11" name="Range1_3"/>
    <protectedRange sqref="AJ11" name="Range5_3"/>
    <protectedRange sqref="AL11" name="Range6_3"/>
    <protectedRange sqref="AM11" name="Range7_3"/>
    <protectedRange sqref="AO11" name="Range8_3"/>
    <protectedRange sqref="Y11" name="Range9_3"/>
    <protectedRange sqref="AA11:AB11" name="Range10_3"/>
    <protectedRange sqref="AD11" name="Range11_3"/>
    <protectedRange sqref="N11" name="Range12_3"/>
    <protectedRange sqref="AA11:AB11" name="Range13_3"/>
    <protectedRange sqref="AD11" name="Range14_3"/>
    <protectedRange sqref="N11" name="Range15_3"/>
    <protectedRange sqref="P11:Q11" name="Range16_3"/>
    <protectedRange sqref="BN11:BO11" name="Range17_3"/>
    <protectedRange sqref="BG8" name="Range18_5"/>
    <protectedRange sqref="BA8" name="Range4_4"/>
    <protectedRange sqref="AX8" name="Range3_4"/>
    <protectedRange sqref="AW8" name="Range2_4"/>
    <protectedRange sqref="AU8" name="Range1_4"/>
    <protectedRange sqref="AJ8" name="Range5_4"/>
    <protectedRange sqref="AL8" name="Range6_4"/>
    <protectedRange sqref="AM8" name="Range7_4"/>
    <protectedRange sqref="AO8" name="Range8_4"/>
    <protectedRange sqref="Y8" name="Range9_4"/>
    <protectedRange sqref="AA8:AB8" name="Range10_4"/>
    <protectedRange sqref="AD8" name="Range11_4"/>
    <protectedRange sqref="N8" name="Range12_4"/>
    <protectedRange sqref="AA8:AB8" name="Range13_4"/>
    <protectedRange sqref="AD8" name="Range14_4"/>
    <protectedRange sqref="N8" name="Range15_4"/>
    <protectedRange sqref="P8:Q8" name="Range16_4"/>
    <protectedRange sqref="BN8:BO8" name="Range17_4"/>
    <protectedRange sqref="BG7" name="Range18_6"/>
    <protectedRange sqref="BA7" name="Range4_5"/>
    <protectedRange sqref="AX7" name="Range3_5"/>
    <protectedRange sqref="AW7" name="Range2_5"/>
    <protectedRange sqref="AU7" name="Range1_5"/>
    <protectedRange sqref="AJ7" name="Range5_5"/>
    <protectedRange sqref="AL7" name="Range6_5"/>
    <protectedRange sqref="AM7" name="Range7_5"/>
    <protectedRange sqref="AO7" name="Range8_5"/>
    <protectedRange sqref="Y7" name="Range9_5"/>
    <protectedRange sqref="AA7:AB7" name="Range10_5"/>
    <protectedRange sqref="AD7" name="Range11_5"/>
    <protectedRange sqref="N7" name="Range12_5"/>
    <protectedRange sqref="AA7:AB7" name="Range13_5"/>
    <protectedRange sqref="AD7" name="Range14_5"/>
    <protectedRange sqref="N7" name="Range15_5"/>
    <protectedRange sqref="P7:Q7" name="Range16_5"/>
    <protectedRange sqref="BN7:BO7" name="Range17_5"/>
    <protectedRange sqref="BG9" name="Range18_7"/>
    <protectedRange sqref="BA9" name="Range4_6"/>
    <protectedRange sqref="AX9" name="Range3_6"/>
    <protectedRange sqref="AW9" name="Range2_6"/>
    <protectedRange sqref="AU9" name="Range1_6"/>
    <protectedRange sqref="AJ9" name="Range5_6"/>
    <protectedRange sqref="AL9" name="Range6_6"/>
    <protectedRange sqref="AM9" name="Range7_6"/>
    <protectedRange sqref="AO9" name="Range8_6"/>
    <protectedRange sqref="Y9" name="Range9_6"/>
    <protectedRange sqref="AA9:AB9" name="Range10_6"/>
    <protectedRange sqref="AD9" name="Range11_6"/>
    <protectedRange sqref="N9" name="Range12_6"/>
    <protectedRange sqref="AA9:AB9" name="Range13_6"/>
    <protectedRange sqref="AD9" name="Range14_6"/>
    <protectedRange sqref="N9" name="Range15_6"/>
    <protectedRange sqref="P9:Q9" name="Range16_6"/>
    <protectedRange sqref="BN9:BO9" name="Range17_6"/>
    <protectedRange sqref="BG10" name="Range18_8"/>
    <protectedRange sqref="BA10" name="Range4_7"/>
    <protectedRange sqref="AX10" name="Range3_7"/>
    <protectedRange sqref="AW10" name="Range2_7"/>
    <protectedRange sqref="AU10" name="Range1_7"/>
    <protectedRange sqref="AJ10" name="Range5_7"/>
    <protectedRange sqref="AL10" name="Range6_7"/>
    <protectedRange sqref="AM10" name="Range7_7"/>
    <protectedRange sqref="AO10" name="Range8_7"/>
    <protectedRange sqref="Y10" name="Range9_7"/>
    <protectedRange sqref="AA10:AB10" name="Range10_7"/>
    <protectedRange sqref="AD10" name="Range11_7"/>
    <protectedRange sqref="N10" name="Range12_7"/>
    <protectedRange sqref="AA10:AB10" name="Range13_7"/>
    <protectedRange sqref="AD10" name="Range14_7"/>
    <protectedRange sqref="N10" name="Range15_7"/>
    <protectedRange sqref="P10:Q10" name="Range16_7"/>
    <protectedRange sqref="BN10:BO10" name="Range17_7"/>
  </protectedRanges>
  <autoFilter ref="A2:G47"/>
  <dataConsolidate/>
  <mergeCells count="10">
    <mergeCell ref="BF1:BM1"/>
    <mergeCell ref="BN1:BO1"/>
    <mergeCell ref="BP1:BQ1"/>
    <mergeCell ref="BR1:BZ1"/>
    <mergeCell ref="A1:G1"/>
    <mergeCell ref="H1:J1"/>
    <mergeCell ref="M1:W1"/>
    <mergeCell ref="X1:AH1"/>
    <mergeCell ref="AI1:AS1"/>
    <mergeCell ref="AT1:BE1"/>
  </mergeCells>
  <conditionalFormatting sqref="AE4:AH6 AP4:AS6 T4:T6 BP4:BP6 BM4:BM6 V4:W6 L4 BB4:BE6 BB12:BE47 V12:W47 BM12:BM47 BP12:BP47 T12:T47 AP12:AS47 AE12:AH47">
    <cfRule type="containsText" dxfId="58" priority="69" operator="containsText" text="A">
      <formula>NOT(ISERROR(SEARCH("A",L4)))</formula>
    </cfRule>
    <cfRule type="containsText" dxfId="57" priority="70" operator="containsText" text="G">
      <formula>NOT(ISERROR(SEARCH("G",L4)))</formula>
    </cfRule>
    <cfRule type="containsText" dxfId="56" priority="71" operator="containsText" text="R">
      <formula>NOT(ISERROR(SEARCH("R",L4)))</formula>
    </cfRule>
  </conditionalFormatting>
  <conditionalFormatting sqref="U4:U6 U12:U47">
    <cfRule type="containsText" dxfId="55" priority="66" operator="containsText" text="A">
      <formula>NOT(ISERROR(SEARCH("A",U4)))</formula>
    </cfRule>
    <cfRule type="containsText" dxfId="54" priority="67" operator="containsText" text="G">
      <formula>NOT(ISERROR(SEARCH("G",U4)))</formula>
    </cfRule>
    <cfRule type="containsText" dxfId="53" priority="68" operator="containsText" text="R">
      <formula>NOT(ISERROR(SEARCH("R",U4)))</formula>
    </cfRule>
  </conditionalFormatting>
  <conditionalFormatting sqref="W5:W6 W12:W28">
    <cfRule type="cellIs" dxfId="52" priority="65" operator="equal">
      <formula>"B"</formula>
    </cfRule>
  </conditionalFormatting>
  <conditionalFormatting sqref="L5">
    <cfRule type="containsText" dxfId="51" priority="62" operator="containsText" text="A">
      <formula>NOT(ISERROR(SEARCH("A",L5)))</formula>
    </cfRule>
    <cfRule type="containsText" dxfId="50" priority="63" operator="containsText" text="G">
      <formula>NOT(ISERROR(SEARCH("G",L5)))</formula>
    </cfRule>
    <cfRule type="containsText" dxfId="49" priority="64" operator="containsText" text="R">
      <formula>NOT(ISERROR(SEARCH("R",L5)))</formula>
    </cfRule>
  </conditionalFormatting>
  <conditionalFormatting sqref="L5">
    <cfRule type="cellIs" dxfId="48" priority="61" operator="equal">
      <formula>"B"</formula>
    </cfRule>
  </conditionalFormatting>
  <conditionalFormatting sqref="L6 L12:L47">
    <cfRule type="containsText" dxfId="47" priority="58" operator="containsText" text="A">
      <formula>NOT(ISERROR(SEARCH("A",L6)))</formula>
    </cfRule>
    <cfRule type="containsText" dxfId="46" priority="59" operator="containsText" text="G">
      <formula>NOT(ISERROR(SEARCH("G",L6)))</formula>
    </cfRule>
    <cfRule type="containsText" dxfId="45" priority="60" operator="containsText" text="R">
      <formula>NOT(ISERROR(SEARCH("R",L6)))</formula>
    </cfRule>
  </conditionalFormatting>
  <conditionalFormatting sqref="L6 L12:L47">
    <cfRule type="cellIs" dxfId="44" priority="57" operator="equal">
      <formula>"B"</formula>
    </cfRule>
  </conditionalFormatting>
  <conditionalFormatting sqref="L3">
    <cfRule type="cellIs" dxfId="43" priority="47" operator="equal">
      <formula>"B"</formula>
    </cfRule>
  </conditionalFormatting>
  <conditionalFormatting sqref="W4">
    <cfRule type="cellIs" dxfId="42" priority="40" operator="equal">
      <formula>"B"</formula>
    </cfRule>
  </conditionalFormatting>
  <conditionalFormatting sqref="L4">
    <cfRule type="cellIs" dxfId="41" priority="36" operator="equal">
      <formula>"B"</formula>
    </cfRule>
  </conditionalFormatting>
  <conditionalFormatting sqref="L11">
    <cfRule type="cellIs" dxfId="40" priority="29" operator="equal">
      <formula>"B"</formula>
    </cfRule>
  </conditionalFormatting>
  <conditionalFormatting sqref="L8">
    <cfRule type="cellIs" dxfId="39" priority="22" operator="equal">
      <formula>"B"</formula>
    </cfRule>
  </conditionalFormatting>
  <conditionalFormatting sqref="L7">
    <cfRule type="cellIs" dxfId="38" priority="15" operator="equal">
      <formula>"B"</formula>
    </cfRule>
  </conditionalFormatting>
  <conditionalFormatting sqref="W9 L9">
    <cfRule type="cellIs" dxfId="37" priority="8" operator="equal">
      <formula>"B"</formula>
    </cfRule>
  </conditionalFormatting>
  <conditionalFormatting sqref="W10 L10">
    <cfRule type="cellIs" dxfId="36" priority="1" operator="equal">
      <formula>"B"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4" operator="containsText" text="A" id="{CCAE430D-95BB-4DA0-A100-7F88B85AE1A6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55" operator="containsText" text="G" id="{28A1DE02-3DB2-4F99-8EE9-063713AF05B1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6" operator="containsText" text="R" id="{2A67F8D1-2F54-4237-83CA-5AA00AE1C2ED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BM11 BP11 BB11:BE11</xm:sqref>
        </x14:conditionalFormatting>
        <x14:conditionalFormatting xmlns:xm="http://schemas.microsoft.com/office/excel/2006/main">
          <x14:cfRule type="containsText" priority="51" operator="containsText" text="A" id="{16F65AC0-D75A-4E1D-90D4-34ED049B0320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52" operator="containsText" text="G" id="{5C6A79FA-2CA3-499B-A340-C5241096C196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53" operator="containsText" text="R" id="{3C736942-FC4C-4A96-A30B-A296B27C9FFE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U11</xm:sqref>
        </x14:conditionalFormatting>
        <x14:conditionalFormatting xmlns:xm="http://schemas.microsoft.com/office/excel/2006/main">
          <x14:cfRule type="containsText" priority="326" operator="containsText" text="A" id="{CCAE430D-95BB-4DA0-A100-7F88B85AE1A6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327" operator="containsText" text="G" id="{28A1DE02-3DB2-4F99-8EE9-063713AF05B1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328" operator="containsText" text="R" id="{2A67F8D1-2F54-4237-83CA-5AA00AE1C2ED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BB7:BE7 BP7 BM7 BB9:BE10 BP9:BP10 BM9:BM10</xm:sqref>
        </x14:conditionalFormatting>
        <x14:conditionalFormatting xmlns:xm="http://schemas.microsoft.com/office/excel/2006/main">
          <x14:cfRule type="containsText" priority="371" operator="containsText" text="A" id="{16F65AC0-D75A-4E1D-90D4-34ED049B0320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372" operator="containsText" text="G" id="{5C6A79FA-2CA3-499B-A340-C5241096C196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373" operator="containsText" text="R" id="{3C736942-FC4C-4A96-A30B-A296B27C9FFE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U7 U9:U10</xm:sqref>
        </x14:conditionalFormatting>
        <x14:conditionalFormatting xmlns:xm="http://schemas.microsoft.com/office/excel/2006/main">
          <x14:cfRule type="containsText" priority="26" operator="containsText" text="A" id="{7B8859C1-1C46-4AB6-8AAF-68739582D040}">
            <xm:f>NOT(ISERROR(SEARCH("A",'Tracker Sheet'!BA7)))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27" operator="containsText" text="G" id="{2A261B7F-C46E-4551-A57C-ACD0CEB9703D}">
            <xm:f>NOT(ISERROR(SEARCH("G",'Tracker Sheet'!BA7)))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28" operator="containsText" text="R" id="{8B61745A-D898-4510-85EB-D8513C8B4DBF}">
            <xm:f>NOT(ISERROR(SEARCH("R",'Tracker Sheet'!BA7)))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BB8:BE8 BP8 BM8</xm:sqref>
        </x14:conditionalFormatting>
        <x14:conditionalFormatting xmlns:xm="http://schemas.microsoft.com/office/excel/2006/main">
          <x14:cfRule type="containsText" priority="23" operator="containsText" text="A" id="{B77B4706-EEE7-4B2D-9A6E-12CE5C585DCB}">
            <xm:f>NOT(ISERROR(SEARCH("A",'Tracker Sheet'!U7)))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24" operator="containsText" text="G" id="{0E289796-F65F-45A1-A5E7-E9732022CC8C}">
            <xm:f>NOT(ISERROR(SEARCH("G",'Tracker Sheet'!U7)))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25" operator="containsText" text="R" id="{0750A022-7FD0-4B7A-B8C4-DA743D21B269}">
            <xm:f>NOT(ISERROR(SEARCH("R",'Tracker Sheet'!U7)))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U8</xm:sqref>
        </x14:conditionalFormatting>
        <x14:conditionalFormatting xmlns:xm="http://schemas.microsoft.com/office/excel/2006/main">
          <x14:cfRule type="containsText" priority="385" operator="containsText" text="A" id="{CCAE430D-95BB-4DA0-A100-7F88B85AE1A6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386" operator="containsText" text="G" id="{28A1DE02-3DB2-4F99-8EE9-063713AF05B1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387" operator="containsText" text="R" id="{2A67F8D1-2F54-4237-83CA-5AA00AE1C2ED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V11:W11 T11 AP11:AS11 AE11:AH11 L11</xm:sqref>
        </x14:conditionalFormatting>
        <x14:conditionalFormatting xmlns:xm="http://schemas.microsoft.com/office/excel/2006/main">
          <x14:cfRule type="containsText" priority="409" operator="containsText" text="A" id="{CCAE430D-95BB-4DA0-A100-7F88B85AE1A6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410" operator="containsText" text="G" id="{28A1DE02-3DB2-4F99-8EE9-063713AF05B1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411" operator="containsText" text="R" id="{2A67F8D1-2F54-4237-83CA-5AA00AE1C2ED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L7 AE7:AH7 AP7:AS7 T7 V7:W7 L9:L10 AE9:AH10 AP9:AS10 T9:T10 V9:W10</xm:sqref>
        </x14:conditionalFormatting>
        <x14:conditionalFormatting xmlns:xm="http://schemas.microsoft.com/office/excel/2006/main">
          <x14:cfRule type="containsText" priority="487" operator="containsText" text="A" id="{7B8859C1-1C46-4AB6-8AAF-68739582D040}">
            <xm:f>NOT(ISERROR(SEARCH("A",'Tracker Sheet'!L7)))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488" operator="containsText" text="G" id="{2A261B7F-C46E-4551-A57C-ACD0CEB9703D}">
            <xm:f>NOT(ISERROR(SEARCH("G",'Tracker Sheet'!L7)))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489" operator="containsText" text="R" id="{8B61745A-D898-4510-85EB-D8513C8B4DBF}">
            <xm:f>NOT(ISERROR(SEARCH("R",'Tracker Sheet'!L7)))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L8 AE8:AH8 AP8:AS8 T8 V8:W8</xm:sqref>
        </x14:conditionalFormatting>
        <x14:conditionalFormatting xmlns:xm="http://schemas.microsoft.com/office/excel/2006/main">
          <x14:cfRule type="containsText" priority="565" operator="containsText" text="A" id="{7B8859C1-1C46-4AB6-8AAF-68739582D040}">
            <xm:f>NOT(ISERROR(SEARCH("A",'Tracker Sheet'!#REF!)))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566" operator="containsText" text="G" id="{2A261B7F-C46E-4551-A57C-ACD0CEB9703D}">
            <xm:f>NOT(ISERROR(SEARCH("G",'Tracker Sheet'!#REF!)))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567" operator="containsText" text="R" id="{8B61745A-D898-4510-85EB-D8513C8B4DBF}">
            <xm:f>NOT(ISERROR(SEARCH("R",'Tracker Sheet'!#REF!)))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BM3 BP3 BB3:BE3</xm:sqref>
        </x14:conditionalFormatting>
        <x14:conditionalFormatting xmlns:xm="http://schemas.microsoft.com/office/excel/2006/main">
          <x14:cfRule type="containsText" priority="580" operator="containsText" text="A" id="{B77B4706-EEE7-4B2D-9A6E-12CE5C585DCB}">
            <xm:f>NOT(ISERROR(SEARCH("A",'Tracker Sheet'!#REF!)))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14:cfRule type="containsText" priority="581" operator="containsText" text="G" id="{0E289796-F65F-45A1-A5E7-E9732022CC8C}">
            <xm:f>NOT(ISERROR(SEARCH("G",'Tracker Sheet'!#REF!)))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14:cfRule type="containsText" priority="582" operator="containsText" text="R" id="{0750A022-7FD0-4B7A-B8C4-DA743D21B269}">
            <xm:f>NOT(ISERROR(SEARCH("R",'Tracker Sheet'!#REF!)))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U3</xm:sqref>
        </x14:conditionalFormatting>
        <x14:conditionalFormatting xmlns:xm="http://schemas.microsoft.com/office/excel/2006/main">
          <x14:cfRule type="containsText" priority="622" operator="containsText" text="A" id="{7B8859C1-1C46-4AB6-8AAF-68739582D040}">
            <xm:f>NOT(ISERROR(SEARCH("A",'Tracker Sheet'!#REF!)))</xm:f>
            <x14:dxf>
              <font>
                <color rgb="FFFFC000"/>
              </font>
              <fill>
                <patternFill>
                  <bgColor rgb="FFFFC000"/>
                </patternFill>
              </fill>
            </x14:dxf>
          </x14:cfRule>
          <x14:cfRule type="containsText" priority="623" operator="containsText" text="G" id="{2A261B7F-C46E-4551-A57C-ACD0CEB9703D}">
            <xm:f>NOT(ISERROR(SEARCH("G",'Tracker Sheet'!#REF!)))</xm:f>
            <x14:dxf>
              <font>
                <color rgb="FF00B050"/>
              </font>
              <fill>
                <patternFill>
                  <bgColor rgb="FF00B050"/>
                </patternFill>
              </fill>
            </x14:dxf>
          </x14:cfRule>
          <x14:cfRule type="containsText" priority="624" operator="containsText" text="R" id="{8B61745A-D898-4510-85EB-D8513C8B4DBF}">
            <xm:f>NOT(ISERROR(SEARCH("R",'Tracker Sheet'!#REF!)))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V3:W3 T3 AP3:AS3 AE3:AH3 L3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'Head Office Buildings'!$A$1:$A$96</xm:f>
          </x14:formula1>
          <xm:sqref>D3:D47</xm:sqref>
        </x14:dataValidation>
        <x14:dataValidation type="list" allowBlank="1" showInputMessage="1" showErrorMessage="1">
          <x14:formula1>
            <xm:f>#REF!</xm:f>
          </x14:formula1>
          <xm:sqref>G3:G47</xm:sqref>
        </x14:dataValidation>
        <x14:dataValidation type="list" allowBlank="1" showInputMessage="1" showErrorMessage="1">
          <x14:formula1>
            <xm:f>'Project Managers &amp; FacOps Reps'!$A$1:$A$20</xm:f>
          </x14:formula1>
          <xm:sqref>F3:F4 E32:F47 F12:F31 F6 E3:E31</xm:sqref>
        </x14:dataValidation>
        <x14:dataValidation type="list" allowBlank="1" showInputMessage="1" showErrorMessage="1">
          <x14:formula1>
            <xm:f>'Project Managers &amp; FacOps Reps'!$C$1:$C$5</xm:f>
          </x14:formula1>
          <xm:sqref>F7 F9:F11</xm:sqref>
        </x14:dataValidation>
        <x14:dataValidation type="list" allowBlank="1" showInputMessage="1" showErrorMessage="1">
          <x14:formula1>
            <xm:f>'Project Managers &amp; FacOps Reps'!$C$1:$C$11</xm:f>
          </x14:formula1>
          <xm:sqref>F8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J47"/>
  <sheetViews>
    <sheetView workbookViewId="0">
      <selection activeCell="E22" sqref="E22"/>
    </sheetView>
  </sheetViews>
  <sheetFormatPr defaultRowHeight="15" x14ac:dyDescent="0.2"/>
  <cols>
    <col min="1" max="1" width="14.6640625" customWidth="1"/>
    <col min="2" max="2" width="31.88671875" customWidth="1"/>
    <col min="3" max="3" width="23" customWidth="1"/>
    <col min="4" max="4" width="33.21875" customWidth="1"/>
    <col min="5" max="5" width="37.6640625" customWidth="1"/>
    <col min="6" max="6" width="9.109375" customWidth="1"/>
    <col min="7" max="7" width="8.5546875" customWidth="1"/>
    <col min="8" max="8" width="9.44140625" customWidth="1"/>
    <col min="9" max="9" width="13.21875" customWidth="1"/>
    <col min="10" max="10" width="13.33203125" customWidth="1"/>
  </cols>
  <sheetData>
    <row r="1" spans="1:10" ht="17.25" thickBot="1" x14ac:dyDescent="0.25">
      <c r="A1" s="407" t="s">
        <v>261</v>
      </c>
      <c r="B1" s="408"/>
      <c r="C1" s="408"/>
      <c r="D1" s="408"/>
      <c r="E1" s="408"/>
      <c r="F1" s="408"/>
      <c r="G1" s="408"/>
      <c r="H1" s="408"/>
      <c r="I1" s="408"/>
      <c r="J1" s="409"/>
    </row>
    <row r="2" spans="1:10" ht="45.75" thickBot="1" x14ac:dyDescent="0.25">
      <c r="A2" s="200" t="s">
        <v>140</v>
      </c>
      <c r="B2" s="199" t="s">
        <v>139</v>
      </c>
      <c r="C2" s="199" t="s">
        <v>262</v>
      </c>
      <c r="D2" s="199" t="s">
        <v>263</v>
      </c>
      <c r="E2" s="199" t="s">
        <v>206</v>
      </c>
      <c r="F2" s="199" t="s">
        <v>264</v>
      </c>
      <c r="G2" s="201" t="s">
        <v>265</v>
      </c>
      <c r="H2" s="199" t="s">
        <v>266</v>
      </c>
      <c r="I2" s="199" t="s">
        <v>267</v>
      </c>
    </row>
    <row r="3" spans="1:10" ht="15.75" thickBot="1" x14ac:dyDescent="0.25">
      <c r="A3" s="209"/>
      <c r="B3" s="210"/>
      <c r="C3" s="204"/>
      <c r="D3" s="202"/>
      <c r="E3" s="202"/>
      <c r="F3" s="202"/>
      <c r="G3" s="207"/>
      <c r="H3" s="208"/>
      <c r="I3" s="202"/>
    </row>
    <row r="4" spans="1:10" ht="15.75" thickBot="1" x14ac:dyDescent="0.25">
      <c r="A4" s="209"/>
      <c r="B4" s="210"/>
      <c r="C4" s="204"/>
      <c r="D4" s="202"/>
      <c r="E4" s="202"/>
      <c r="F4" s="202"/>
      <c r="G4" s="207"/>
      <c r="H4" s="208"/>
      <c r="I4" s="202"/>
    </row>
    <row r="5" spans="1:10" ht="15.75" thickBot="1" x14ac:dyDescent="0.25">
      <c r="A5" s="209"/>
      <c r="B5" s="210"/>
      <c r="C5" s="204"/>
      <c r="D5" s="202"/>
      <c r="E5" s="202"/>
      <c r="F5" s="202"/>
      <c r="G5" s="207"/>
      <c r="H5" s="208"/>
      <c r="I5" s="202"/>
    </row>
    <row r="6" spans="1:10" ht="15.75" thickBot="1" x14ac:dyDescent="0.25">
      <c r="A6" s="209"/>
      <c r="B6" s="210"/>
      <c r="C6" s="204"/>
      <c r="D6" s="202"/>
      <c r="E6" s="202"/>
      <c r="F6" s="202"/>
      <c r="G6" s="207"/>
      <c r="H6" s="208"/>
      <c r="I6" s="202"/>
    </row>
    <row r="7" spans="1:10" ht="15.75" thickBot="1" x14ac:dyDescent="0.25">
      <c r="A7" s="209"/>
      <c r="B7" s="210"/>
      <c r="C7" s="204"/>
      <c r="D7" s="202"/>
      <c r="E7" s="202"/>
      <c r="F7" s="202"/>
      <c r="G7" s="207"/>
      <c r="H7" s="208"/>
      <c r="I7" s="202"/>
    </row>
    <row r="8" spans="1:10" ht="15.75" thickBot="1" x14ac:dyDescent="0.25">
      <c r="A8" s="209"/>
      <c r="B8" s="210"/>
      <c r="C8" s="204"/>
      <c r="D8" s="202"/>
      <c r="E8" s="202"/>
      <c r="F8" s="202"/>
      <c r="G8" s="207"/>
      <c r="H8" s="208"/>
      <c r="I8" s="202"/>
    </row>
    <row r="9" spans="1:10" ht="15.75" thickBot="1" x14ac:dyDescent="0.25">
      <c r="A9" s="203"/>
      <c r="B9" s="210"/>
      <c r="C9" s="204"/>
      <c r="D9" s="202"/>
      <c r="E9" s="202"/>
      <c r="F9" s="202"/>
      <c r="G9" s="207"/>
      <c r="H9" s="208"/>
      <c r="I9" s="202"/>
    </row>
    <row r="10" spans="1:10" ht="15.75" thickBot="1" x14ac:dyDescent="0.25">
      <c r="A10" s="203"/>
      <c r="B10" s="210"/>
      <c r="C10" s="204"/>
      <c r="D10" s="202"/>
      <c r="E10" s="202"/>
      <c r="F10" s="202"/>
      <c r="G10" s="207"/>
      <c r="H10" s="208"/>
      <c r="I10" s="202"/>
    </row>
    <row r="11" spans="1:10" ht="15.75" thickBot="1" x14ac:dyDescent="0.25">
      <c r="A11" s="203"/>
      <c r="B11" s="210"/>
      <c r="C11" s="203"/>
      <c r="D11" s="202"/>
      <c r="E11" s="202"/>
      <c r="F11" s="202"/>
      <c r="G11" s="205"/>
      <c r="H11" s="206"/>
      <c r="I11" s="202"/>
    </row>
    <row r="12" spans="1:10" ht="15.75" thickBot="1" x14ac:dyDescent="0.25">
      <c r="A12" s="209"/>
      <c r="B12" s="210"/>
      <c r="C12" s="204"/>
      <c r="D12" s="202"/>
      <c r="E12" s="202"/>
      <c r="F12" s="202"/>
      <c r="G12" s="207"/>
      <c r="H12" s="208"/>
      <c r="I12" s="202"/>
    </row>
    <row r="13" spans="1:10" ht="15.75" thickBot="1" x14ac:dyDescent="0.25">
      <c r="A13" s="209"/>
      <c r="B13" s="210"/>
      <c r="C13" s="204"/>
      <c r="D13" s="202"/>
      <c r="E13" s="203"/>
      <c r="F13" s="202"/>
      <c r="G13" s="207"/>
      <c r="H13" s="208"/>
      <c r="I13" s="202"/>
    </row>
    <row r="14" spans="1:10" ht="15.75" thickBot="1" x14ac:dyDescent="0.25">
      <c r="A14" s="209"/>
      <c r="B14" s="210"/>
      <c r="C14" s="204"/>
      <c r="D14" s="202"/>
      <c r="E14" s="202"/>
      <c r="F14" s="202"/>
      <c r="G14" s="207"/>
      <c r="H14" s="208"/>
      <c r="I14" s="202"/>
    </row>
    <row r="15" spans="1:10" ht="15.75" thickBot="1" x14ac:dyDescent="0.25">
      <c r="A15" s="209"/>
      <c r="B15" s="210"/>
      <c r="C15" s="204"/>
      <c r="D15" s="202"/>
      <c r="E15" s="202"/>
      <c r="F15" s="202"/>
      <c r="G15" s="207"/>
      <c r="H15" s="208"/>
      <c r="I15" s="202"/>
    </row>
    <row r="16" spans="1:10" ht="15.75" thickBot="1" x14ac:dyDescent="0.25">
      <c r="A16" s="209"/>
      <c r="B16" s="210"/>
      <c r="C16" s="204"/>
      <c r="D16" s="202"/>
      <c r="E16" s="202"/>
      <c r="F16" s="202"/>
      <c r="G16" s="207"/>
      <c r="H16" s="208"/>
      <c r="I16" s="202"/>
    </row>
    <row r="17" spans="1:9" ht="15.75" thickBot="1" x14ac:dyDescent="0.25">
      <c r="A17" s="209"/>
      <c r="B17" s="210"/>
      <c r="C17" s="204"/>
      <c r="D17" s="202"/>
      <c r="E17" s="202"/>
      <c r="F17" s="202"/>
      <c r="G17" s="207"/>
      <c r="H17" s="208"/>
      <c r="I17" s="202"/>
    </row>
    <row r="18" spans="1:9" ht="15.75" thickBot="1" x14ac:dyDescent="0.25">
      <c r="A18" s="209"/>
      <c r="B18" s="210"/>
      <c r="C18" s="204"/>
      <c r="D18" s="202"/>
      <c r="E18" s="202"/>
      <c r="F18" s="202"/>
      <c r="G18" s="207"/>
      <c r="H18" s="208"/>
      <c r="I18" s="202"/>
    </row>
    <row r="19" spans="1:9" ht="15.75" thickBot="1" x14ac:dyDescent="0.25">
      <c r="A19" s="209"/>
      <c r="B19" s="210"/>
      <c r="C19" s="204"/>
      <c r="D19" s="202"/>
      <c r="E19" s="202"/>
      <c r="F19" s="202"/>
      <c r="G19" s="207"/>
      <c r="H19" s="208"/>
      <c r="I19" s="202"/>
    </row>
    <row r="20" spans="1:9" ht="15.75" thickBot="1" x14ac:dyDescent="0.25">
      <c r="A20" s="209"/>
      <c r="B20" s="210"/>
      <c r="C20" s="204"/>
      <c r="D20" s="202"/>
      <c r="E20" s="202"/>
      <c r="F20" s="202"/>
      <c r="G20" s="207"/>
      <c r="H20" s="208"/>
      <c r="I20" s="202"/>
    </row>
    <row r="21" spans="1:9" ht="15.75" thickBot="1" x14ac:dyDescent="0.25">
      <c r="A21" s="209"/>
      <c r="B21" s="210"/>
      <c r="C21" s="204"/>
      <c r="D21" s="202"/>
      <c r="E21" s="202"/>
      <c r="F21" s="202"/>
      <c r="G21" s="207"/>
      <c r="H21" s="208"/>
      <c r="I21" s="202"/>
    </row>
    <row r="22" spans="1:9" ht="15.75" thickBot="1" x14ac:dyDescent="0.25">
      <c r="A22" s="209"/>
      <c r="B22" s="210"/>
      <c r="C22" s="204"/>
      <c r="D22" s="202"/>
      <c r="E22" s="202"/>
      <c r="F22" s="202"/>
      <c r="G22" s="207"/>
      <c r="H22" s="208"/>
      <c r="I22" s="202"/>
    </row>
    <row r="23" spans="1:9" ht="15.75" thickBot="1" x14ac:dyDescent="0.25">
      <c r="A23" s="209"/>
      <c r="B23" s="210"/>
      <c r="C23" s="204"/>
      <c r="D23" s="202"/>
      <c r="E23" s="202"/>
      <c r="F23" s="202"/>
      <c r="G23" s="207"/>
      <c r="H23" s="208"/>
      <c r="I23" s="202"/>
    </row>
    <row r="24" spans="1:9" ht="15.75" thickBot="1" x14ac:dyDescent="0.25">
      <c r="A24" s="209"/>
      <c r="B24" s="210"/>
      <c r="C24" s="204"/>
      <c r="D24" s="202"/>
      <c r="E24" s="202"/>
      <c r="F24" s="202"/>
      <c r="G24" s="207"/>
      <c r="H24" s="208"/>
      <c r="I24" s="202"/>
    </row>
    <row r="25" spans="1:9" ht="15.75" thickBot="1" x14ac:dyDescent="0.25">
      <c r="A25" s="209"/>
      <c r="B25" s="210"/>
      <c r="C25" s="204"/>
      <c r="D25" s="202"/>
      <c r="E25" s="202"/>
      <c r="F25" s="202"/>
      <c r="G25" s="207"/>
      <c r="H25" s="208"/>
      <c r="I25" s="202"/>
    </row>
    <row r="26" spans="1:9" ht="15.75" thickBot="1" x14ac:dyDescent="0.25">
      <c r="A26" s="209"/>
      <c r="B26" s="210"/>
      <c r="C26" s="204"/>
      <c r="D26" s="202"/>
      <c r="E26" s="202"/>
      <c r="F26" s="202"/>
      <c r="G26" s="207"/>
      <c r="H26" s="208"/>
      <c r="I26" s="202"/>
    </row>
    <row r="27" spans="1:9" ht="15.75" thickBot="1" x14ac:dyDescent="0.25">
      <c r="A27" s="209"/>
      <c r="B27" s="210"/>
      <c r="C27" s="204"/>
      <c r="D27" s="202"/>
      <c r="E27" s="202"/>
      <c r="F27" s="202"/>
      <c r="G27" s="207"/>
      <c r="H27" s="208"/>
      <c r="I27" s="202"/>
    </row>
    <row r="28" spans="1:9" ht="15.75" thickBot="1" x14ac:dyDescent="0.25">
      <c r="A28" s="209"/>
      <c r="B28" s="210"/>
      <c r="C28" s="204"/>
      <c r="D28" s="202"/>
      <c r="E28" s="202"/>
      <c r="F28" s="202"/>
      <c r="G28" s="207"/>
      <c r="H28" s="208"/>
      <c r="I28" s="202"/>
    </row>
    <row r="29" spans="1:9" ht="15.75" thickBot="1" x14ac:dyDescent="0.25">
      <c r="A29" s="209"/>
      <c r="B29" s="210"/>
      <c r="C29" s="204"/>
      <c r="D29" s="202"/>
      <c r="E29" s="202"/>
      <c r="F29" s="202"/>
      <c r="G29" s="207"/>
      <c r="H29" s="208"/>
      <c r="I29" s="202"/>
    </row>
    <row r="30" spans="1:9" ht="15.75" thickBot="1" x14ac:dyDescent="0.25">
      <c r="A30" s="209"/>
      <c r="B30" s="210"/>
      <c r="C30" s="204"/>
      <c r="D30" s="202"/>
      <c r="E30" s="202"/>
      <c r="F30" s="202"/>
      <c r="G30" s="207"/>
      <c r="H30" s="208"/>
      <c r="I30" s="202"/>
    </row>
    <row r="31" spans="1:9" ht="15.75" thickBot="1" x14ac:dyDescent="0.25">
      <c r="A31" s="209"/>
      <c r="B31" s="210"/>
      <c r="C31" s="204"/>
      <c r="D31" s="202"/>
      <c r="E31" s="202"/>
      <c r="F31" s="202"/>
      <c r="G31" s="207"/>
      <c r="H31" s="208"/>
      <c r="I31" s="202"/>
    </row>
    <row r="32" spans="1:9" ht="15.75" thickBot="1" x14ac:dyDescent="0.25">
      <c r="A32" s="209"/>
      <c r="B32" s="210"/>
      <c r="C32" s="204"/>
      <c r="D32" s="202"/>
      <c r="E32" s="203"/>
      <c r="F32" s="202"/>
      <c r="G32" s="207"/>
      <c r="H32" s="208"/>
      <c r="I32" s="202"/>
    </row>
    <row r="33" spans="1:9" ht="15.75" thickBot="1" x14ac:dyDescent="0.25">
      <c r="A33" s="209"/>
      <c r="B33" s="210"/>
      <c r="C33" s="204"/>
      <c r="D33" s="202"/>
      <c r="E33" s="202"/>
      <c r="F33" s="202"/>
      <c r="G33" s="207"/>
      <c r="H33" s="208"/>
      <c r="I33" s="202"/>
    </row>
    <row r="34" spans="1:9" ht="15.75" thickBot="1" x14ac:dyDescent="0.25">
      <c r="A34" s="209"/>
      <c r="B34" s="210"/>
      <c r="C34" s="204"/>
      <c r="D34" s="202"/>
      <c r="E34" s="202"/>
      <c r="F34" s="202"/>
      <c r="G34" s="207"/>
      <c r="H34" s="208"/>
      <c r="I34" s="202"/>
    </row>
    <row r="35" spans="1:9" ht="15.75" thickBot="1" x14ac:dyDescent="0.25">
      <c r="A35" s="209"/>
      <c r="B35" s="210"/>
      <c r="C35" s="204"/>
      <c r="D35" s="202"/>
      <c r="E35" s="202"/>
      <c r="F35" s="202"/>
      <c r="G35" s="207"/>
      <c r="H35" s="208"/>
      <c r="I35" s="202"/>
    </row>
    <row r="36" spans="1:9" ht="15.75" thickBot="1" x14ac:dyDescent="0.25">
      <c r="A36" s="209"/>
      <c r="B36" s="210"/>
      <c r="C36" s="204"/>
      <c r="D36" s="202"/>
      <c r="E36" s="202"/>
      <c r="F36" s="202"/>
      <c r="G36" s="207"/>
      <c r="H36" s="208"/>
      <c r="I36" s="202"/>
    </row>
    <row r="37" spans="1:9" ht="15.75" thickBot="1" x14ac:dyDescent="0.25">
      <c r="A37" s="209"/>
      <c r="B37" s="210"/>
      <c r="C37" s="204"/>
      <c r="D37" s="202"/>
      <c r="E37" s="202"/>
      <c r="F37" s="202"/>
      <c r="G37" s="207"/>
      <c r="H37" s="208"/>
      <c r="I37" s="202"/>
    </row>
    <row r="38" spans="1:9" ht="15.75" thickBot="1" x14ac:dyDescent="0.25">
      <c r="A38" s="209"/>
      <c r="B38" s="210"/>
      <c r="C38" s="204"/>
      <c r="D38" s="202"/>
      <c r="E38" s="202"/>
      <c r="F38" s="202"/>
      <c r="G38" s="207"/>
      <c r="H38" s="208"/>
      <c r="I38" s="202"/>
    </row>
    <row r="39" spans="1:9" ht="15.75" thickBot="1" x14ac:dyDescent="0.25">
      <c r="A39" s="209"/>
      <c r="B39" s="210"/>
      <c r="C39" s="204"/>
      <c r="D39" s="202"/>
      <c r="E39" s="202"/>
      <c r="F39" s="202"/>
      <c r="G39" s="207"/>
      <c r="H39" s="208"/>
      <c r="I39" s="202"/>
    </row>
    <row r="40" spans="1:9" ht="15.75" thickBot="1" x14ac:dyDescent="0.25">
      <c r="A40" s="209"/>
      <c r="B40" s="210"/>
      <c r="C40" s="204"/>
      <c r="D40" s="202"/>
      <c r="E40" s="202"/>
      <c r="F40" s="202"/>
      <c r="G40" s="207"/>
      <c r="H40" s="208"/>
      <c r="I40" s="202"/>
    </row>
    <row r="41" spans="1:9" s="213" customFormat="1" ht="15.75" thickBot="1" x14ac:dyDescent="0.25">
      <c r="A41" s="216"/>
      <c r="B41" s="210"/>
      <c r="C41" s="217"/>
      <c r="D41" s="202"/>
      <c r="E41" s="202"/>
      <c r="F41" s="202"/>
      <c r="G41" s="207"/>
      <c r="H41" s="208"/>
      <c r="I41" s="218"/>
    </row>
    <row r="42" spans="1:9" ht="15.75" thickBot="1" x14ac:dyDescent="0.25">
      <c r="A42" s="209"/>
      <c r="B42" s="210"/>
      <c r="C42" s="204"/>
      <c r="D42" s="202"/>
      <c r="E42" s="202"/>
      <c r="F42" s="202"/>
      <c r="G42" s="207"/>
      <c r="H42" s="208"/>
      <c r="I42" s="202"/>
    </row>
    <row r="43" spans="1:9" ht="15.75" thickBot="1" x14ac:dyDescent="0.25">
      <c r="A43" s="209"/>
      <c r="B43" s="210"/>
      <c r="C43" s="204"/>
      <c r="D43" s="202"/>
      <c r="E43" s="202"/>
      <c r="F43" s="202"/>
      <c r="G43" s="207"/>
      <c r="H43" s="208"/>
      <c r="I43" s="202"/>
    </row>
    <row r="44" spans="1:9" ht="15.75" thickBot="1" x14ac:dyDescent="0.25">
      <c r="A44" s="209"/>
      <c r="B44" s="210"/>
      <c r="C44" s="204"/>
      <c r="D44" s="202"/>
      <c r="E44" s="202"/>
      <c r="F44" s="202"/>
      <c r="G44" s="207"/>
      <c r="H44" s="208"/>
      <c r="I44" s="202"/>
    </row>
    <row r="45" spans="1:9" ht="15.75" thickBot="1" x14ac:dyDescent="0.25">
      <c r="A45" s="209"/>
      <c r="B45" s="210"/>
      <c r="C45" s="204"/>
      <c r="D45" s="202"/>
      <c r="E45" s="202"/>
      <c r="F45" s="202"/>
      <c r="G45" s="207"/>
      <c r="H45" s="208"/>
      <c r="I45" s="202"/>
    </row>
    <row r="46" spans="1:9" ht="15.75" thickBot="1" x14ac:dyDescent="0.25">
      <c r="A46" s="209"/>
      <c r="B46" s="210"/>
      <c r="C46" s="204"/>
      <c r="D46" s="202"/>
      <c r="E46" s="202"/>
      <c r="F46" s="202"/>
      <c r="G46" s="207"/>
      <c r="H46" s="208"/>
      <c r="I46" s="202"/>
    </row>
    <row r="47" spans="1:9" ht="15.75" thickBot="1" x14ac:dyDescent="0.25">
      <c r="A47" s="209"/>
      <c r="B47" s="210"/>
      <c r="C47" s="204"/>
      <c r="D47" s="202"/>
      <c r="E47" s="202"/>
      <c r="F47" s="202"/>
      <c r="G47" s="207"/>
      <c r="H47" s="208"/>
      <c r="I47" s="202"/>
    </row>
  </sheetData>
  <mergeCells count="1">
    <mergeCell ref="A1:J1"/>
  </mergeCells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44"/>
  <sheetViews>
    <sheetView workbookViewId="0">
      <selection activeCell="J45" sqref="J45"/>
    </sheetView>
  </sheetViews>
  <sheetFormatPr defaultRowHeight="15" x14ac:dyDescent="0.2"/>
  <cols>
    <col min="1" max="1" width="15.5546875" bestFit="1" customWidth="1"/>
    <col min="2" max="2" width="18.6640625" customWidth="1"/>
    <col min="3" max="3" width="29.109375" bestFit="1" customWidth="1"/>
    <col min="4" max="4" width="13.21875" bestFit="1" customWidth="1"/>
    <col min="5" max="5" width="17.109375" bestFit="1" customWidth="1"/>
    <col min="8" max="8" width="10.77734375" bestFit="1" customWidth="1"/>
  </cols>
  <sheetData>
    <row r="1" spans="1:10" ht="16.5" thickBot="1" x14ac:dyDescent="0.3">
      <c r="A1" s="70"/>
      <c r="B1" s="71"/>
      <c r="C1" s="71" t="s">
        <v>139</v>
      </c>
      <c r="D1" s="71"/>
      <c r="E1" s="71"/>
      <c r="F1" s="72"/>
      <c r="G1" s="73"/>
      <c r="H1" s="410" t="s">
        <v>327</v>
      </c>
      <c r="I1" s="411"/>
      <c r="J1" s="411"/>
    </row>
    <row r="2" spans="1:10" ht="15.75" thickBot="1" x14ac:dyDescent="0.25">
      <c r="A2" s="74" t="s">
        <v>140</v>
      </c>
      <c r="B2" s="75" t="s">
        <v>9</v>
      </c>
      <c r="C2" s="75" t="s">
        <v>10</v>
      </c>
      <c r="D2" s="75" t="s">
        <v>141</v>
      </c>
      <c r="E2" s="75" t="s">
        <v>18</v>
      </c>
      <c r="F2" s="76" t="s">
        <v>142</v>
      </c>
      <c r="G2" s="73"/>
      <c r="H2" s="74" t="s">
        <v>143</v>
      </c>
      <c r="I2" s="75" t="s">
        <v>144</v>
      </c>
      <c r="J2" s="75" t="s">
        <v>145</v>
      </c>
    </row>
    <row r="3" spans="1:10" x14ac:dyDescent="0.2">
      <c r="A3" s="219" t="s">
        <v>146</v>
      </c>
      <c r="B3" s="77" t="s">
        <v>147</v>
      </c>
      <c r="C3" s="77" t="s">
        <v>148</v>
      </c>
      <c r="D3" s="77">
        <v>0</v>
      </c>
      <c r="E3" s="77" t="s">
        <v>149</v>
      </c>
      <c r="F3" s="78" t="s">
        <v>150</v>
      </c>
      <c r="G3" s="73"/>
      <c r="H3" s="79">
        <v>46301</v>
      </c>
      <c r="I3" s="80">
        <v>0</v>
      </c>
      <c r="J3" s="81">
        <v>46301</v>
      </c>
    </row>
    <row r="4" spans="1:10" x14ac:dyDescent="0.2">
      <c r="A4" s="219" t="s">
        <v>151</v>
      </c>
      <c r="B4" s="77" t="s">
        <v>152</v>
      </c>
      <c r="C4" s="77" t="s">
        <v>151</v>
      </c>
      <c r="D4" s="77">
        <v>0</v>
      </c>
      <c r="E4" s="77" t="s">
        <v>149</v>
      </c>
      <c r="F4" s="78" t="s">
        <v>150</v>
      </c>
      <c r="G4" s="73"/>
      <c r="H4" s="79">
        <v>19460</v>
      </c>
      <c r="I4" s="80">
        <v>7425</v>
      </c>
      <c r="J4" s="81">
        <v>26885</v>
      </c>
    </row>
    <row r="5" spans="1:10" x14ac:dyDescent="0.2">
      <c r="A5" s="220" t="s">
        <v>153</v>
      </c>
      <c r="B5" s="77" t="s">
        <v>154</v>
      </c>
      <c r="C5" s="77" t="s">
        <v>153</v>
      </c>
      <c r="D5" s="77">
        <v>0</v>
      </c>
      <c r="E5" s="77" t="s">
        <v>149</v>
      </c>
      <c r="F5" s="78" t="s">
        <v>150</v>
      </c>
      <c r="G5" s="73"/>
      <c r="H5" s="79">
        <v>21620</v>
      </c>
      <c r="I5" s="80">
        <v>0</v>
      </c>
      <c r="J5" s="81">
        <v>21620</v>
      </c>
    </row>
    <row r="6" spans="1:10" x14ac:dyDescent="0.2">
      <c r="A6" s="220" t="s">
        <v>100</v>
      </c>
      <c r="B6" s="77" t="s">
        <v>101</v>
      </c>
      <c r="C6" s="77" t="s">
        <v>102</v>
      </c>
      <c r="D6" s="82" t="s">
        <v>155</v>
      </c>
      <c r="E6" s="77" t="s">
        <v>86</v>
      </c>
      <c r="F6" s="78" t="s">
        <v>156</v>
      </c>
      <c r="G6" s="73"/>
      <c r="H6" s="79">
        <v>53779</v>
      </c>
      <c r="I6" s="80">
        <v>45540</v>
      </c>
      <c r="J6" s="81">
        <v>99319</v>
      </c>
    </row>
    <row r="7" spans="1:10" x14ac:dyDescent="0.2">
      <c r="A7" s="220" t="s">
        <v>157</v>
      </c>
      <c r="B7" s="77" t="s">
        <v>158</v>
      </c>
      <c r="C7" s="77" t="s">
        <v>159</v>
      </c>
      <c r="D7" s="82" t="s">
        <v>160</v>
      </c>
      <c r="E7" s="77" t="s">
        <v>149</v>
      </c>
      <c r="F7" s="78" t="s">
        <v>161</v>
      </c>
      <c r="G7" s="73"/>
      <c r="H7" s="79">
        <v>6250</v>
      </c>
      <c r="I7" s="80">
        <v>0</v>
      </c>
      <c r="J7" s="81">
        <v>6250</v>
      </c>
    </row>
    <row r="8" spans="1:10" x14ac:dyDescent="0.2">
      <c r="A8" s="220" t="s">
        <v>103</v>
      </c>
      <c r="B8" s="77" t="s">
        <v>104</v>
      </c>
      <c r="C8" s="77" t="s">
        <v>162</v>
      </c>
      <c r="D8" s="82" t="s">
        <v>155</v>
      </c>
      <c r="E8" s="77" t="s">
        <v>84</v>
      </c>
      <c r="F8" s="78" t="s">
        <v>163</v>
      </c>
      <c r="G8" s="73"/>
      <c r="H8" s="79">
        <v>102415</v>
      </c>
      <c r="I8" s="80">
        <v>0</v>
      </c>
      <c r="J8" s="81">
        <v>102415</v>
      </c>
    </row>
    <row r="9" spans="1:10" x14ac:dyDescent="0.2">
      <c r="A9" s="220" t="s">
        <v>105</v>
      </c>
      <c r="B9" s="77" t="s">
        <v>106</v>
      </c>
      <c r="C9" s="77" t="s">
        <v>164</v>
      </c>
      <c r="D9" s="82" t="s">
        <v>155</v>
      </c>
      <c r="E9" s="77" t="s">
        <v>165</v>
      </c>
      <c r="F9" s="78" t="s">
        <v>156</v>
      </c>
      <c r="G9" s="73"/>
      <c r="H9" s="79">
        <v>379574</v>
      </c>
      <c r="I9" s="80">
        <v>218815</v>
      </c>
      <c r="J9" s="81">
        <v>598389</v>
      </c>
    </row>
    <row r="10" spans="1:10" x14ac:dyDescent="0.2">
      <c r="A10" s="220" t="s">
        <v>110</v>
      </c>
      <c r="B10" s="83" t="s">
        <v>166</v>
      </c>
      <c r="C10" s="83" t="s">
        <v>167</v>
      </c>
      <c r="D10" s="83" t="s">
        <v>168</v>
      </c>
      <c r="E10" s="83" t="s">
        <v>169</v>
      </c>
      <c r="F10" s="84" t="s">
        <v>163</v>
      </c>
      <c r="G10" s="85"/>
      <c r="H10" s="86">
        <v>168974</v>
      </c>
      <c r="I10" s="80">
        <v>695719</v>
      </c>
      <c r="J10" s="81">
        <v>864693</v>
      </c>
    </row>
    <row r="11" spans="1:10" x14ac:dyDescent="0.2">
      <c r="A11" s="220" t="s">
        <v>111</v>
      </c>
      <c r="B11" s="87" t="s">
        <v>112</v>
      </c>
      <c r="C11" s="87" t="s">
        <v>113</v>
      </c>
      <c r="D11" s="83" t="s">
        <v>168</v>
      </c>
      <c r="E11" s="87" t="s">
        <v>170</v>
      </c>
      <c r="F11" s="88" t="s">
        <v>163</v>
      </c>
      <c r="G11" s="73"/>
      <c r="H11" s="79">
        <v>96973</v>
      </c>
      <c r="I11" s="80">
        <v>1114</v>
      </c>
      <c r="J11" s="81">
        <v>98087</v>
      </c>
    </row>
    <row r="12" spans="1:10" x14ac:dyDescent="0.2">
      <c r="A12" s="220" t="s">
        <v>171</v>
      </c>
      <c r="B12" s="77" t="s">
        <v>172</v>
      </c>
      <c r="C12" s="77" t="s">
        <v>173</v>
      </c>
      <c r="D12" s="82" t="s">
        <v>160</v>
      </c>
      <c r="E12" s="77" t="s">
        <v>84</v>
      </c>
      <c r="F12" s="78" t="s">
        <v>161</v>
      </c>
      <c r="G12" s="73"/>
      <c r="H12" s="79">
        <v>0</v>
      </c>
      <c r="I12" s="80">
        <v>0</v>
      </c>
      <c r="J12" s="81">
        <v>0</v>
      </c>
    </row>
    <row r="13" spans="1:10" x14ac:dyDescent="0.2">
      <c r="A13" s="220" t="s">
        <v>114</v>
      </c>
      <c r="B13" s="77" t="s">
        <v>174</v>
      </c>
      <c r="C13" s="77" t="s">
        <v>115</v>
      </c>
      <c r="D13" s="82" t="s">
        <v>168</v>
      </c>
      <c r="E13" s="77" t="s">
        <v>170</v>
      </c>
      <c r="F13" s="78" t="s">
        <v>163</v>
      </c>
      <c r="G13" s="73"/>
      <c r="H13" s="79">
        <v>18935</v>
      </c>
      <c r="I13" s="80">
        <v>500</v>
      </c>
      <c r="J13" s="81">
        <v>19435</v>
      </c>
    </row>
    <row r="14" spans="1:10" x14ac:dyDescent="0.2">
      <c r="A14" s="220" t="s">
        <v>107</v>
      </c>
      <c r="B14" s="77" t="s">
        <v>108</v>
      </c>
      <c r="C14" s="77" t="s">
        <v>109</v>
      </c>
      <c r="D14" s="82" t="s">
        <v>175</v>
      </c>
      <c r="E14" s="77" t="s">
        <v>176</v>
      </c>
      <c r="F14" s="78" t="s">
        <v>177</v>
      </c>
      <c r="G14" s="73"/>
      <c r="H14" s="79">
        <v>17500</v>
      </c>
      <c r="I14" s="80">
        <v>0</v>
      </c>
      <c r="J14" s="81">
        <v>17500</v>
      </c>
    </row>
    <row r="15" spans="1:10" x14ac:dyDescent="0.2">
      <c r="A15" s="220" t="s">
        <v>178</v>
      </c>
      <c r="B15" s="77" t="s">
        <v>179</v>
      </c>
      <c r="C15" s="77" t="s">
        <v>180</v>
      </c>
      <c r="D15" s="82" t="s">
        <v>168</v>
      </c>
      <c r="E15" s="77" t="s">
        <v>181</v>
      </c>
      <c r="F15" s="78" t="s">
        <v>177</v>
      </c>
      <c r="G15" s="73"/>
      <c r="H15" s="79">
        <v>0</v>
      </c>
      <c r="I15" s="80">
        <v>0</v>
      </c>
      <c r="J15" s="81">
        <v>0</v>
      </c>
    </row>
    <row r="16" spans="1:10" x14ac:dyDescent="0.2">
      <c r="A16" s="220" t="s">
        <v>116</v>
      </c>
      <c r="B16" s="77" t="s">
        <v>117</v>
      </c>
      <c r="C16" s="77" t="s">
        <v>182</v>
      </c>
      <c r="D16" s="82" t="s">
        <v>155</v>
      </c>
      <c r="E16" s="77" t="s">
        <v>183</v>
      </c>
      <c r="F16" s="78" t="s">
        <v>161</v>
      </c>
      <c r="G16" s="73"/>
      <c r="H16" s="79">
        <v>124370</v>
      </c>
      <c r="I16" s="80">
        <v>12191</v>
      </c>
      <c r="J16" s="81">
        <v>136561</v>
      </c>
    </row>
    <row r="17" spans="1:10" x14ac:dyDescent="0.2">
      <c r="A17" s="220" t="s">
        <v>118</v>
      </c>
      <c r="B17" s="89" t="s">
        <v>119</v>
      </c>
      <c r="C17" s="77" t="s">
        <v>184</v>
      </c>
      <c r="D17" s="82" t="s">
        <v>175</v>
      </c>
      <c r="E17" s="77" t="s">
        <v>84</v>
      </c>
      <c r="F17" s="78" t="s">
        <v>163</v>
      </c>
      <c r="G17" s="73"/>
      <c r="H17" s="79">
        <v>7451</v>
      </c>
      <c r="I17" s="80">
        <v>23400</v>
      </c>
      <c r="J17" s="81">
        <v>30851</v>
      </c>
    </row>
    <row r="18" spans="1:10" x14ac:dyDescent="0.2">
      <c r="A18" s="220" t="s">
        <v>120</v>
      </c>
      <c r="B18" s="90" t="s">
        <v>186</v>
      </c>
      <c r="C18" s="77" t="s">
        <v>121</v>
      </c>
      <c r="D18" s="82" t="s">
        <v>168</v>
      </c>
      <c r="E18" s="77" t="s">
        <v>187</v>
      </c>
      <c r="F18" s="78" t="s">
        <v>188</v>
      </c>
      <c r="G18" s="73"/>
      <c r="H18" s="79">
        <v>50529</v>
      </c>
      <c r="I18" s="80">
        <v>8285</v>
      </c>
      <c r="J18" s="81">
        <v>58814</v>
      </c>
    </row>
    <row r="19" spans="1:10" x14ac:dyDescent="0.2">
      <c r="A19" s="221" t="s">
        <v>94</v>
      </c>
      <c r="B19" s="91" t="s">
        <v>95</v>
      </c>
      <c r="C19" s="92" t="s">
        <v>189</v>
      </c>
      <c r="D19" s="93" t="s">
        <v>190</v>
      </c>
      <c r="E19" s="92" t="s">
        <v>191</v>
      </c>
      <c r="F19" s="94" t="s">
        <v>161</v>
      </c>
      <c r="G19" s="73"/>
      <c r="H19" s="79">
        <v>7500</v>
      </c>
      <c r="I19" s="80">
        <v>0</v>
      </c>
      <c r="J19" s="81">
        <v>7500</v>
      </c>
    </row>
    <row r="20" spans="1:10" s="127" customFormat="1" x14ac:dyDescent="0.2">
      <c r="A20" s="220" t="s">
        <v>192</v>
      </c>
      <c r="B20" s="91" t="s">
        <v>122</v>
      </c>
      <c r="C20" s="92" t="s">
        <v>193</v>
      </c>
      <c r="D20" s="93" t="s">
        <v>168</v>
      </c>
      <c r="E20" s="92" t="s">
        <v>187</v>
      </c>
      <c r="F20" s="94" t="s">
        <v>161</v>
      </c>
      <c r="G20" s="73"/>
      <c r="H20" s="79">
        <v>126281</v>
      </c>
      <c r="I20" s="80">
        <v>42766</v>
      </c>
      <c r="J20" s="81">
        <v>169046</v>
      </c>
    </row>
    <row r="21" spans="1:10" x14ac:dyDescent="0.2">
      <c r="A21" s="221" t="s">
        <v>123</v>
      </c>
      <c r="B21" s="91" t="s">
        <v>194</v>
      </c>
      <c r="C21" s="92" t="s">
        <v>124</v>
      </c>
      <c r="D21" s="93" t="s">
        <v>168</v>
      </c>
      <c r="E21" s="92" t="s">
        <v>195</v>
      </c>
      <c r="F21" s="94" t="s">
        <v>177</v>
      </c>
      <c r="G21" s="73"/>
      <c r="H21" s="79">
        <v>131096</v>
      </c>
      <c r="I21" s="80">
        <v>8904</v>
      </c>
      <c r="J21" s="81">
        <v>140000</v>
      </c>
    </row>
    <row r="22" spans="1:10" x14ac:dyDescent="0.2">
      <c r="A22" s="221" t="s">
        <v>196</v>
      </c>
      <c r="B22" s="91" t="s">
        <v>197</v>
      </c>
      <c r="C22" s="92" t="s">
        <v>198</v>
      </c>
      <c r="D22" s="93" t="s">
        <v>175</v>
      </c>
      <c r="E22" s="92" t="s">
        <v>199</v>
      </c>
      <c r="F22" s="94" t="s">
        <v>177</v>
      </c>
      <c r="G22" s="73"/>
      <c r="H22" s="79">
        <v>0</v>
      </c>
      <c r="I22" s="80">
        <v>0</v>
      </c>
      <c r="J22" s="81">
        <v>0</v>
      </c>
    </row>
    <row r="23" spans="1:10" x14ac:dyDescent="0.2">
      <c r="A23" s="221" t="s">
        <v>253</v>
      </c>
      <c r="B23" s="91" t="s">
        <v>270</v>
      </c>
      <c r="C23" s="92" t="s">
        <v>271</v>
      </c>
      <c r="D23" s="93" t="s">
        <v>272</v>
      </c>
      <c r="E23" s="92" t="s">
        <v>181</v>
      </c>
      <c r="F23" s="94" t="s">
        <v>163</v>
      </c>
      <c r="G23" s="73"/>
      <c r="H23" s="79">
        <v>0</v>
      </c>
      <c r="I23" s="80">
        <v>0</v>
      </c>
      <c r="J23" s="81">
        <v>0</v>
      </c>
    </row>
    <row r="24" spans="1:10" x14ac:dyDescent="0.2">
      <c r="A24" s="221" t="s">
        <v>253</v>
      </c>
      <c r="B24" s="91" t="s">
        <v>268</v>
      </c>
      <c r="C24" s="92" t="s">
        <v>269</v>
      </c>
      <c r="D24" s="93" t="s">
        <v>272</v>
      </c>
      <c r="E24" s="92" t="s">
        <v>181</v>
      </c>
      <c r="F24" s="94" t="s">
        <v>163</v>
      </c>
      <c r="G24" s="73"/>
      <c r="H24" s="79">
        <v>0</v>
      </c>
      <c r="I24" s="80">
        <v>0</v>
      </c>
      <c r="J24" s="81">
        <v>0</v>
      </c>
    </row>
    <row r="25" spans="1:10" x14ac:dyDescent="0.2">
      <c r="A25" s="220" t="s">
        <v>238</v>
      </c>
      <c r="B25" s="77" t="s">
        <v>273</v>
      </c>
      <c r="C25" s="77" t="s">
        <v>274</v>
      </c>
      <c r="D25" s="82" t="s">
        <v>275</v>
      </c>
      <c r="E25" s="77" t="s">
        <v>170</v>
      </c>
      <c r="F25" s="78" t="s">
        <v>276</v>
      </c>
      <c r="G25" s="73"/>
      <c r="H25" s="79">
        <v>0</v>
      </c>
      <c r="I25" s="80">
        <v>0</v>
      </c>
      <c r="J25" s="81">
        <v>0</v>
      </c>
    </row>
    <row r="26" spans="1:10" x14ac:dyDescent="0.2">
      <c r="A26" s="221" t="s">
        <v>200</v>
      </c>
      <c r="B26" s="91" t="s">
        <v>201</v>
      </c>
      <c r="C26" s="92" t="s">
        <v>202</v>
      </c>
      <c r="D26" s="93" t="s">
        <v>155</v>
      </c>
      <c r="E26" s="92" t="s">
        <v>170</v>
      </c>
      <c r="F26" s="94" t="s">
        <v>203</v>
      </c>
      <c r="G26" s="73"/>
      <c r="H26" s="79">
        <v>47466</v>
      </c>
      <c r="I26" s="80">
        <v>3000</v>
      </c>
      <c r="J26" s="81">
        <v>50466</v>
      </c>
    </row>
    <row r="27" spans="1:10" x14ac:dyDescent="0.2">
      <c r="A27" s="220" t="s">
        <v>288</v>
      </c>
      <c r="B27" s="77" t="s">
        <v>289</v>
      </c>
      <c r="C27" s="77" t="s">
        <v>290</v>
      </c>
      <c r="D27" s="82" t="s">
        <v>277</v>
      </c>
      <c r="E27" s="77" t="s">
        <v>291</v>
      </c>
      <c r="F27" s="78" t="s">
        <v>177</v>
      </c>
      <c r="G27" s="73"/>
      <c r="H27" s="79"/>
      <c r="I27" s="80"/>
      <c r="J27" s="81">
        <v>10915.6</v>
      </c>
    </row>
    <row r="28" spans="1:10" x14ac:dyDescent="0.2">
      <c r="A28" s="220" t="s">
        <v>129</v>
      </c>
      <c r="B28" s="77" t="s">
        <v>292</v>
      </c>
      <c r="C28" s="77" t="s">
        <v>278</v>
      </c>
      <c r="D28" s="82" t="s">
        <v>279</v>
      </c>
      <c r="E28" s="77" t="s">
        <v>224</v>
      </c>
      <c r="F28" s="78" t="s">
        <v>185</v>
      </c>
      <c r="G28" s="73"/>
      <c r="H28" s="79"/>
      <c r="I28" s="80"/>
      <c r="J28" s="81">
        <v>5250</v>
      </c>
    </row>
    <row r="29" spans="1:10" x14ac:dyDescent="0.2">
      <c r="A29" s="220" t="s">
        <v>227</v>
      </c>
      <c r="B29" s="77" t="s">
        <v>293</v>
      </c>
      <c r="C29" s="77" t="s">
        <v>128</v>
      </c>
      <c r="D29" s="82" t="s">
        <v>279</v>
      </c>
      <c r="E29" s="77" t="s">
        <v>228</v>
      </c>
      <c r="F29" s="78" t="s">
        <v>294</v>
      </c>
      <c r="G29" s="73"/>
      <c r="H29" s="79"/>
      <c r="I29" s="80"/>
      <c r="J29" s="81">
        <v>77471.820000000007</v>
      </c>
    </row>
    <row r="30" spans="1:10" x14ac:dyDescent="0.2">
      <c r="A30" s="220" t="s">
        <v>229</v>
      </c>
      <c r="B30" s="77" t="s">
        <v>230</v>
      </c>
      <c r="C30" s="77" t="s">
        <v>280</v>
      </c>
      <c r="D30" s="82" t="s">
        <v>279</v>
      </c>
      <c r="E30" s="77" t="s">
        <v>183</v>
      </c>
      <c r="F30" s="78" t="s">
        <v>185</v>
      </c>
      <c r="G30" s="73"/>
      <c r="H30" s="79"/>
      <c r="I30" s="80"/>
      <c r="J30" s="81">
        <v>0</v>
      </c>
    </row>
    <row r="31" spans="1:10" x14ac:dyDescent="0.2">
      <c r="A31" s="220" t="s">
        <v>235</v>
      </c>
      <c r="B31" s="77" t="s">
        <v>295</v>
      </c>
      <c r="C31" s="77" t="s">
        <v>281</v>
      </c>
      <c r="D31" s="82" t="s">
        <v>279</v>
      </c>
      <c r="E31" s="77" t="s">
        <v>236</v>
      </c>
      <c r="F31" s="78" t="s">
        <v>185</v>
      </c>
      <c r="G31" s="73"/>
      <c r="H31" s="79"/>
      <c r="I31" s="80"/>
      <c r="J31" s="81">
        <v>1304</v>
      </c>
    </row>
    <row r="32" spans="1:10" x14ac:dyDescent="0.2">
      <c r="A32" s="220" t="s">
        <v>231</v>
      </c>
      <c r="B32" s="77" t="s">
        <v>296</v>
      </c>
      <c r="C32" s="77" t="s">
        <v>222</v>
      </c>
      <c r="D32" s="82" t="s">
        <v>279</v>
      </c>
      <c r="E32" s="77" t="s">
        <v>183</v>
      </c>
      <c r="F32" s="78" t="s">
        <v>282</v>
      </c>
      <c r="G32" s="73"/>
      <c r="H32" s="79"/>
      <c r="I32" s="80"/>
      <c r="J32" s="81">
        <v>4950</v>
      </c>
    </row>
    <row r="33" spans="1:10" x14ac:dyDescent="0.2">
      <c r="A33" s="220" t="s">
        <v>232</v>
      </c>
      <c r="B33" s="77" t="s">
        <v>233</v>
      </c>
      <c r="C33" s="77" t="s">
        <v>223</v>
      </c>
      <c r="D33" s="82" t="s">
        <v>279</v>
      </c>
      <c r="E33" s="77" t="s">
        <v>176</v>
      </c>
      <c r="F33" s="78" t="s">
        <v>282</v>
      </c>
      <c r="G33" s="73"/>
      <c r="H33" s="79"/>
      <c r="I33" s="80"/>
      <c r="J33" s="81">
        <v>82000</v>
      </c>
    </row>
    <row r="34" spans="1:10" x14ac:dyDescent="0.2">
      <c r="A34" s="220" t="s">
        <v>297</v>
      </c>
      <c r="B34" s="77" t="s">
        <v>298</v>
      </c>
      <c r="C34" s="77" t="s">
        <v>299</v>
      </c>
      <c r="D34" s="82" t="s">
        <v>279</v>
      </c>
      <c r="E34" s="77" t="s">
        <v>86</v>
      </c>
      <c r="F34" s="78" t="s">
        <v>276</v>
      </c>
      <c r="G34" s="73"/>
      <c r="H34" s="79"/>
      <c r="I34" s="80"/>
      <c r="J34" s="81">
        <v>25825.53</v>
      </c>
    </row>
    <row r="35" spans="1:10" x14ac:dyDescent="0.2">
      <c r="A35" s="220" t="s">
        <v>226</v>
      </c>
      <c r="B35" s="77" t="s">
        <v>300</v>
      </c>
      <c r="C35" s="77" t="s">
        <v>221</v>
      </c>
      <c r="D35" s="82" t="s">
        <v>279</v>
      </c>
      <c r="E35" s="77" t="s">
        <v>225</v>
      </c>
      <c r="F35" s="78" t="s">
        <v>276</v>
      </c>
      <c r="G35" s="73"/>
      <c r="H35" s="79"/>
      <c r="I35" s="80"/>
      <c r="J35" s="81">
        <v>26302.86</v>
      </c>
    </row>
    <row r="36" spans="1:10" x14ac:dyDescent="0.2">
      <c r="A36" s="220" t="s">
        <v>301</v>
      </c>
      <c r="B36" s="77" t="s">
        <v>302</v>
      </c>
      <c r="C36" s="77" t="s">
        <v>303</v>
      </c>
      <c r="D36" s="82" t="s">
        <v>279</v>
      </c>
      <c r="E36" s="77" t="s">
        <v>86</v>
      </c>
      <c r="F36" s="78" t="s">
        <v>276</v>
      </c>
      <c r="G36" s="73"/>
      <c r="H36" s="79"/>
      <c r="I36" s="80"/>
      <c r="J36" s="81">
        <v>20898.3</v>
      </c>
    </row>
    <row r="37" spans="1:10" x14ac:dyDescent="0.2">
      <c r="A37" s="220" t="s">
        <v>313</v>
      </c>
      <c r="B37" s="77" t="s">
        <v>304</v>
      </c>
      <c r="C37" s="77" t="s">
        <v>305</v>
      </c>
      <c r="D37" s="82" t="s">
        <v>279</v>
      </c>
      <c r="E37" s="77" t="s">
        <v>306</v>
      </c>
      <c r="F37" s="78" t="s">
        <v>276</v>
      </c>
      <c r="G37" s="73"/>
      <c r="H37" s="79"/>
      <c r="I37" s="80"/>
      <c r="J37" s="81">
        <v>20885.62</v>
      </c>
    </row>
    <row r="38" spans="1:10" x14ac:dyDescent="0.2">
      <c r="A38" s="220" t="s">
        <v>234</v>
      </c>
      <c r="B38" s="77" t="s">
        <v>307</v>
      </c>
      <c r="C38" s="77" t="s">
        <v>283</v>
      </c>
      <c r="D38" s="82" t="s">
        <v>279</v>
      </c>
      <c r="E38" s="77" t="s">
        <v>170</v>
      </c>
      <c r="F38" s="78" t="s">
        <v>276</v>
      </c>
      <c r="G38" s="73"/>
      <c r="H38" s="79"/>
      <c r="I38" s="80"/>
      <c r="J38" s="81">
        <v>74456.34</v>
      </c>
    </row>
    <row r="39" spans="1:10" x14ac:dyDescent="0.2">
      <c r="A39" s="220" t="s">
        <v>314</v>
      </c>
      <c r="B39" s="77" t="s">
        <v>308</v>
      </c>
      <c r="C39" s="77" t="s">
        <v>309</v>
      </c>
      <c r="D39" s="82" t="s">
        <v>279</v>
      </c>
      <c r="E39" s="77" t="s">
        <v>284</v>
      </c>
      <c r="F39" s="78" t="s">
        <v>276</v>
      </c>
      <c r="G39" s="73"/>
      <c r="H39" s="79"/>
      <c r="I39" s="80"/>
      <c r="J39" s="81">
        <v>61008.55</v>
      </c>
    </row>
    <row r="40" spans="1:10" x14ac:dyDescent="0.2">
      <c r="A40" s="220" t="s">
        <v>237</v>
      </c>
      <c r="B40" s="77" t="s">
        <v>310</v>
      </c>
      <c r="C40" s="77" t="s">
        <v>285</v>
      </c>
      <c r="D40" s="82" t="s">
        <v>279</v>
      </c>
      <c r="E40" s="77" t="s">
        <v>286</v>
      </c>
      <c r="F40" s="78" t="s">
        <v>188</v>
      </c>
      <c r="G40" s="73"/>
      <c r="H40" s="79"/>
      <c r="I40" s="80"/>
      <c r="J40" s="81">
        <v>107303.85999999999</v>
      </c>
    </row>
    <row r="41" spans="1:10" x14ac:dyDescent="0.2">
      <c r="A41" s="220" t="s">
        <v>127</v>
      </c>
      <c r="B41" s="77" t="s">
        <v>126</v>
      </c>
      <c r="C41" s="77" t="s">
        <v>311</v>
      </c>
      <c r="D41" s="82" t="s">
        <v>279</v>
      </c>
      <c r="E41" s="77" t="s">
        <v>195</v>
      </c>
      <c r="F41" s="78" t="s">
        <v>188</v>
      </c>
      <c r="G41" s="73"/>
      <c r="H41" s="79"/>
      <c r="I41" s="80"/>
      <c r="J41" s="81">
        <v>1120408.71</v>
      </c>
    </row>
    <row r="42" spans="1:10" x14ac:dyDescent="0.2">
      <c r="A42" s="220" t="s">
        <v>315</v>
      </c>
      <c r="B42" s="77" t="s">
        <v>125</v>
      </c>
      <c r="C42" s="77" t="s">
        <v>287</v>
      </c>
      <c r="D42" s="82" t="s">
        <v>279</v>
      </c>
      <c r="E42" s="77" t="s">
        <v>224</v>
      </c>
      <c r="F42" s="78" t="s">
        <v>276</v>
      </c>
      <c r="G42" s="73"/>
      <c r="H42" s="79"/>
      <c r="I42" s="80"/>
      <c r="J42" s="81">
        <v>5555</v>
      </c>
    </row>
    <row r="43" spans="1:10" x14ac:dyDescent="0.2">
      <c r="A43" s="220" t="s">
        <v>238</v>
      </c>
      <c r="B43" s="77" t="s">
        <v>312</v>
      </c>
      <c r="C43" s="77" t="s">
        <v>274</v>
      </c>
      <c r="D43" s="82" t="s">
        <v>279</v>
      </c>
      <c r="E43" s="77" t="s">
        <v>170</v>
      </c>
      <c r="F43" s="78" t="s">
        <v>276</v>
      </c>
      <c r="G43" s="73"/>
      <c r="H43" s="79"/>
      <c r="I43" s="80"/>
      <c r="J43" s="81">
        <v>0</v>
      </c>
    </row>
    <row r="44" spans="1:10" ht="15.75" thickBot="1" x14ac:dyDescent="0.25">
      <c r="A44" s="95"/>
      <c r="B44" s="96"/>
      <c r="C44" s="96"/>
      <c r="D44" s="96"/>
      <c r="E44" s="96"/>
      <c r="F44" s="97"/>
      <c r="G44" s="73"/>
      <c r="H44" s="98"/>
      <c r="I44" s="99"/>
      <c r="J44" s="99"/>
    </row>
  </sheetData>
  <mergeCells count="1">
    <mergeCell ref="H1:J1"/>
  </mergeCells>
  <hyperlinks>
    <hyperlink ref="A26" location="'Working Doc-FacOps'!PCP_16_017" display="PCP/16/017"/>
    <hyperlink ref="A22" location="PCP_16_022" display="PCP/16/022"/>
    <hyperlink ref="A21" location="PCP_16_022" display="PCP/16/022"/>
    <hyperlink ref="A20" location="FacOps_16_001" display="FacOps/16/001"/>
    <hyperlink ref="A4" location="Project_Management" display="Project Management"/>
    <hyperlink ref="A5" location="Health___Safety" display="Health &amp; Safety"/>
    <hyperlink ref="A17" location="PCP_16_018" display="PCP/16/018"/>
    <hyperlink ref="A18" location="PCP_16_019" display="PCP/16/019"/>
    <hyperlink ref="A19" location="PCP_16_020" display="PCP/16/020"/>
    <hyperlink ref="A11" location="PCP_15_009" display="PCP/15/009"/>
    <hyperlink ref="A13" location="PCP_16_006" display="PCP/16/006"/>
    <hyperlink ref="A16" location="PCP_16_016" display="PCP/16/016"/>
    <hyperlink ref="A15" location="PCP_16_010" display="PCP/16/010"/>
    <hyperlink ref="A14" location="PCP_16_007" display="PCP/16/007"/>
    <hyperlink ref="A12" location="PCP_15_014" display="PCP/15/014"/>
    <hyperlink ref="A10" location="PCP_15_007" display="PCP/15/007"/>
    <hyperlink ref="A9" location="PCP_15_006" display="PCP/15/006"/>
    <hyperlink ref="A8" location="PCP_15_003" display="PCP/15/003"/>
    <hyperlink ref="A7" location="PCP_14_007" display="PCP/14/007"/>
    <hyperlink ref="A6" location="PCP_12_033" display="PCP/12/033"/>
    <hyperlink ref="A3" location="Commercial" display="Commercial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workbookViewId="0">
      <selection activeCell="J15" sqref="J15"/>
    </sheetView>
  </sheetViews>
  <sheetFormatPr defaultRowHeight="15" x14ac:dyDescent="0.2"/>
  <cols>
    <col min="8" max="8" width="9.88671875" bestFit="1" customWidth="1"/>
  </cols>
  <sheetData>
    <row r="1" spans="1:9" x14ac:dyDescent="0.2">
      <c r="A1" s="5" t="s">
        <v>32</v>
      </c>
      <c r="B1" s="12" t="s">
        <v>28</v>
      </c>
      <c r="D1" t="s">
        <v>239</v>
      </c>
      <c r="E1" t="s">
        <v>239</v>
      </c>
      <c r="F1" t="s">
        <v>239</v>
      </c>
      <c r="H1" s="246">
        <f ca="1">TODAY()</f>
        <v>42769</v>
      </c>
      <c r="I1">
        <v>0</v>
      </c>
    </row>
    <row r="2" spans="1:9" x14ac:dyDescent="0.2">
      <c r="A2" s="5" t="s">
        <v>36</v>
      </c>
      <c r="B2" s="12" t="s">
        <v>28</v>
      </c>
      <c r="D2" t="s">
        <v>241</v>
      </c>
      <c r="E2" t="s">
        <v>240</v>
      </c>
      <c r="F2" t="s">
        <v>260</v>
      </c>
      <c r="H2" s="246">
        <f ca="1">TODAY()</f>
        <v>42769</v>
      </c>
      <c r="I2">
        <v>1</v>
      </c>
    </row>
    <row r="3" spans="1:9" x14ac:dyDescent="0.2">
      <c r="A3" s="5" t="s">
        <v>37</v>
      </c>
      <c r="B3" s="12" t="s">
        <v>28</v>
      </c>
      <c r="E3" t="s">
        <v>241</v>
      </c>
      <c r="F3" t="s">
        <v>241</v>
      </c>
    </row>
    <row r="4" spans="1:9" x14ac:dyDescent="0.2">
      <c r="A4" s="5" t="s">
        <v>38</v>
      </c>
      <c r="B4" s="12" t="s">
        <v>28</v>
      </c>
    </row>
    <row r="5" spans="1:9" x14ac:dyDescent="0.2">
      <c r="A5" s="6" t="s">
        <v>33</v>
      </c>
      <c r="B5" s="12" t="s">
        <v>28</v>
      </c>
    </row>
    <row r="6" spans="1:9" x14ac:dyDescent="0.2">
      <c r="A6" s="6" t="s">
        <v>39</v>
      </c>
      <c r="B6" s="12" t="s">
        <v>28</v>
      </c>
    </row>
    <row r="7" spans="1:9" x14ac:dyDescent="0.2">
      <c r="A7" s="6" t="s">
        <v>40</v>
      </c>
      <c r="B7" s="12" t="s">
        <v>28</v>
      </c>
    </row>
    <row r="8" spans="1:9" x14ac:dyDescent="0.2">
      <c r="A8" s="6" t="s">
        <v>41</v>
      </c>
      <c r="B8" s="12" t="s">
        <v>28</v>
      </c>
    </row>
    <row r="9" spans="1:9" x14ac:dyDescent="0.2">
      <c r="A9" s="6" t="s">
        <v>42</v>
      </c>
      <c r="B9" s="12" t="s">
        <v>28</v>
      </c>
    </row>
    <row r="10" spans="1:9" x14ac:dyDescent="0.2">
      <c r="A10" s="6" t="s">
        <v>43</v>
      </c>
      <c r="B10" s="12" t="s">
        <v>28</v>
      </c>
    </row>
    <row r="11" spans="1:9" x14ac:dyDescent="0.2">
      <c r="A11" s="2" t="s">
        <v>34</v>
      </c>
      <c r="B11" s="11" t="s">
        <v>30</v>
      </c>
    </row>
    <row r="12" spans="1:9" x14ac:dyDescent="0.2">
      <c r="A12" s="2" t="s">
        <v>44</v>
      </c>
      <c r="B12" s="11" t="s">
        <v>30</v>
      </c>
    </row>
    <row r="13" spans="1:9" x14ac:dyDescent="0.2">
      <c r="A13" s="2" t="s">
        <v>45</v>
      </c>
      <c r="B13" s="11" t="s">
        <v>30</v>
      </c>
    </row>
    <row r="14" spans="1:9" x14ac:dyDescent="0.2">
      <c r="A14" s="2" t="s">
        <v>46</v>
      </c>
      <c r="B14" s="11" t="s">
        <v>30</v>
      </c>
    </row>
    <row r="15" spans="1:9" x14ac:dyDescent="0.2">
      <c r="A15" s="7" t="s">
        <v>35</v>
      </c>
      <c r="B15" s="11" t="s">
        <v>30</v>
      </c>
    </row>
    <row r="16" spans="1:9" x14ac:dyDescent="0.2">
      <c r="A16" s="7" t="s">
        <v>47</v>
      </c>
      <c r="B16" s="12" t="s">
        <v>28</v>
      </c>
    </row>
    <row r="17" spans="1:2" x14ac:dyDescent="0.2">
      <c r="A17" s="2" t="s">
        <v>28</v>
      </c>
      <c r="B17" s="12" t="s">
        <v>28</v>
      </c>
    </row>
    <row r="18" spans="1:2" x14ac:dyDescent="0.2">
      <c r="A18" s="2" t="s">
        <v>48</v>
      </c>
      <c r="B18" s="12" t="s">
        <v>28</v>
      </c>
    </row>
    <row r="19" spans="1:2" x14ac:dyDescent="0.2">
      <c r="A19" s="2" t="s">
        <v>49</v>
      </c>
      <c r="B19" s="12" t="s">
        <v>28</v>
      </c>
    </row>
    <row r="20" spans="1:2" x14ac:dyDescent="0.2">
      <c r="A20" s="2" t="s">
        <v>30</v>
      </c>
      <c r="B20" s="11" t="s">
        <v>30</v>
      </c>
    </row>
    <row r="21" spans="1:2" x14ac:dyDescent="0.2">
      <c r="A21" s="2" t="s">
        <v>50</v>
      </c>
      <c r="B21" s="11" t="s">
        <v>30</v>
      </c>
    </row>
    <row r="22" spans="1:2" x14ac:dyDescent="0.2">
      <c r="A22" s="2" t="s">
        <v>51</v>
      </c>
      <c r="B22" s="11" t="s">
        <v>30</v>
      </c>
    </row>
    <row r="23" spans="1:2" x14ac:dyDescent="0.2">
      <c r="A23" s="2" t="s">
        <v>52</v>
      </c>
      <c r="B23" s="12" t="s">
        <v>28</v>
      </c>
    </row>
    <row r="24" spans="1:2" x14ac:dyDescent="0.2">
      <c r="A24" s="2" t="s">
        <v>53</v>
      </c>
      <c r="B24" s="12" t="s">
        <v>28</v>
      </c>
    </row>
    <row r="25" spans="1:2" x14ac:dyDescent="0.2">
      <c r="A25" s="2" t="s">
        <v>54</v>
      </c>
      <c r="B25" s="11" t="s">
        <v>30</v>
      </c>
    </row>
    <row r="26" spans="1:2" x14ac:dyDescent="0.2">
      <c r="A26" s="2" t="s">
        <v>55</v>
      </c>
      <c r="B26" s="12" t="s">
        <v>28</v>
      </c>
    </row>
    <row r="27" spans="1:2" x14ac:dyDescent="0.2">
      <c r="A27" s="2" t="s">
        <v>56</v>
      </c>
      <c r="B27" s="12" t="s">
        <v>28</v>
      </c>
    </row>
    <row r="28" spans="1:2" x14ac:dyDescent="0.2">
      <c r="A28" s="2" t="s">
        <v>57</v>
      </c>
      <c r="B28" s="11" t="s">
        <v>30</v>
      </c>
    </row>
    <row r="29" spans="1:2" x14ac:dyDescent="0.2">
      <c r="A29" s="2" t="s">
        <v>58</v>
      </c>
      <c r="B29" s="11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C4"/>
  <sheetViews>
    <sheetView showGridLines="0" workbookViewId="0">
      <selection activeCell="C4" sqref="C4"/>
    </sheetView>
  </sheetViews>
  <sheetFormatPr defaultRowHeight="15" x14ac:dyDescent="0.2"/>
  <cols>
    <col min="2" max="2" width="13" customWidth="1"/>
    <col min="3" max="3" width="17.77734375" customWidth="1"/>
  </cols>
  <sheetData>
    <row r="3" spans="2:3" ht="15.75" thickBot="1" x14ac:dyDescent="0.25"/>
    <row r="4" spans="2:3" ht="15.75" thickBot="1" x14ac:dyDescent="0.25">
      <c r="B4" s="9" t="s">
        <v>59</v>
      </c>
      <c r="C4" s="10" t="s">
        <v>31</v>
      </c>
    </row>
  </sheetData>
  <dataValidations count="1">
    <dataValidation type="list" allowBlank="1" showInputMessage="1" showErrorMessage="1" sqref="C4">
      <formula1>#REF!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4"/>
  <sheetViews>
    <sheetView workbookViewId="0">
      <selection activeCell="B34" sqref="B34"/>
    </sheetView>
  </sheetViews>
  <sheetFormatPr defaultRowHeight="11.25" x14ac:dyDescent="0.2"/>
  <cols>
    <col min="1" max="1" width="36.6640625" style="1" bestFit="1" customWidth="1"/>
    <col min="2" max="2" width="28.21875" style="1" bestFit="1" customWidth="1"/>
    <col min="3" max="16384" width="8.88671875" style="1"/>
  </cols>
  <sheetData>
    <row r="1" spans="1:2" x14ac:dyDescent="0.2">
      <c r="A1" s="1" t="s">
        <v>82</v>
      </c>
      <c r="B1" s="1" t="s">
        <v>82</v>
      </c>
    </row>
    <row r="2" spans="1:2" x14ac:dyDescent="0.2">
      <c r="A2" s="1" t="s">
        <v>83</v>
      </c>
      <c r="B2" s="1" t="s">
        <v>83</v>
      </c>
    </row>
    <row r="3" spans="1:2" x14ac:dyDescent="0.2">
      <c r="A3" s="1" t="s">
        <v>86</v>
      </c>
      <c r="B3" s="1" t="s">
        <v>86</v>
      </c>
    </row>
    <row r="4" spans="1:2" x14ac:dyDescent="0.2">
      <c r="A4" s="1" t="s">
        <v>345</v>
      </c>
      <c r="B4" s="1" t="s">
        <v>70</v>
      </c>
    </row>
    <row r="5" spans="1:2" x14ac:dyDescent="0.2">
      <c r="A5" s="1" t="s">
        <v>346</v>
      </c>
      <c r="B5" s="1" t="s">
        <v>68</v>
      </c>
    </row>
    <row r="6" spans="1:2" x14ac:dyDescent="0.2">
      <c r="A6" s="1" t="s">
        <v>347</v>
      </c>
      <c r="B6" s="1" t="s">
        <v>67</v>
      </c>
    </row>
    <row r="7" spans="1:2" x14ac:dyDescent="0.2">
      <c r="A7" s="1" t="s">
        <v>348</v>
      </c>
      <c r="B7" s="1" t="s">
        <v>61</v>
      </c>
    </row>
    <row r="8" spans="1:2" x14ac:dyDescent="0.2">
      <c r="A8" s="1" t="s">
        <v>349</v>
      </c>
      <c r="B8" s="1" t="s">
        <v>65</v>
      </c>
    </row>
    <row r="9" spans="1:2" x14ac:dyDescent="0.2">
      <c r="A9" s="1" t="s">
        <v>350</v>
      </c>
      <c r="B9" s="1" t="s">
        <v>65</v>
      </c>
    </row>
    <row r="10" spans="1:2" x14ac:dyDescent="0.2">
      <c r="A10" s="1" t="s">
        <v>351</v>
      </c>
      <c r="B10" s="1" t="s">
        <v>66</v>
      </c>
    </row>
    <row r="11" spans="1:2" x14ac:dyDescent="0.2">
      <c r="A11" s="1" t="s">
        <v>352</v>
      </c>
      <c r="B11" s="1" t="s">
        <v>64</v>
      </c>
    </row>
    <row r="12" spans="1:2" x14ac:dyDescent="0.2">
      <c r="A12" s="1" t="s">
        <v>353</v>
      </c>
      <c r="B12" s="1" t="s">
        <v>63</v>
      </c>
    </row>
    <row r="13" spans="1:2" x14ac:dyDescent="0.2">
      <c r="A13" s="1" t="s">
        <v>354</v>
      </c>
      <c r="B13" s="1" t="s">
        <v>72</v>
      </c>
    </row>
    <row r="14" spans="1:2" x14ac:dyDescent="0.2">
      <c r="A14" s="1" t="s">
        <v>355</v>
      </c>
      <c r="B14" s="1" t="s">
        <v>81</v>
      </c>
    </row>
    <row r="15" spans="1:2" x14ac:dyDescent="0.2">
      <c r="A15" s="1" t="s">
        <v>356</v>
      </c>
      <c r="B15" s="1" t="s">
        <v>71</v>
      </c>
    </row>
    <row r="16" spans="1:2" x14ac:dyDescent="0.2">
      <c r="A16" s="1" t="s">
        <v>357</v>
      </c>
      <c r="B16" s="1" t="s">
        <v>62</v>
      </c>
    </row>
    <row r="17" spans="1:2" x14ac:dyDescent="0.2">
      <c r="A17" s="1" t="s">
        <v>358</v>
      </c>
      <c r="B17" s="1" t="s">
        <v>358</v>
      </c>
    </row>
    <row r="18" spans="1:2" x14ac:dyDescent="0.2">
      <c r="A18" s="1" t="s">
        <v>359</v>
      </c>
      <c r="B18" s="1" t="s">
        <v>75</v>
      </c>
    </row>
    <row r="19" spans="1:2" x14ac:dyDescent="0.2">
      <c r="A19" s="1" t="s">
        <v>360</v>
      </c>
      <c r="B19" s="1" t="s">
        <v>73</v>
      </c>
    </row>
    <row r="20" spans="1:2" x14ac:dyDescent="0.2">
      <c r="A20" s="1" t="s">
        <v>170</v>
      </c>
      <c r="B20" s="1" t="s">
        <v>85</v>
      </c>
    </row>
    <row r="21" spans="1:2" x14ac:dyDescent="0.2">
      <c r="A21" s="1" t="s">
        <v>361</v>
      </c>
      <c r="B21" s="1" t="s">
        <v>76</v>
      </c>
    </row>
    <row r="22" spans="1:2" x14ac:dyDescent="0.2">
      <c r="A22" s="1" t="s">
        <v>362</v>
      </c>
      <c r="B22" s="1" t="s">
        <v>60</v>
      </c>
    </row>
    <row r="23" spans="1:2" x14ac:dyDescent="0.2">
      <c r="A23" s="1" t="s">
        <v>284</v>
      </c>
      <c r="B23" s="1" t="s">
        <v>284</v>
      </c>
    </row>
    <row r="24" spans="1:2" x14ac:dyDescent="0.2">
      <c r="A24" s="1" t="s">
        <v>363</v>
      </c>
      <c r="B24" s="1" t="s">
        <v>74</v>
      </c>
    </row>
    <row r="25" spans="1:2" x14ac:dyDescent="0.2">
      <c r="A25" s="1" t="s">
        <v>364</v>
      </c>
      <c r="B25" s="1" t="s">
        <v>69</v>
      </c>
    </row>
    <row r="26" spans="1:2" x14ac:dyDescent="0.2">
      <c r="A26" s="1" t="s">
        <v>183</v>
      </c>
      <c r="B26" s="1" t="s">
        <v>183</v>
      </c>
    </row>
    <row r="27" spans="1:2" x14ac:dyDescent="0.2">
      <c r="A27" s="1" t="s">
        <v>291</v>
      </c>
      <c r="B27" s="1" t="s">
        <v>291</v>
      </c>
    </row>
    <row r="28" spans="1:2" x14ac:dyDescent="0.2">
      <c r="A28" s="1" t="s">
        <v>365</v>
      </c>
      <c r="B28" s="1" t="s">
        <v>77</v>
      </c>
    </row>
    <row r="29" spans="1:2" x14ac:dyDescent="0.2">
      <c r="A29" s="1" t="s">
        <v>366</v>
      </c>
      <c r="B29" s="1" t="s">
        <v>78</v>
      </c>
    </row>
    <row r="30" spans="1:2" x14ac:dyDescent="0.2">
      <c r="A30" s="1" t="s">
        <v>367</v>
      </c>
      <c r="B30" s="1" t="s">
        <v>79</v>
      </c>
    </row>
    <row r="31" spans="1:2" x14ac:dyDescent="0.2">
      <c r="A31" s="1" t="s">
        <v>84</v>
      </c>
      <c r="B31" s="1" t="s">
        <v>84</v>
      </c>
    </row>
    <row r="32" spans="1:2" x14ac:dyDescent="0.2">
      <c r="A32" s="1" t="s">
        <v>368</v>
      </c>
      <c r="B32" s="1" t="s">
        <v>80</v>
      </c>
    </row>
    <row r="33" spans="1:2" x14ac:dyDescent="0.2">
      <c r="A33" s="1" t="s">
        <v>243</v>
      </c>
      <c r="B33" s="1" t="s">
        <v>244</v>
      </c>
    </row>
    <row r="34" spans="1:2" x14ac:dyDescent="0.2">
      <c r="A34" s="1" t="s">
        <v>256</v>
      </c>
      <c r="B34" s="1" t="s">
        <v>257</v>
      </c>
    </row>
  </sheetData>
  <sortState ref="A1:B34">
    <sortCondition ref="A5:A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"/>
  <sheetViews>
    <sheetView workbookViewId="0">
      <selection activeCell="L38" sqref="L38"/>
    </sheetView>
  </sheetViews>
  <sheetFormatPr defaultRowHeight="12.75" x14ac:dyDescent="0.2"/>
  <cols>
    <col min="1" max="1" width="15" style="8" bestFit="1" customWidth="1"/>
    <col min="2" max="2" width="11.6640625" style="8" bestFit="1" customWidth="1"/>
    <col min="3" max="3" width="9" style="8" bestFit="1" customWidth="1"/>
    <col min="4" max="16384" width="8.88671875" style="8"/>
  </cols>
  <sheetData>
    <row r="1" spans="1:3" x14ac:dyDescent="0.2">
      <c r="A1" s="8" t="s">
        <v>336</v>
      </c>
      <c r="B1" s="8" t="s">
        <v>370</v>
      </c>
      <c r="C1" s="8" t="s">
        <v>371</v>
      </c>
    </row>
    <row r="2" spans="1:3" x14ac:dyDescent="0.2">
      <c r="A2" s="8" t="s">
        <v>87</v>
      </c>
    </row>
    <row r="3" spans="1:3" x14ac:dyDescent="0.2">
      <c r="A3" s="8" t="s">
        <v>378</v>
      </c>
    </row>
    <row r="4" spans="1:3" x14ac:dyDescent="0.2">
      <c r="A4" s="8" t="s">
        <v>89</v>
      </c>
    </row>
    <row r="5" spans="1:3" x14ac:dyDescent="0.2">
      <c r="A5" s="8" t="s">
        <v>88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65"/>
  <sheetViews>
    <sheetView zoomScaleNormal="100" workbookViewId="0">
      <selection activeCell="E5" sqref="E5"/>
    </sheetView>
  </sheetViews>
  <sheetFormatPr defaultRowHeight="15" x14ac:dyDescent="0.2"/>
  <cols>
    <col min="1" max="1" width="22.5546875" bestFit="1" customWidth="1"/>
    <col min="2" max="2" width="17.6640625" style="245" bestFit="1" customWidth="1"/>
    <col min="3" max="3" width="51.5546875" style="245" bestFit="1" customWidth="1"/>
    <col min="4" max="4" width="62.88671875" customWidth="1"/>
    <col min="5" max="5" width="22.5546875" bestFit="1" customWidth="1"/>
    <col min="6" max="6" width="15.21875" customWidth="1"/>
    <col min="7" max="7" width="17.5546875" customWidth="1"/>
    <col min="8" max="8" width="16.109375" customWidth="1"/>
    <col min="9" max="9" width="11.33203125" customWidth="1"/>
    <col min="10" max="10" width="9.88671875" bestFit="1" customWidth="1"/>
    <col min="11" max="12" width="20.21875" customWidth="1"/>
  </cols>
  <sheetData>
    <row r="1" spans="1:12" ht="15.75" x14ac:dyDescent="0.25">
      <c r="A1" s="296" t="s">
        <v>140</v>
      </c>
      <c r="B1" s="296" t="s">
        <v>336</v>
      </c>
      <c r="C1" s="296" t="s">
        <v>332</v>
      </c>
      <c r="D1" s="296" t="s">
        <v>328</v>
      </c>
      <c r="E1" s="296" t="s">
        <v>337</v>
      </c>
      <c r="F1" s="296" t="s">
        <v>329</v>
      </c>
      <c r="G1" s="296" t="s">
        <v>333</v>
      </c>
      <c r="H1" s="296" t="s">
        <v>330</v>
      </c>
      <c r="I1" s="296" t="s">
        <v>334</v>
      </c>
      <c r="J1" s="296" t="s">
        <v>331</v>
      </c>
      <c r="K1" s="296" t="s">
        <v>335</v>
      </c>
      <c r="L1" s="296" t="s">
        <v>338</v>
      </c>
    </row>
    <row r="2" spans="1:12" ht="15.75" x14ac:dyDescent="0.25">
      <c r="A2" s="288"/>
      <c r="B2" s="287" t="s">
        <v>87</v>
      </c>
      <c r="C2" s="288" t="e">
        <f t="shared" ref="C2:C6" si="0">IF(D2="","",CONCATENATE(LEFT(D2,54),"...."))</f>
        <v>#N/A</v>
      </c>
      <c r="D2" s="288" t="e">
        <f>VLOOKUP($A2,'Tracker Sheet'!$A$3:$BP$40,3,FALSE)</f>
        <v>#N/A</v>
      </c>
      <c r="E2" s="288" t="str">
        <f>IFERROR(VLOOKUP($A2,'Tracker Sheet'!$A$3:$BP$40,5,FALSE),"")</f>
        <v/>
      </c>
      <c r="F2" s="280" t="e">
        <f>IF(VLOOKUP($A2,'Tracker Sheet'!$A$3:$BP$40,8,FALSE)&lt;&gt;"",VLOOKUP($A2,'Tracker Sheet'!$A$3:$BP$40,8,FALSE),IF(VLOOKUP($A2,'Tracker Sheet'!$A$3:$BP$40,13,FALSE)&lt;&gt;"",VLOOKUP($A2,'Tracker Sheet'!$A$3:$BP$40,13,FALSE),IF(VLOOKUP($A2,'Tracker Sheet'!$A$3:$BP$40,24,FALSE)&lt;&gt;"",VLOOKUP($A2,'Tracker Sheet'!$A$3:$BP$40,24,FALSE),IF(VLOOKUP($A2,'Tracker Sheet'!$A$3:$BP$40,35,FALSE)&lt;&gt;"",VLOOKUP($A2,'Tracker Sheet'!$A$3:$BP$40,35,FALSE),IF(VLOOKUP($A2,'Tracker Sheet'!$A$3:$BP$40,46,FALSE)&lt;&gt;"",VLOOKUP($A2,'Tracker Sheet'!$A$3:$BP$40,46,FALSE),"")))))</f>
        <v>#N/A</v>
      </c>
      <c r="G2" s="290" t="e">
        <f>IF(VLOOKUP($A2,'Tracker Sheet'!$A$3:$BP$40,49,FALSE)&lt;&gt;"",VLOOKUP($A2,'Tracker Sheet'!$A$3:$BP$40,49,FALSE),IF(VLOOKUP($A2,'Tracker Sheet'!$A$3:$BP$40,48,FALSE)&lt;&gt;"",VLOOKUP($A2,'Tracker Sheet'!$A$3:$BP$40,48,FALSE),IF(VLOOKUP($A2,'Tracker Sheet'!$A$3:$BP$40,38,FALSE)&lt;&gt;"",VLOOKUP($A2,'Tracker Sheet'!$A$3:$BP$40,38,FALSE),IF(VLOOKUP($A2,'Tracker Sheet'!$A$3:$BP$40,37,FALSE)&lt;&gt;"",VLOOKUP($A2,'Tracker Sheet'!$A$3:$BP$40,37,FALSE),IF(VLOOKUP($A2,'Tracker Sheet'!$A$3:$BP$40,27,FALSE)&lt;&gt;"",VLOOKUP($A2,'Tracker Sheet'!$A$3:$BP$40,27,FALSE),IF(VLOOKUP($A2,'Tracker Sheet'!$A$3:$BP$40,40,FALSE)&lt;&gt;"",VLOOKUP($A2,'Tracker Sheet'!$A$3:$BP$40,40,FALSE),IF(VLOOKUP($A2,'Tracker Sheet'!$A$3:$BP$40,16,FALSE)&lt;&gt;"",VLOOKUP($A2,'Tracker Sheet'!$A$3:$BP$40,16,FALSE),IF(VLOOKUP($A2,'Tracker Sheet'!$A$3:$BP$40,15,FALSE)&lt;&gt;"",VLOOKUP($A2,'Tracker Sheet'!$A$3:$BP$40,15,FALSE),""))))))))</f>
        <v>#N/A</v>
      </c>
      <c r="H2" s="290" t="e">
        <f t="shared" ref="H2:H6" si="1">IF(G2=0/1/1900,"",G2)</f>
        <v>#N/A</v>
      </c>
      <c r="I2" s="288" t="e">
        <f t="shared" ref="I2:I6" si="2">IF(K2&gt;=0,K2,0)</f>
        <v>#N/A</v>
      </c>
      <c r="J2" s="280">
        <v>42719</v>
      </c>
      <c r="K2" s="288" t="e">
        <f t="shared" ref="K2:K6" si="3">SUM(G2-F2)</f>
        <v>#N/A</v>
      </c>
      <c r="L2" s="288" t="str">
        <f>IFERROR(VLOOKUP($A2,'Tracker Sheet'!$A$3:$BZ$40,78,FALSE),"")</f>
        <v/>
      </c>
    </row>
    <row r="3" spans="1:12" ht="15.75" x14ac:dyDescent="0.25">
      <c r="A3" s="288"/>
      <c r="B3" s="287" t="s">
        <v>378</v>
      </c>
      <c r="C3" s="288" t="e">
        <f t="shared" si="0"/>
        <v>#N/A</v>
      </c>
      <c r="D3" s="288" t="e">
        <f>VLOOKUP($A3,'Tracker Sheet'!$A$3:$BP$40,3,FALSE)</f>
        <v>#N/A</v>
      </c>
      <c r="E3" s="288" t="str">
        <f>IFERROR(VLOOKUP($A3,'Tracker Sheet'!$A$3:$BP$40,5,FALSE),"")</f>
        <v/>
      </c>
      <c r="F3" s="280" t="e">
        <f>IF(VLOOKUP($A3,'Tracker Sheet'!$A$3:$BP$40,8,FALSE)&lt;&gt;"",VLOOKUP($A3,'Tracker Sheet'!$A$3:$BP$40,8,FALSE),IF(VLOOKUP($A3,'Tracker Sheet'!$A$3:$BP$40,13,FALSE)&lt;&gt;"",VLOOKUP($A3,'Tracker Sheet'!$A$3:$BP$40,13,FALSE),IF(VLOOKUP($A3,'Tracker Sheet'!$A$3:$BP$40,24,FALSE)&lt;&gt;"",VLOOKUP($A3,'Tracker Sheet'!$A$3:$BP$40,24,FALSE),IF(VLOOKUP($A3,'Tracker Sheet'!$A$3:$BP$40,35,FALSE)&lt;&gt;"",VLOOKUP($A3,'Tracker Sheet'!$A$3:$BP$40,35,FALSE),IF(VLOOKUP($A3,'Tracker Sheet'!$A$3:$BP$40,46,FALSE)&lt;&gt;"",VLOOKUP($A3,'Tracker Sheet'!$A$3:$BP$40,46,FALSE),"")))))</f>
        <v>#N/A</v>
      </c>
      <c r="G3" s="290" t="e">
        <f>IF(VLOOKUP($A3,'Tracker Sheet'!$A$3:$BP$40,49,FALSE)&lt;&gt;"",VLOOKUP($A3,'Tracker Sheet'!$A$3:$BP$40,49,FALSE),IF(VLOOKUP($A3,'Tracker Sheet'!$A$3:$BP$40,48,FALSE)&lt;&gt;"",VLOOKUP($A3,'Tracker Sheet'!$A$3:$BP$40,48,FALSE),IF(VLOOKUP($A3,'Tracker Sheet'!$A$3:$BP$40,38,FALSE)&lt;&gt;"",VLOOKUP($A3,'Tracker Sheet'!$A$3:$BP$40,38,FALSE),IF(VLOOKUP($A3,'Tracker Sheet'!$A$3:$BP$40,37,FALSE)&lt;&gt;"",VLOOKUP($A3,'Tracker Sheet'!$A$3:$BP$40,37,FALSE),IF(VLOOKUP($A3,'Tracker Sheet'!$A$3:$BP$40,27,FALSE)&lt;&gt;"",VLOOKUP($A3,'Tracker Sheet'!$A$3:$BP$40,27,FALSE),IF(VLOOKUP($A3,'Tracker Sheet'!$A$3:$BP$40,40,FALSE)&lt;&gt;"",VLOOKUP($A3,'Tracker Sheet'!$A$3:$BP$40,40,FALSE),IF(VLOOKUP($A3,'Tracker Sheet'!$A$3:$BP$40,16,FALSE)&lt;&gt;"",VLOOKUP($A3,'Tracker Sheet'!$A$3:$BP$40,16,FALSE),IF(VLOOKUP($A3,'Tracker Sheet'!$A$3:$BP$40,15,FALSE)&lt;&gt;"",VLOOKUP($A3,'Tracker Sheet'!$A$3:$BP$40,15,FALSE),""))))))))</f>
        <v>#N/A</v>
      </c>
      <c r="H3" s="290" t="e">
        <f t="shared" si="1"/>
        <v>#N/A</v>
      </c>
      <c r="I3" s="288" t="e">
        <f t="shared" si="2"/>
        <v>#N/A</v>
      </c>
      <c r="J3" s="280">
        <v>42719</v>
      </c>
      <c r="K3" s="288" t="e">
        <f t="shared" si="3"/>
        <v>#N/A</v>
      </c>
      <c r="L3" s="288" t="str">
        <f>IFERROR(VLOOKUP($A3,'Tracker Sheet'!$A$3:$BZ$40,78,FALSE),"")</f>
        <v/>
      </c>
    </row>
    <row r="4" spans="1:12" ht="15.75" x14ac:dyDescent="0.25">
      <c r="A4" s="288"/>
      <c r="B4" s="287" t="s">
        <v>89</v>
      </c>
      <c r="C4" s="288" t="e">
        <f t="shared" si="0"/>
        <v>#N/A</v>
      </c>
      <c r="D4" s="288" t="e">
        <f>VLOOKUP($A4,'Tracker Sheet'!$A$3:$BP$40,3,FALSE)</f>
        <v>#N/A</v>
      </c>
      <c r="E4" s="288" t="str">
        <f>IFERROR(VLOOKUP($A4,'Tracker Sheet'!$A$3:$BP$40,5,FALSE),"")</f>
        <v/>
      </c>
      <c r="F4" s="280" t="e">
        <f>IF(VLOOKUP($A4,'Tracker Sheet'!$A$3:$BP$40,8,FALSE)&lt;&gt;"",VLOOKUP($A4,'Tracker Sheet'!$A$3:$BP$40,8,FALSE),IF(VLOOKUP($A4,'Tracker Sheet'!$A$3:$BP$40,13,FALSE)&lt;&gt;"",VLOOKUP($A4,'Tracker Sheet'!$A$3:$BP$40,13,FALSE),IF(VLOOKUP($A4,'Tracker Sheet'!$A$3:$BP$40,24,FALSE)&lt;&gt;"",VLOOKUP($A4,'Tracker Sheet'!$A$3:$BP$40,24,FALSE),IF(VLOOKUP($A4,'Tracker Sheet'!$A$3:$BP$40,35,FALSE)&lt;&gt;"",VLOOKUP($A4,'Tracker Sheet'!$A$3:$BP$40,35,FALSE),IF(VLOOKUP($A4,'Tracker Sheet'!$A$3:$BP$40,46,FALSE)&lt;&gt;"",VLOOKUP($A4,'Tracker Sheet'!$A$3:$BP$40,46,FALSE),"")))))</f>
        <v>#N/A</v>
      </c>
      <c r="G4" s="290" t="e">
        <f>IF(VLOOKUP($A4,'Tracker Sheet'!$A$3:$BP$40,49,FALSE)&lt;&gt;"",VLOOKUP($A4,'Tracker Sheet'!$A$3:$BP$40,49,FALSE),IF(VLOOKUP($A4,'Tracker Sheet'!$A$3:$BP$40,48,FALSE)&lt;&gt;"",VLOOKUP($A4,'Tracker Sheet'!$A$3:$BP$40,48,FALSE),IF(VLOOKUP($A4,'Tracker Sheet'!$A$3:$BP$40,38,FALSE)&lt;&gt;"",VLOOKUP($A4,'Tracker Sheet'!$A$3:$BP$40,38,FALSE),IF(VLOOKUP($A4,'Tracker Sheet'!$A$3:$BP$40,37,FALSE)&lt;&gt;"",VLOOKUP($A4,'Tracker Sheet'!$A$3:$BP$40,37,FALSE),IF(VLOOKUP($A4,'Tracker Sheet'!$A$3:$BP$40,27,FALSE)&lt;&gt;"",VLOOKUP($A4,'Tracker Sheet'!$A$3:$BP$40,27,FALSE),IF(VLOOKUP($A4,'Tracker Sheet'!$A$3:$BP$40,40,FALSE)&lt;&gt;"",VLOOKUP($A4,'Tracker Sheet'!$A$3:$BP$40,40,FALSE),IF(VLOOKUP($A4,'Tracker Sheet'!$A$3:$BP$40,16,FALSE)&lt;&gt;"",VLOOKUP($A4,'Tracker Sheet'!$A$3:$BP$40,16,FALSE),IF(VLOOKUP($A4,'Tracker Sheet'!$A$3:$BP$40,15,FALSE)&lt;&gt;"",VLOOKUP($A4,'Tracker Sheet'!$A$3:$BP$40,15,FALSE),""))))))))</f>
        <v>#N/A</v>
      </c>
      <c r="H4" s="290" t="e">
        <f t="shared" si="1"/>
        <v>#N/A</v>
      </c>
      <c r="I4" s="288" t="e">
        <f t="shared" si="2"/>
        <v>#N/A</v>
      </c>
      <c r="J4" s="280">
        <v>42719</v>
      </c>
      <c r="K4" s="288" t="e">
        <f t="shared" si="3"/>
        <v>#N/A</v>
      </c>
      <c r="L4" s="288" t="str">
        <f>IFERROR(VLOOKUP($A4,'Tracker Sheet'!$A$3:$BZ$40,78,FALSE),"")</f>
        <v/>
      </c>
    </row>
    <row r="5" spans="1:12" ht="15.75" x14ac:dyDescent="0.25">
      <c r="A5" s="288"/>
      <c r="B5" s="287" t="s">
        <v>88</v>
      </c>
      <c r="C5" s="288" t="e">
        <f t="shared" si="0"/>
        <v>#N/A</v>
      </c>
      <c r="D5" s="288" t="e">
        <f>VLOOKUP($A5,'Tracker Sheet'!$A$3:$BP$40,3,FALSE)</f>
        <v>#N/A</v>
      </c>
      <c r="E5" s="288" t="str">
        <f>IFERROR(VLOOKUP($A5,'Tracker Sheet'!$A$3:$BP$40,5,FALSE),"")</f>
        <v/>
      </c>
      <c r="F5" s="280" t="e">
        <f>IF(VLOOKUP($A5,'Tracker Sheet'!$A$3:$BP$40,8,FALSE)&lt;&gt;"",VLOOKUP($A5,'Tracker Sheet'!$A$3:$BP$40,8,FALSE),IF(VLOOKUP($A5,'Tracker Sheet'!$A$3:$BP$40,13,FALSE)&lt;&gt;"",VLOOKUP($A5,'Tracker Sheet'!$A$3:$BP$40,13,FALSE),IF(VLOOKUP($A5,'Tracker Sheet'!$A$3:$BP$40,24,FALSE)&lt;&gt;"",VLOOKUP($A5,'Tracker Sheet'!$A$3:$BP$40,24,FALSE),IF(VLOOKUP($A5,'Tracker Sheet'!$A$3:$BP$40,35,FALSE)&lt;&gt;"",VLOOKUP($A5,'Tracker Sheet'!$A$3:$BP$40,35,FALSE),IF(VLOOKUP($A5,'Tracker Sheet'!$A$3:$BP$40,46,FALSE)&lt;&gt;"",VLOOKUP($A5,'Tracker Sheet'!$A$3:$BP$40,46,FALSE),"")))))</f>
        <v>#N/A</v>
      </c>
      <c r="G5" s="290" t="e">
        <f>IF(VLOOKUP($A5,'Tracker Sheet'!$A$3:$BP$40,49,FALSE)&lt;&gt;"",VLOOKUP($A5,'Tracker Sheet'!$A$3:$BP$40,49,FALSE),IF(VLOOKUP($A5,'Tracker Sheet'!$A$3:$BP$40,48,FALSE)&lt;&gt;"",VLOOKUP($A5,'Tracker Sheet'!$A$3:$BP$40,48,FALSE),IF(VLOOKUP($A5,'Tracker Sheet'!$A$3:$BP$40,38,FALSE)&lt;&gt;"",VLOOKUP($A5,'Tracker Sheet'!$A$3:$BP$40,38,FALSE),IF(VLOOKUP($A5,'Tracker Sheet'!$A$3:$BP$40,37,FALSE)&lt;&gt;"",VLOOKUP($A5,'Tracker Sheet'!$A$3:$BP$40,37,FALSE),IF(VLOOKUP($A5,'Tracker Sheet'!$A$3:$BP$40,27,FALSE)&lt;&gt;"",VLOOKUP($A5,'Tracker Sheet'!$A$3:$BP$40,27,FALSE),IF(VLOOKUP($A5,'Tracker Sheet'!$A$3:$BP$40,40,FALSE)&lt;&gt;"",VLOOKUP($A5,'Tracker Sheet'!$A$3:$BP$40,40,FALSE),IF(VLOOKUP($A5,'Tracker Sheet'!$A$3:$BP$40,16,FALSE)&lt;&gt;"",VLOOKUP($A5,'Tracker Sheet'!$A$3:$BP$40,16,FALSE),IF(VLOOKUP($A5,'Tracker Sheet'!$A$3:$BP$40,15,FALSE)&lt;&gt;"",VLOOKUP($A5,'Tracker Sheet'!$A$3:$BP$40,15,FALSE),""))))))))</f>
        <v>#N/A</v>
      </c>
      <c r="H5" s="290" t="e">
        <f t="shared" si="1"/>
        <v>#N/A</v>
      </c>
      <c r="I5" s="288" t="e">
        <f t="shared" si="2"/>
        <v>#N/A</v>
      </c>
      <c r="J5" s="280">
        <v>42719</v>
      </c>
      <c r="K5" s="288" t="e">
        <f t="shared" si="3"/>
        <v>#N/A</v>
      </c>
      <c r="L5" s="288" t="str">
        <f>IFERROR(VLOOKUP($A5,'Tracker Sheet'!$A$3:$BZ$40,78,FALSE),"")</f>
        <v/>
      </c>
    </row>
    <row r="6" spans="1:12" ht="15.75" x14ac:dyDescent="0.25">
      <c r="A6" s="288"/>
      <c r="B6" s="287"/>
      <c r="C6" s="288" t="e">
        <f t="shared" si="0"/>
        <v>#N/A</v>
      </c>
      <c r="D6" s="288" t="e">
        <f>VLOOKUP($A6,'Tracker Sheet'!$A$3:$BP$40,3,FALSE)</f>
        <v>#N/A</v>
      </c>
      <c r="E6" s="288" t="str">
        <f>IFERROR(VLOOKUP($A6,'Tracker Sheet'!$A$3:$BP$40,5,FALSE),"")</f>
        <v/>
      </c>
      <c r="F6" s="280" t="e">
        <f>IF(VLOOKUP($A6,'Tracker Sheet'!$A$3:$BP$40,8,FALSE)&lt;&gt;"",VLOOKUP($A6,'Tracker Sheet'!$A$3:$BP$40,8,FALSE),IF(VLOOKUP($A6,'Tracker Sheet'!$A$3:$BP$40,13,FALSE)&lt;&gt;"",VLOOKUP($A6,'Tracker Sheet'!$A$3:$BP$40,13,FALSE),IF(VLOOKUP($A6,'Tracker Sheet'!$A$3:$BP$40,24,FALSE)&lt;&gt;"",VLOOKUP($A6,'Tracker Sheet'!$A$3:$BP$40,24,FALSE),IF(VLOOKUP($A6,'Tracker Sheet'!$A$3:$BP$40,35,FALSE)&lt;&gt;"",VLOOKUP($A6,'Tracker Sheet'!$A$3:$BP$40,35,FALSE),IF(VLOOKUP($A6,'Tracker Sheet'!$A$3:$BP$40,46,FALSE)&lt;&gt;"",VLOOKUP($A6,'Tracker Sheet'!$A$3:$BP$40,46,FALSE),"")))))</f>
        <v>#N/A</v>
      </c>
      <c r="G6" s="290" t="e">
        <f>IF(VLOOKUP($A6,'Tracker Sheet'!$A$3:$BP$40,49,FALSE)&lt;&gt;"",VLOOKUP($A6,'Tracker Sheet'!$A$3:$BP$40,49,FALSE),IF(VLOOKUP($A6,'Tracker Sheet'!$A$3:$BP$40,48,FALSE)&lt;&gt;"",VLOOKUP($A6,'Tracker Sheet'!$A$3:$BP$40,48,FALSE),IF(VLOOKUP($A6,'Tracker Sheet'!$A$3:$BP$40,38,FALSE)&lt;&gt;"",VLOOKUP($A6,'Tracker Sheet'!$A$3:$BP$40,38,FALSE),IF(VLOOKUP($A6,'Tracker Sheet'!$A$3:$BP$40,37,FALSE)&lt;&gt;"",VLOOKUP($A6,'Tracker Sheet'!$A$3:$BP$40,37,FALSE),IF(VLOOKUP($A6,'Tracker Sheet'!$A$3:$BP$40,27,FALSE)&lt;&gt;"",VLOOKUP($A6,'Tracker Sheet'!$A$3:$BP$40,27,FALSE),IF(VLOOKUP($A6,'Tracker Sheet'!$A$3:$BP$40,40,FALSE)&lt;&gt;"",VLOOKUP($A6,'Tracker Sheet'!$A$3:$BP$40,40,FALSE),IF(VLOOKUP($A6,'Tracker Sheet'!$A$3:$BP$40,16,FALSE)&lt;&gt;"",VLOOKUP($A6,'Tracker Sheet'!$A$3:$BP$40,16,FALSE),IF(VLOOKUP($A6,'Tracker Sheet'!$A$3:$BP$40,15,FALSE)&lt;&gt;"",VLOOKUP($A6,'Tracker Sheet'!$A$3:$BP$40,15,FALSE),""))))))))</f>
        <v>#N/A</v>
      </c>
      <c r="H6" s="290" t="e">
        <f t="shared" si="1"/>
        <v>#N/A</v>
      </c>
      <c r="I6" s="288" t="e">
        <f t="shared" si="2"/>
        <v>#N/A</v>
      </c>
      <c r="J6" s="280">
        <v>42719</v>
      </c>
      <c r="K6" s="288" t="e">
        <f t="shared" si="3"/>
        <v>#N/A</v>
      </c>
      <c r="L6" s="288" t="str">
        <f>IFERROR(VLOOKUP($A6,'Tracker Sheet'!$A$3:$BZ$40,78,FALSE),"")</f>
        <v/>
      </c>
    </row>
    <row r="7" spans="1:12" s="317" customFormat="1" ht="15.75" x14ac:dyDescent="0.25">
      <c r="A7" s="288"/>
      <c r="B7" s="287"/>
      <c r="C7" s="288"/>
      <c r="D7" s="288"/>
      <c r="E7" s="288"/>
      <c r="F7" s="280"/>
      <c r="G7" s="290"/>
      <c r="H7" s="290"/>
      <c r="I7" s="288"/>
      <c r="J7" s="280"/>
      <c r="K7" s="288"/>
      <c r="L7" s="288"/>
    </row>
    <row r="8" spans="1:12" ht="15.75" x14ac:dyDescent="0.25">
      <c r="A8" s="288"/>
      <c r="B8" s="287"/>
      <c r="C8" s="288"/>
      <c r="D8" s="288"/>
      <c r="E8" s="288"/>
      <c r="F8" s="280"/>
      <c r="G8" s="290"/>
      <c r="H8" s="290"/>
      <c r="I8" s="288"/>
      <c r="J8" s="280"/>
      <c r="K8" s="288"/>
      <c r="L8" s="288"/>
    </row>
    <row r="9" spans="1:12" s="317" customFormat="1" ht="15.75" x14ac:dyDescent="0.25">
      <c r="A9" s="288"/>
      <c r="B9" s="287"/>
      <c r="C9" s="288"/>
      <c r="D9" s="288"/>
      <c r="E9" s="288"/>
      <c r="F9" s="280"/>
      <c r="G9" s="290"/>
      <c r="H9" s="290"/>
      <c r="I9" s="288"/>
      <c r="J9" s="280"/>
      <c r="K9" s="288"/>
      <c r="L9" s="288"/>
    </row>
    <row r="10" spans="1:12" ht="15.75" x14ac:dyDescent="0.25">
      <c r="A10" s="288"/>
      <c r="B10" s="287"/>
      <c r="C10" s="288"/>
      <c r="D10" s="288"/>
      <c r="E10" s="288"/>
      <c r="F10" s="280"/>
      <c r="G10" s="290"/>
      <c r="H10" s="290"/>
      <c r="I10" s="288"/>
      <c r="J10" s="280"/>
      <c r="K10" s="288"/>
      <c r="L10" s="288"/>
    </row>
    <row r="11" spans="1:12" s="317" customFormat="1" ht="15.75" x14ac:dyDescent="0.25">
      <c r="A11" s="288"/>
      <c r="B11" s="287"/>
      <c r="C11" s="288"/>
      <c r="D11" s="288"/>
      <c r="E11" s="288"/>
      <c r="F11" s="280"/>
      <c r="G11" s="290"/>
      <c r="H11" s="290"/>
      <c r="I11" s="288"/>
      <c r="J11" s="280"/>
      <c r="K11" s="288"/>
      <c r="L11" s="288"/>
    </row>
    <row r="12" spans="1:12" ht="15.75" x14ac:dyDescent="0.25">
      <c r="A12" s="288"/>
      <c r="B12" s="287"/>
      <c r="C12" s="288"/>
      <c r="D12" s="288"/>
      <c r="E12" s="288"/>
      <c r="F12" s="280"/>
      <c r="G12" s="290"/>
      <c r="H12" s="290"/>
      <c r="I12" s="288"/>
      <c r="J12" s="280"/>
      <c r="K12" s="288"/>
      <c r="L12" s="288"/>
    </row>
    <row r="13" spans="1:12" s="317" customFormat="1" ht="15.75" x14ac:dyDescent="0.25">
      <c r="A13" s="288"/>
      <c r="B13" s="287"/>
      <c r="C13" s="288"/>
      <c r="D13" s="288"/>
      <c r="E13" s="288"/>
      <c r="F13" s="280"/>
      <c r="G13" s="290"/>
      <c r="H13" s="290"/>
      <c r="I13" s="288"/>
      <c r="J13" s="280"/>
      <c r="K13" s="288"/>
      <c r="L13" s="288"/>
    </row>
    <row r="14" spans="1:12" ht="15.75" x14ac:dyDescent="0.25">
      <c r="A14" s="288"/>
      <c r="B14" s="287"/>
      <c r="C14" s="288"/>
      <c r="D14" s="288"/>
      <c r="E14" s="288"/>
      <c r="F14" s="280"/>
      <c r="G14" s="290"/>
      <c r="H14" s="290"/>
      <c r="I14" s="288"/>
      <c r="J14" s="280"/>
      <c r="K14" s="288"/>
      <c r="L14" s="288"/>
    </row>
    <row r="15" spans="1:12" s="317" customFormat="1" ht="15.75" x14ac:dyDescent="0.25">
      <c r="A15" s="288"/>
      <c r="B15" s="287"/>
      <c r="C15" s="288"/>
      <c r="D15" s="288"/>
      <c r="E15" s="288"/>
      <c r="F15" s="280"/>
      <c r="G15" s="290"/>
      <c r="H15" s="290"/>
      <c r="I15" s="288"/>
      <c r="J15" s="280"/>
      <c r="K15" s="288"/>
      <c r="L15" s="288"/>
    </row>
    <row r="16" spans="1:12" ht="15.75" x14ac:dyDescent="0.25">
      <c r="A16" s="288"/>
      <c r="B16" s="287"/>
      <c r="C16" s="288"/>
      <c r="D16" s="288"/>
      <c r="E16" s="288"/>
      <c r="F16" s="280"/>
      <c r="G16" s="290"/>
      <c r="H16" s="290"/>
      <c r="I16" s="288"/>
      <c r="J16" s="280"/>
      <c r="K16" s="288"/>
      <c r="L16" s="288"/>
    </row>
    <row r="17" spans="1:12" s="317" customFormat="1" ht="15.75" x14ac:dyDescent="0.25">
      <c r="A17" s="288"/>
      <c r="B17" s="287"/>
      <c r="C17" s="288"/>
      <c r="D17" s="288"/>
      <c r="E17" s="288"/>
      <c r="F17" s="280"/>
      <c r="G17" s="290"/>
      <c r="H17" s="290"/>
      <c r="I17" s="288"/>
      <c r="J17" s="280"/>
      <c r="K17" s="288"/>
      <c r="L17" s="288"/>
    </row>
    <row r="18" spans="1:12" ht="15.75" x14ac:dyDescent="0.25">
      <c r="A18" s="288"/>
      <c r="B18" s="287"/>
      <c r="C18" s="288"/>
      <c r="D18" s="288"/>
      <c r="E18" s="288"/>
      <c r="F18" s="280"/>
      <c r="G18" s="290"/>
      <c r="H18" s="290"/>
      <c r="I18" s="288"/>
      <c r="J18" s="280"/>
      <c r="K18" s="288"/>
      <c r="L18" s="288"/>
    </row>
    <row r="19" spans="1:12" s="317" customFormat="1" ht="15.75" x14ac:dyDescent="0.25">
      <c r="A19" s="288"/>
      <c r="B19" s="287"/>
      <c r="C19" s="288"/>
      <c r="D19" s="288"/>
      <c r="E19" s="288"/>
      <c r="F19" s="280"/>
      <c r="G19" s="290"/>
      <c r="H19" s="290"/>
      <c r="I19" s="288"/>
      <c r="J19" s="280"/>
      <c r="K19" s="288"/>
      <c r="L19" s="288"/>
    </row>
    <row r="20" spans="1:12" s="317" customFormat="1" ht="15.75" x14ac:dyDescent="0.25">
      <c r="A20" s="288"/>
      <c r="B20" s="287"/>
      <c r="C20" s="288"/>
      <c r="D20" s="288"/>
      <c r="E20" s="288"/>
      <c r="F20" s="280"/>
      <c r="G20" s="290"/>
      <c r="H20" s="290"/>
      <c r="I20" s="288"/>
      <c r="J20" s="280"/>
      <c r="K20" s="288"/>
      <c r="L20" s="288"/>
    </row>
    <row r="21" spans="1:12" s="317" customFormat="1" ht="15.75" x14ac:dyDescent="0.25">
      <c r="A21" s="288"/>
      <c r="B21" s="287"/>
      <c r="C21" s="288"/>
      <c r="D21" s="288"/>
      <c r="E21" s="288"/>
      <c r="F21" s="280"/>
      <c r="G21" s="290"/>
      <c r="H21" s="290"/>
      <c r="I21" s="288"/>
      <c r="J21" s="280"/>
      <c r="K21" s="288"/>
      <c r="L21" s="288"/>
    </row>
    <row r="22" spans="1:12" ht="15.75" x14ac:dyDescent="0.25">
      <c r="A22" s="288"/>
      <c r="B22" s="287"/>
      <c r="C22" s="288"/>
      <c r="D22" s="288"/>
      <c r="E22" s="288"/>
      <c r="F22" s="280"/>
      <c r="G22" s="290"/>
      <c r="H22" s="290"/>
      <c r="I22" s="288"/>
      <c r="J22" s="280"/>
      <c r="K22" s="288"/>
      <c r="L22" s="288"/>
    </row>
    <row r="23" spans="1:12" s="317" customFormat="1" ht="15.75" x14ac:dyDescent="0.25">
      <c r="A23" s="288"/>
      <c r="B23" s="287"/>
      <c r="C23" s="288"/>
      <c r="D23" s="288"/>
      <c r="E23" s="288"/>
      <c r="F23" s="280"/>
      <c r="G23" s="290"/>
      <c r="H23" s="290"/>
      <c r="I23" s="288"/>
      <c r="J23" s="280"/>
      <c r="K23" s="288"/>
      <c r="L23" s="288"/>
    </row>
    <row r="24" spans="1:12" ht="15.75" x14ac:dyDescent="0.25">
      <c r="A24" s="288"/>
      <c r="B24" s="287"/>
      <c r="C24" s="288"/>
      <c r="D24" s="288"/>
      <c r="E24" s="288"/>
      <c r="F24" s="280"/>
      <c r="G24" s="290"/>
      <c r="H24" s="290"/>
      <c r="I24" s="288"/>
      <c r="J24" s="280"/>
      <c r="K24" s="288"/>
      <c r="L24" s="288"/>
    </row>
    <row r="25" spans="1:12" s="317" customFormat="1" ht="15.75" x14ac:dyDescent="0.25">
      <c r="A25" s="288"/>
      <c r="B25" s="287"/>
      <c r="C25" s="288"/>
      <c r="D25" s="288"/>
      <c r="E25" s="288"/>
      <c r="F25" s="280"/>
      <c r="G25" s="290"/>
      <c r="H25" s="290"/>
      <c r="I25" s="288"/>
      <c r="J25" s="280"/>
      <c r="K25" s="288"/>
      <c r="L25" s="288"/>
    </row>
    <row r="26" spans="1:12" ht="15.75" x14ac:dyDescent="0.25">
      <c r="A26" s="288"/>
      <c r="B26" s="287"/>
      <c r="C26" s="288"/>
      <c r="D26" s="288"/>
      <c r="E26" s="288"/>
      <c r="F26" s="280"/>
      <c r="G26" s="290"/>
      <c r="H26" s="290"/>
      <c r="I26" s="288"/>
      <c r="J26" s="280"/>
      <c r="K26" s="288"/>
      <c r="L26" s="288"/>
    </row>
    <row r="27" spans="1:12" s="317" customFormat="1" ht="15.75" x14ac:dyDescent="0.25">
      <c r="A27" s="288"/>
      <c r="B27" s="287"/>
      <c r="C27" s="288"/>
      <c r="D27" s="288"/>
      <c r="E27" s="288"/>
      <c r="F27" s="280"/>
      <c r="G27" s="290"/>
      <c r="H27" s="290"/>
      <c r="I27" s="288"/>
      <c r="J27" s="280"/>
      <c r="K27" s="288"/>
      <c r="L27" s="288"/>
    </row>
    <row r="28" spans="1:12" ht="15.75" x14ac:dyDescent="0.25">
      <c r="A28" s="288"/>
      <c r="B28" s="287"/>
      <c r="C28" s="288"/>
      <c r="D28" s="288"/>
      <c r="E28" s="288"/>
      <c r="F28" s="280"/>
      <c r="G28" s="290"/>
      <c r="H28" s="290"/>
      <c r="I28" s="288"/>
      <c r="J28" s="280"/>
      <c r="K28" s="288"/>
      <c r="L28" s="288"/>
    </row>
    <row r="29" spans="1:12" s="317" customFormat="1" ht="15.75" x14ac:dyDescent="0.25">
      <c r="A29" s="288"/>
      <c r="B29" s="287"/>
      <c r="C29" s="288"/>
      <c r="D29" s="288"/>
      <c r="E29" s="288"/>
      <c r="F29" s="280"/>
      <c r="G29" s="290"/>
      <c r="H29" s="290"/>
      <c r="I29" s="288"/>
      <c r="J29" s="280"/>
      <c r="K29" s="288"/>
      <c r="L29" s="288"/>
    </row>
    <row r="30" spans="1:12" ht="15.75" x14ac:dyDescent="0.25">
      <c r="A30" s="288"/>
      <c r="B30" s="287"/>
      <c r="C30" s="288"/>
      <c r="D30" s="288"/>
      <c r="E30" s="288"/>
      <c r="F30" s="280"/>
      <c r="G30" s="290"/>
      <c r="H30" s="290"/>
      <c r="I30" s="288"/>
      <c r="J30" s="280"/>
      <c r="K30" s="288"/>
      <c r="L30" s="288"/>
    </row>
    <row r="31" spans="1:12" s="317" customFormat="1" ht="15.75" x14ac:dyDescent="0.25">
      <c r="A31" s="288"/>
      <c r="B31" s="287"/>
      <c r="C31" s="288"/>
      <c r="D31" s="288"/>
      <c r="E31" s="288"/>
      <c r="F31" s="280"/>
      <c r="G31" s="290"/>
      <c r="H31" s="290"/>
      <c r="I31" s="288"/>
      <c r="J31" s="280"/>
      <c r="K31" s="288"/>
      <c r="L31" s="288"/>
    </row>
    <row r="32" spans="1:12" ht="15.75" x14ac:dyDescent="0.25">
      <c r="A32" s="288"/>
      <c r="B32" s="287"/>
      <c r="C32" s="288"/>
      <c r="D32" s="288"/>
      <c r="E32" s="288"/>
      <c r="F32" s="280"/>
      <c r="G32" s="290"/>
      <c r="H32" s="290"/>
      <c r="I32" s="288"/>
      <c r="J32" s="280"/>
      <c r="K32" s="288"/>
      <c r="L32" s="288"/>
    </row>
    <row r="33" spans="1:12" s="317" customFormat="1" ht="15.75" x14ac:dyDescent="0.25">
      <c r="A33" s="288"/>
      <c r="B33" s="287"/>
      <c r="C33" s="288"/>
      <c r="D33" s="288"/>
      <c r="E33" s="288"/>
      <c r="F33" s="280"/>
      <c r="G33" s="290"/>
      <c r="H33" s="290"/>
      <c r="I33" s="288"/>
      <c r="J33" s="280"/>
      <c r="K33" s="288"/>
      <c r="L33" s="288"/>
    </row>
    <row r="34" spans="1:12" ht="15.75" x14ac:dyDescent="0.25">
      <c r="A34" s="288"/>
      <c r="B34" s="287"/>
      <c r="C34" s="288"/>
      <c r="D34" s="288"/>
      <c r="E34" s="288"/>
      <c r="F34" s="280"/>
      <c r="G34" s="290"/>
      <c r="H34" s="290"/>
      <c r="I34" s="288"/>
      <c r="J34" s="280"/>
      <c r="K34" s="288"/>
      <c r="L34" s="288"/>
    </row>
    <row r="35" spans="1:12" s="317" customFormat="1" ht="15.75" x14ac:dyDescent="0.25">
      <c r="A35" s="288"/>
      <c r="B35" s="287"/>
      <c r="C35" s="288"/>
      <c r="D35" s="288"/>
      <c r="E35" s="288"/>
      <c r="F35" s="280"/>
      <c r="G35" s="290"/>
      <c r="H35" s="290"/>
      <c r="I35" s="288"/>
      <c r="J35" s="280"/>
      <c r="K35" s="288"/>
      <c r="L35" s="288"/>
    </row>
    <row r="36" spans="1:12" ht="15.75" x14ac:dyDescent="0.25">
      <c r="A36" s="288"/>
      <c r="B36" s="287"/>
      <c r="C36" s="288"/>
      <c r="D36" s="288"/>
      <c r="E36" s="288"/>
      <c r="F36" s="280"/>
      <c r="G36" s="290"/>
      <c r="H36" s="290"/>
      <c r="I36" s="288"/>
      <c r="J36" s="280"/>
      <c r="K36" s="288"/>
      <c r="L36" s="288"/>
    </row>
    <row r="37" spans="1:12" s="317" customFormat="1" ht="15.75" x14ac:dyDescent="0.25">
      <c r="A37" s="288"/>
      <c r="B37" s="287"/>
      <c r="C37" s="288"/>
      <c r="D37" s="288"/>
      <c r="E37" s="288"/>
      <c r="F37" s="280"/>
      <c r="G37" s="290"/>
      <c r="H37" s="290"/>
      <c r="I37" s="288"/>
      <c r="J37" s="280"/>
      <c r="K37" s="288"/>
      <c r="L37" s="288"/>
    </row>
    <row r="38" spans="1:12" ht="15.75" x14ac:dyDescent="0.25">
      <c r="A38" s="288"/>
      <c r="B38" s="287"/>
      <c r="C38" s="288"/>
      <c r="D38" s="288"/>
      <c r="E38" s="288"/>
      <c r="F38" s="280"/>
      <c r="G38" s="290"/>
      <c r="H38" s="290"/>
      <c r="I38" s="288"/>
      <c r="J38" s="280"/>
      <c r="K38" s="288"/>
      <c r="L38" s="288"/>
    </row>
    <row r="39" spans="1:12" s="317" customFormat="1" x14ac:dyDescent="0.2">
      <c r="A39" s="288"/>
      <c r="B39" s="288"/>
      <c r="C39" s="288"/>
      <c r="D39" s="288"/>
      <c r="E39" s="288"/>
      <c r="F39" s="280"/>
      <c r="G39" s="290"/>
      <c r="H39" s="290"/>
      <c r="I39" s="288"/>
      <c r="J39" s="280"/>
      <c r="K39" s="288"/>
      <c r="L39" s="288"/>
    </row>
    <row r="41" spans="1:12" s="317" customFormat="1" x14ac:dyDescent="0.2">
      <c r="C41" s="288"/>
      <c r="D41" s="288"/>
      <c r="E41" s="288"/>
      <c r="F41" s="280"/>
      <c r="G41" s="290"/>
      <c r="H41" s="290"/>
      <c r="I41" s="288"/>
      <c r="J41" s="280"/>
      <c r="K41" s="288"/>
      <c r="L41" s="288"/>
    </row>
    <row r="43" spans="1:12" s="317" customFormat="1" x14ac:dyDescent="0.2">
      <c r="C43" s="288"/>
      <c r="D43" s="288"/>
      <c r="E43" s="288"/>
      <c r="F43" s="280"/>
      <c r="G43" s="290"/>
      <c r="H43" s="290"/>
      <c r="I43" s="288"/>
      <c r="J43" s="280"/>
      <c r="K43" s="288"/>
      <c r="L43" s="288"/>
    </row>
    <row r="45" spans="1:12" s="317" customFormat="1" x14ac:dyDescent="0.2">
      <c r="C45" s="288"/>
      <c r="D45" s="288"/>
      <c r="E45" s="288"/>
      <c r="F45" s="280"/>
      <c r="G45" s="290"/>
      <c r="H45" s="290"/>
      <c r="I45" s="288"/>
      <c r="J45" s="280"/>
      <c r="K45" s="288"/>
      <c r="L45" s="288"/>
    </row>
    <row r="47" spans="1:12" s="317" customFormat="1" x14ac:dyDescent="0.2">
      <c r="C47" s="288"/>
      <c r="D47" s="288"/>
      <c r="E47" s="288"/>
      <c r="F47" s="280"/>
      <c r="G47" s="290"/>
      <c r="H47" s="290"/>
      <c r="I47" s="288"/>
      <c r="J47" s="280"/>
      <c r="K47" s="288"/>
      <c r="L47" s="288"/>
    </row>
    <row r="49" spans="3:12" s="317" customFormat="1" x14ac:dyDescent="0.2">
      <c r="C49" s="288"/>
      <c r="D49" s="288"/>
      <c r="E49" s="288"/>
      <c r="F49" s="280"/>
      <c r="G49" s="290"/>
      <c r="H49" s="290"/>
      <c r="I49" s="288"/>
      <c r="J49" s="280"/>
      <c r="K49" s="288"/>
      <c r="L49" s="288"/>
    </row>
    <row r="51" spans="3:12" s="317" customFormat="1" x14ac:dyDescent="0.2">
      <c r="C51" s="288"/>
      <c r="D51" s="288"/>
      <c r="E51" s="288"/>
      <c r="F51" s="280"/>
      <c r="G51" s="290"/>
      <c r="H51" s="290"/>
      <c r="I51" s="288"/>
      <c r="J51" s="280"/>
      <c r="K51" s="288"/>
      <c r="L51" s="288"/>
    </row>
    <row r="53" spans="3:12" s="317" customFormat="1" x14ac:dyDescent="0.2">
      <c r="C53" s="288"/>
      <c r="D53" s="288"/>
      <c r="E53" s="288"/>
      <c r="F53" s="280"/>
      <c r="G53" s="290"/>
      <c r="H53" s="290"/>
      <c r="I53" s="288"/>
      <c r="J53" s="280"/>
      <c r="K53" s="288"/>
      <c r="L53" s="288"/>
    </row>
    <row r="55" spans="3:12" s="317" customFormat="1" x14ac:dyDescent="0.2">
      <c r="C55" s="288"/>
      <c r="D55" s="288"/>
      <c r="E55" s="288"/>
      <c r="F55" s="280"/>
      <c r="G55" s="290"/>
      <c r="H55" s="290"/>
      <c r="I55" s="288"/>
      <c r="J55" s="280"/>
      <c r="K55" s="288"/>
      <c r="L55" s="288"/>
    </row>
    <row r="57" spans="3:12" s="317" customFormat="1" x14ac:dyDescent="0.2">
      <c r="C57" s="288"/>
      <c r="D57" s="288"/>
      <c r="E57" s="288"/>
      <c r="F57" s="280"/>
      <c r="G57" s="290"/>
      <c r="H57" s="290"/>
      <c r="I57" s="288"/>
      <c r="J57" s="280"/>
      <c r="K57" s="288"/>
      <c r="L57" s="288"/>
    </row>
    <row r="59" spans="3:12" s="317" customFormat="1" x14ac:dyDescent="0.2">
      <c r="C59" s="288"/>
      <c r="D59" s="288"/>
      <c r="E59" s="288"/>
      <c r="F59" s="280"/>
      <c r="G59" s="290"/>
      <c r="H59" s="290"/>
      <c r="I59" s="288"/>
      <c r="J59" s="280"/>
      <c r="K59" s="288"/>
      <c r="L59" s="288"/>
    </row>
    <row r="61" spans="3:12" s="317" customFormat="1" x14ac:dyDescent="0.2">
      <c r="C61" s="288"/>
      <c r="D61" s="288"/>
      <c r="E61" s="288"/>
      <c r="F61" s="280"/>
      <c r="G61" s="290"/>
      <c r="H61" s="290"/>
      <c r="I61" s="288"/>
      <c r="J61" s="280"/>
      <c r="K61" s="288"/>
      <c r="L61" s="288"/>
    </row>
    <row r="63" spans="3:12" s="317" customFormat="1" x14ac:dyDescent="0.2">
      <c r="C63" s="288"/>
      <c r="D63" s="288"/>
      <c r="E63" s="288"/>
      <c r="F63" s="280"/>
      <c r="G63" s="290"/>
      <c r="H63" s="290"/>
      <c r="I63" s="288"/>
      <c r="J63" s="280"/>
      <c r="K63" s="288"/>
      <c r="L63" s="288"/>
    </row>
    <row r="65" spans="3:13" x14ac:dyDescent="0.2">
      <c r="C65" s="288"/>
      <c r="D65" s="288"/>
      <c r="E65" s="288"/>
      <c r="F65" s="280"/>
      <c r="G65" s="290"/>
      <c r="H65" s="290"/>
      <c r="I65" s="288"/>
      <c r="J65" s="280"/>
      <c r="K65" s="288"/>
      <c r="L65" s="288"/>
      <c r="M65" s="317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39"/>
  <sheetViews>
    <sheetView showGridLines="0" showRowColHeaders="0" zoomScaleNormal="100" workbookViewId="0">
      <selection activeCell="Q40" sqref="Q40"/>
    </sheetView>
  </sheetViews>
  <sheetFormatPr defaultRowHeight="15" x14ac:dyDescent="0.2"/>
  <sheetData>
    <row r="39" spans="2:2" x14ac:dyDescent="0.2">
      <c r="B39" s="253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Scroll Bar 1">
              <controlPr defaultSize="0" autoPict="0" macro="[0]!Scrollbar">
                <anchor moveWithCells="1">
                  <from>
                    <xdr:col>0</xdr:col>
                    <xdr:colOff>209550</xdr:colOff>
                    <xdr:row>36</xdr:row>
                    <xdr:rowOff>47625</xdr:rowOff>
                  </from>
                  <to>
                    <xdr:col>20</xdr:col>
                    <xdr:colOff>314325</xdr:colOff>
                    <xdr:row>37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Dashboard Page</vt:lpstr>
      <vt:lpstr>Tracker Sheet</vt:lpstr>
      <vt:lpstr>Health and Saftey</vt:lpstr>
      <vt:lpstr>Stage Gate 5</vt:lpstr>
      <vt:lpstr>Closed Projects (Stage Gate 6)</vt:lpstr>
      <vt:lpstr>Archive</vt:lpstr>
      <vt:lpstr>Change Control Register</vt:lpstr>
      <vt:lpstr>Finance</vt:lpstr>
      <vt:lpstr>Rag Coding</vt:lpstr>
      <vt:lpstr>Sheet2</vt:lpstr>
      <vt:lpstr>Head Office Buildings</vt:lpstr>
      <vt:lpstr>Project Managers &amp; FacOps Reps</vt:lpstr>
      <vt:lpstr>Resources Data</vt:lpstr>
      <vt:lpstr>Resources Planner</vt:lpstr>
      <vt:lpstr>'Dashboard Page'!Print_Area</vt:lpstr>
      <vt:lpstr>'Dashboard Page'!Print_Titles</vt:lpstr>
    </vt:vector>
  </TitlesOfParts>
  <Company>Transport for London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veronicasenior</dc:creator>
  <cp:lastModifiedBy>adamwadsworth</cp:lastModifiedBy>
  <cp:lastPrinted>2016-12-15T14:37:48Z</cp:lastPrinted>
  <dcterms:created xsi:type="dcterms:W3CDTF">2016-05-11T14:32:02Z</dcterms:created>
  <dcterms:modified xsi:type="dcterms:W3CDTF">2017-02-03T16:50:55Z</dcterms:modified>
</cp:coreProperties>
</file>