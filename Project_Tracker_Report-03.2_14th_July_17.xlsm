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comments4.xml" ContentType="application/vnd.openxmlformats-officedocument.spreadsheetml.comments+xml"/>
  <Override PartName="/xl/tables/table2.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harts/chart1.xml" ContentType="application/vnd.openxmlformats-officedocument.drawingml.chart+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5" yWindow="15" windowWidth="24735" windowHeight="10980" tabRatio="817"/>
  </bookViews>
  <sheets>
    <sheet name="Dashboard Page" sheetId="2" r:id="rId1"/>
    <sheet name="Tracker Sheet" sheetId="8" r:id="rId2"/>
    <sheet name="Health and Saftey" sheetId="13" r:id="rId3"/>
    <sheet name="Stage Gate 5" sheetId="12" r:id="rId4"/>
    <sheet name="Closed Projects (Stage Gate 6)" sheetId="17" r:id="rId5"/>
    <sheet name="Archive" sheetId="16" r:id="rId6"/>
    <sheet name="Change Control Register" sheetId="14" r:id="rId7"/>
    <sheet name="Finance" sheetId="11" state="hidden" r:id="rId8"/>
    <sheet name="Rag Coding" sheetId="3" state="hidden" r:id="rId9"/>
    <sheet name="Sheet2" sheetId="4" state="hidden" r:id="rId10"/>
    <sheet name="Head Office Buildings" sheetId="5" state="hidden" r:id="rId11"/>
    <sheet name="Sponsors" sheetId="6" state="hidden" r:id="rId12"/>
    <sheet name="Project Managers &amp; FacOps Reps" sheetId="7" state="hidden" r:id="rId13"/>
    <sheet name="Resources Data" sheetId="18" state="hidden" r:id="rId14"/>
    <sheet name="Resources Planner" sheetId="20" r:id="rId15"/>
    <sheet name="Project Initiation" sheetId="21" r:id="rId16"/>
  </sheets>
  <externalReferences>
    <externalReference r:id="rId17"/>
  </externalReferences>
  <definedNames>
    <definedName name="_xlnm._FilterDatabase" localSheetId="5" hidden="1">Archive!$A$2:$G$47</definedName>
    <definedName name="_xlnm._FilterDatabase" localSheetId="4" hidden="1">'Closed Projects (Stage Gate 6)'!$A$2:$S$43</definedName>
    <definedName name="_xlnm._FilterDatabase" localSheetId="0" hidden="1">'Dashboard Page'!$A$3:$U$35</definedName>
    <definedName name="_xlnm._FilterDatabase" localSheetId="2" hidden="1">'Health and Saftey'!$B$2:$Q$63</definedName>
    <definedName name="_xlnm._FilterDatabase" localSheetId="3" hidden="1">'Stage Gate 5'!$A$1:$H$41</definedName>
    <definedName name="_xlnm._FilterDatabase" localSheetId="1" hidden="1">'Tracker Sheet'!$A$2:$G$40</definedName>
    <definedName name="_xlnm.Print_Area" localSheetId="0">'Dashboard Page'!$A$1:$W$26</definedName>
    <definedName name="_xlnm.Print_Titles" localSheetId="0">'Dashboard Page'!$1:$3</definedName>
  </definedNames>
  <calcPr calcId="145621"/>
</workbook>
</file>

<file path=xl/calcChain.xml><?xml version="1.0" encoding="utf-8"?>
<calcChain xmlns="http://schemas.openxmlformats.org/spreadsheetml/2006/main">
  <c r="BP4" i="8" l="1"/>
  <c r="BP5" i="8"/>
  <c r="BP6" i="8"/>
  <c r="BP7" i="8"/>
  <c r="BP8" i="8"/>
  <c r="BP9" i="8"/>
  <c r="BP10" i="8"/>
  <c r="BP11" i="8"/>
  <c r="BP12" i="8"/>
  <c r="BP13" i="8"/>
  <c r="BP14" i="8"/>
  <c r="BP15" i="8"/>
  <c r="BP16" i="8"/>
  <c r="BP17" i="8"/>
  <c r="BP18" i="8"/>
  <c r="BP19" i="8"/>
  <c r="BP20" i="8"/>
  <c r="BP21" i="8"/>
  <c r="BP22" i="8"/>
  <c r="BP23" i="8"/>
  <c r="BP24" i="8"/>
  <c r="BP25" i="8"/>
  <c r="BP26" i="8"/>
  <c r="BP27" i="8"/>
  <c r="BP28" i="8"/>
  <c r="BP29" i="8"/>
  <c r="BP30" i="8"/>
  <c r="BP31" i="8"/>
  <c r="BP32" i="8"/>
  <c r="BP33" i="8"/>
  <c r="BP34" i="8"/>
  <c r="BP35" i="8"/>
  <c r="BP36" i="8"/>
  <c r="BP37" i="8"/>
  <c r="BP38" i="8"/>
  <c r="BP39" i="8"/>
  <c r="BP40" i="8"/>
  <c r="BZ13" i="8" l="1"/>
  <c r="BW13" i="8"/>
  <c r="BY13" i="8" s="1"/>
  <c r="BU13" i="8"/>
  <c r="BV13" i="8" s="1"/>
  <c r="BS13" i="8"/>
  <c r="BT13" i="8" s="1"/>
  <c r="BQ13" i="8"/>
  <c r="BR13" i="8" s="1"/>
  <c r="BL13" i="8"/>
  <c r="BJ13" i="8"/>
  <c r="BG13" i="8"/>
  <c r="BK13" i="8" s="1"/>
  <c r="BC13" i="8"/>
  <c r="BB13" i="8"/>
  <c r="BA13" i="8"/>
  <c r="AY13" i="8"/>
  <c r="AR13" i="8"/>
  <c r="AQ13" i="8"/>
  <c r="AP13" i="8"/>
  <c r="AG13" i="8"/>
  <c r="AF13" i="8"/>
  <c r="AE13" i="8"/>
  <c r="V13" i="8"/>
  <c r="U13" i="8"/>
  <c r="T13" i="8"/>
  <c r="K13" i="8"/>
  <c r="I13" i="8"/>
  <c r="L13" i="8" s="1"/>
  <c r="W13" i="8" l="1"/>
  <c r="BD13" i="8"/>
  <c r="AS13" i="8"/>
  <c r="AH13" i="8"/>
  <c r="BX13" i="8"/>
  <c r="BZ14" i="8"/>
  <c r="BW14" i="8"/>
  <c r="BY14" i="8" s="1"/>
  <c r="BU14" i="8"/>
  <c r="BV14" i="8" s="1"/>
  <c r="BS14" i="8"/>
  <c r="BT14" i="8" s="1"/>
  <c r="BQ14" i="8"/>
  <c r="BR14" i="8" s="1"/>
  <c r="BL14" i="8"/>
  <c r="BJ14" i="8"/>
  <c r="BG14" i="8"/>
  <c r="BK14" i="8" s="1"/>
  <c r="BC14" i="8"/>
  <c r="BB14" i="8"/>
  <c r="BA14" i="8"/>
  <c r="AY14" i="8"/>
  <c r="AR14" i="8"/>
  <c r="AQ14" i="8"/>
  <c r="AP14" i="8"/>
  <c r="AG14" i="8"/>
  <c r="AF14" i="8"/>
  <c r="AE14" i="8"/>
  <c r="V14" i="8"/>
  <c r="U14" i="8"/>
  <c r="T14" i="8"/>
  <c r="K14" i="8"/>
  <c r="I14" i="8"/>
  <c r="L14" i="8" s="1"/>
  <c r="BZ15" i="8"/>
  <c r="BW15" i="8"/>
  <c r="BY15" i="8" s="1"/>
  <c r="BU15" i="8"/>
  <c r="BV15" i="8" s="1"/>
  <c r="BS15" i="8"/>
  <c r="BT15" i="8" s="1"/>
  <c r="BQ15" i="8"/>
  <c r="BR15" i="8" s="1"/>
  <c r="BL15" i="8"/>
  <c r="BJ15" i="8"/>
  <c r="BG15" i="8"/>
  <c r="BK15" i="8" s="1"/>
  <c r="BC15" i="8"/>
  <c r="BB15" i="8"/>
  <c r="BA15" i="8"/>
  <c r="AY15" i="8"/>
  <c r="AR15" i="8"/>
  <c r="AQ15" i="8"/>
  <c r="AP15" i="8"/>
  <c r="AG15" i="8"/>
  <c r="AF15" i="8"/>
  <c r="AE15" i="8"/>
  <c r="V15" i="8"/>
  <c r="U15" i="8"/>
  <c r="T15" i="8"/>
  <c r="K15" i="8"/>
  <c r="I15" i="8"/>
  <c r="L15" i="8" s="1"/>
  <c r="BO13" i="8" l="1"/>
  <c r="BD14" i="8"/>
  <c r="AH15" i="8"/>
  <c r="AH14" i="8"/>
  <c r="AS14" i="8"/>
  <c r="W14" i="8"/>
  <c r="BX14" i="8"/>
  <c r="AS15" i="8"/>
  <c r="BD15" i="8"/>
  <c r="W15" i="8"/>
  <c r="BX15" i="8"/>
  <c r="BZ16" i="8"/>
  <c r="BW16" i="8"/>
  <c r="BY16" i="8" s="1"/>
  <c r="BU16" i="8"/>
  <c r="BV16" i="8" s="1"/>
  <c r="BS16" i="8"/>
  <c r="BT16" i="8" s="1"/>
  <c r="BQ16" i="8"/>
  <c r="BR16" i="8" s="1"/>
  <c r="BL16" i="8"/>
  <c r="BJ16" i="8"/>
  <c r="BG16" i="8"/>
  <c r="BK16" i="8" s="1"/>
  <c r="BC16" i="8"/>
  <c r="BB16" i="8"/>
  <c r="BA16" i="8"/>
  <c r="AY16" i="8"/>
  <c r="AR16" i="8"/>
  <c r="AQ16" i="8"/>
  <c r="AP16" i="8"/>
  <c r="AG16" i="8"/>
  <c r="AF16" i="8"/>
  <c r="AE16" i="8"/>
  <c r="V16" i="8"/>
  <c r="U16" i="8"/>
  <c r="T16" i="8"/>
  <c r="K16" i="8"/>
  <c r="I16" i="8"/>
  <c r="L16" i="8" s="1"/>
  <c r="BZ17" i="8"/>
  <c r="BW17" i="8"/>
  <c r="BY17" i="8" s="1"/>
  <c r="BU17" i="8"/>
  <c r="BV17" i="8" s="1"/>
  <c r="BS17" i="8"/>
  <c r="BT17" i="8" s="1"/>
  <c r="BQ17" i="8"/>
  <c r="BR17" i="8" s="1"/>
  <c r="BL17" i="8"/>
  <c r="BJ17" i="8"/>
  <c r="BG17" i="8"/>
  <c r="BK17" i="8" s="1"/>
  <c r="BC17" i="8"/>
  <c r="BB17" i="8"/>
  <c r="BA17" i="8"/>
  <c r="AY17" i="8"/>
  <c r="AR17" i="8"/>
  <c r="AQ17" i="8"/>
  <c r="AP17" i="8"/>
  <c r="AG17" i="8"/>
  <c r="AF17" i="8"/>
  <c r="AE17" i="8"/>
  <c r="V17" i="8"/>
  <c r="U17" i="8"/>
  <c r="T17" i="8"/>
  <c r="K17" i="8"/>
  <c r="I17" i="8"/>
  <c r="L17" i="8" s="1"/>
  <c r="BZ18" i="8"/>
  <c r="BW18" i="8"/>
  <c r="BY18" i="8" s="1"/>
  <c r="BU18" i="8"/>
  <c r="BV18" i="8" s="1"/>
  <c r="BS18" i="8"/>
  <c r="BT18" i="8" s="1"/>
  <c r="BQ18" i="8"/>
  <c r="BR18" i="8" s="1"/>
  <c r="BL18" i="8"/>
  <c r="BJ18" i="8"/>
  <c r="BG18" i="8"/>
  <c r="BK18" i="8" s="1"/>
  <c r="BC18" i="8"/>
  <c r="BB18" i="8"/>
  <c r="BA18" i="8"/>
  <c r="AY18" i="8"/>
  <c r="AR18" i="8"/>
  <c r="AQ18" i="8"/>
  <c r="AP18" i="8"/>
  <c r="AG18" i="8"/>
  <c r="AF18" i="8"/>
  <c r="AE18" i="8"/>
  <c r="V18" i="8"/>
  <c r="U18" i="8"/>
  <c r="T18" i="8"/>
  <c r="K18" i="8"/>
  <c r="I18" i="8"/>
  <c r="L18" i="8" s="1"/>
  <c r="BO14" i="8" l="1"/>
  <c r="BO15" i="8"/>
  <c r="BX16" i="8"/>
  <c r="W16" i="8"/>
  <c r="AS16" i="8"/>
  <c r="BD16" i="8"/>
  <c r="AH16" i="8"/>
  <c r="W17" i="8"/>
  <c r="AS17" i="8"/>
  <c r="BD17" i="8"/>
  <c r="AH17" i="8"/>
  <c r="BX17" i="8"/>
  <c r="AH18" i="8"/>
  <c r="AS18" i="8"/>
  <c r="BD18" i="8"/>
  <c r="W18" i="8"/>
  <c r="BX18" i="8"/>
  <c r="BZ19" i="8"/>
  <c r="BW19" i="8"/>
  <c r="BY19" i="8" s="1"/>
  <c r="O18" i="2" s="1"/>
  <c r="BU19" i="8"/>
  <c r="BV19" i="8" s="1"/>
  <c r="BS19" i="8"/>
  <c r="BT19" i="8" s="1"/>
  <c r="BQ19" i="8"/>
  <c r="BR19" i="8" s="1"/>
  <c r="F12" i="12"/>
  <c r="BL19" i="8"/>
  <c r="H18" i="2" s="1"/>
  <c r="BJ19" i="8"/>
  <c r="BG19" i="8"/>
  <c r="BK19" i="8" s="1"/>
  <c r="BC19" i="8"/>
  <c r="BB19" i="8"/>
  <c r="BA19" i="8"/>
  <c r="AY19" i="8"/>
  <c r="E12" i="12" s="1"/>
  <c r="G12" i="12" s="1"/>
  <c r="AR19" i="8"/>
  <c r="AQ19" i="8"/>
  <c r="AP19" i="8"/>
  <c r="AG19" i="8"/>
  <c r="AF19" i="8"/>
  <c r="AE19" i="8"/>
  <c r="V19" i="8"/>
  <c r="U19" i="8"/>
  <c r="T19" i="8"/>
  <c r="K19" i="8"/>
  <c r="J18" i="2" s="1"/>
  <c r="I19" i="8"/>
  <c r="L19" i="8" s="1"/>
  <c r="C18" i="2" s="1"/>
  <c r="BZ20" i="8"/>
  <c r="BW20" i="8"/>
  <c r="BY20" i="8" s="1"/>
  <c r="O19" i="2" s="1"/>
  <c r="BU20" i="8"/>
  <c r="BV20" i="8" s="1"/>
  <c r="BS20" i="8"/>
  <c r="L19" i="2" s="1"/>
  <c r="BQ20" i="8"/>
  <c r="BR20" i="8" s="1"/>
  <c r="F15" i="12"/>
  <c r="BL20" i="8"/>
  <c r="H19" i="2" s="1"/>
  <c r="BJ20" i="8"/>
  <c r="BG20" i="8"/>
  <c r="BK20" i="8" s="1"/>
  <c r="BC20" i="8"/>
  <c r="BB20" i="8"/>
  <c r="BA20" i="8"/>
  <c r="AY20" i="8"/>
  <c r="E15" i="12" s="1"/>
  <c r="G15" i="12" s="1"/>
  <c r="AR20" i="8"/>
  <c r="AQ20" i="8"/>
  <c r="AP20" i="8"/>
  <c r="AG20" i="8"/>
  <c r="AF20" i="8"/>
  <c r="AE20" i="8"/>
  <c r="V20" i="8"/>
  <c r="U20" i="8"/>
  <c r="T20" i="8"/>
  <c r="K20" i="8"/>
  <c r="J19" i="2" s="1"/>
  <c r="I20" i="8"/>
  <c r="L20" i="8" s="1"/>
  <c r="C19" i="2" s="1"/>
  <c r="BZ21" i="8"/>
  <c r="BW21" i="8"/>
  <c r="BY21" i="8" s="1"/>
  <c r="O20" i="2" s="1"/>
  <c r="BU21" i="8"/>
  <c r="M20" i="2" s="1"/>
  <c r="BS21" i="8"/>
  <c r="BT21" i="8" s="1"/>
  <c r="BQ21" i="8"/>
  <c r="BR21" i="8" s="1"/>
  <c r="F26" i="12"/>
  <c r="BL21" i="8"/>
  <c r="H20" i="2" s="1"/>
  <c r="BJ21" i="8"/>
  <c r="BG21" i="8"/>
  <c r="BK21" i="8" s="1"/>
  <c r="BC21" i="8"/>
  <c r="BB21" i="8"/>
  <c r="BA21" i="8"/>
  <c r="AY21" i="8"/>
  <c r="E26" i="12" s="1"/>
  <c r="G26" i="12" s="1"/>
  <c r="AR21" i="8"/>
  <c r="AQ21" i="8"/>
  <c r="AP21" i="8"/>
  <c r="AG21" i="8"/>
  <c r="AF21" i="8"/>
  <c r="AE21" i="8"/>
  <c r="V21" i="8"/>
  <c r="U21" i="8"/>
  <c r="T21" i="8"/>
  <c r="K21" i="8"/>
  <c r="J20" i="2" s="1"/>
  <c r="I21" i="8"/>
  <c r="L21" i="8" s="1"/>
  <c r="C20" i="2" s="1"/>
  <c r="BZ22" i="8"/>
  <c r="BW22" i="8"/>
  <c r="BY22" i="8" s="1"/>
  <c r="O21" i="2" s="1"/>
  <c r="BU22" i="8"/>
  <c r="BV22" i="8" s="1"/>
  <c r="BS22" i="8"/>
  <c r="BT22" i="8" s="1"/>
  <c r="BQ22" i="8"/>
  <c r="BR22" i="8" s="1"/>
  <c r="F25" i="12"/>
  <c r="BL22" i="8"/>
  <c r="H21" i="2" s="1"/>
  <c r="BJ22" i="8"/>
  <c r="BG22" i="8"/>
  <c r="BK22" i="8" s="1"/>
  <c r="BC22" i="8"/>
  <c r="BB22" i="8"/>
  <c r="BA22" i="8"/>
  <c r="AY22" i="8"/>
  <c r="E25" i="12" s="1"/>
  <c r="G25" i="12" s="1"/>
  <c r="AR22" i="8"/>
  <c r="AQ22" i="8"/>
  <c r="AP22" i="8"/>
  <c r="AG22" i="8"/>
  <c r="AF22" i="8"/>
  <c r="AE22" i="8"/>
  <c r="V22" i="8"/>
  <c r="U22" i="8"/>
  <c r="T22" i="8"/>
  <c r="K22" i="8"/>
  <c r="J21" i="2" s="1"/>
  <c r="I22" i="8"/>
  <c r="L22" i="8" s="1"/>
  <c r="C21" i="2" s="1"/>
  <c r="BZ23" i="8"/>
  <c r="BW23" i="8"/>
  <c r="BY23" i="8" s="1"/>
  <c r="O22" i="2" s="1"/>
  <c r="BU23" i="8"/>
  <c r="BV23" i="8" s="1"/>
  <c r="BS23" i="8"/>
  <c r="BT23" i="8" s="1"/>
  <c r="BQ23" i="8"/>
  <c r="K22" i="2" s="1"/>
  <c r="F16" i="12"/>
  <c r="BL23" i="8"/>
  <c r="H22" i="2" s="1"/>
  <c r="BJ23" i="8"/>
  <c r="BG23" i="8"/>
  <c r="BK23" i="8" s="1"/>
  <c r="BC23" i="8"/>
  <c r="BB23" i="8"/>
  <c r="BA23" i="8"/>
  <c r="AY23" i="8"/>
  <c r="E16" i="12" s="1"/>
  <c r="G16" i="12" s="1"/>
  <c r="AR23" i="8"/>
  <c r="AQ23" i="8"/>
  <c r="AP23" i="8"/>
  <c r="AG23" i="8"/>
  <c r="AF23" i="8"/>
  <c r="AE23" i="8"/>
  <c r="V23" i="8"/>
  <c r="U23" i="8"/>
  <c r="T23" i="8"/>
  <c r="K23" i="8"/>
  <c r="J22" i="2" s="1"/>
  <c r="I23" i="8"/>
  <c r="L23" i="8" s="1"/>
  <c r="C22" i="2" s="1"/>
  <c r="BG10" i="8"/>
  <c r="BK10" i="8" s="1"/>
  <c r="F2" i="12"/>
  <c r="F17" i="12"/>
  <c r="F23" i="12"/>
  <c r="F7" i="12"/>
  <c r="F21" i="12"/>
  <c r="F20" i="12"/>
  <c r="F19" i="12"/>
  <c r="BP3" i="8"/>
  <c r="F18" i="12" s="1"/>
  <c r="BZ24" i="8"/>
  <c r="BW24" i="8"/>
  <c r="BY24" i="8" s="1"/>
  <c r="BU24" i="8"/>
  <c r="M23" i="2" s="1"/>
  <c r="BS24" i="8"/>
  <c r="BT24" i="8" s="1"/>
  <c r="BQ24" i="8"/>
  <c r="BL24" i="8"/>
  <c r="BJ24" i="8"/>
  <c r="BG24" i="8"/>
  <c r="BK24" i="8" s="1"/>
  <c r="BC24" i="8"/>
  <c r="BB24" i="8"/>
  <c r="BA24" i="8"/>
  <c r="AY24" i="8"/>
  <c r="AR24" i="8"/>
  <c r="AQ24" i="8"/>
  <c r="AP24" i="8"/>
  <c r="AG24" i="8"/>
  <c r="AF24" i="8"/>
  <c r="AE24" i="8"/>
  <c r="V24" i="8"/>
  <c r="U24" i="8"/>
  <c r="T24" i="8"/>
  <c r="K24" i="8"/>
  <c r="J23" i="2" s="1"/>
  <c r="I24" i="8"/>
  <c r="L24" i="8" s="1"/>
  <c r="BZ25" i="8"/>
  <c r="BW25" i="8"/>
  <c r="BY25" i="8" s="1"/>
  <c r="BU25" i="8"/>
  <c r="BV25" i="8" s="1"/>
  <c r="BS25" i="8"/>
  <c r="BT25" i="8" s="1"/>
  <c r="BQ25" i="8"/>
  <c r="BR25" i="8" s="1"/>
  <c r="BL25" i="8"/>
  <c r="BJ25" i="8"/>
  <c r="BG25" i="8"/>
  <c r="BK25" i="8" s="1"/>
  <c r="BC25" i="8"/>
  <c r="BB25" i="8"/>
  <c r="BA25" i="8"/>
  <c r="AY25" i="8"/>
  <c r="AR25" i="8"/>
  <c r="AQ25" i="8"/>
  <c r="AP25" i="8"/>
  <c r="AG25" i="8"/>
  <c r="AF25" i="8"/>
  <c r="AE25" i="8"/>
  <c r="V25" i="8"/>
  <c r="U25" i="8"/>
  <c r="T25" i="8"/>
  <c r="K25" i="8"/>
  <c r="I25" i="8"/>
  <c r="L25" i="8" s="1"/>
  <c r="I35" i="2"/>
  <c r="I34" i="2"/>
  <c r="I33" i="2"/>
  <c r="I32" i="2"/>
  <c r="I31" i="2"/>
  <c r="I30" i="2"/>
  <c r="I29" i="2"/>
  <c r="I28" i="2"/>
  <c r="I27" i="2"/>
  <c r="I26" i="2"/>
  <c r="I25" i="2"/>
  <c r="I24" i="2"/>
  <c r="H35" i="2"/>
  <c r="H34" i="2"/>
  <c r="H33" i="2"/>
  <c r="H32" i="2"/>
  <c r="H31" i="2"/>
  <c r="H30" i="2"/>
  <c r="H29" i="2"/>
  <c r="H28" i="2"/>
  <c r="H27" i="2"/>
  <c r="H26" i="2"/>
  <c r="H25" i="2"/>
  <c r="H24" i="2"/>
  <c r="G35" i="2"/>
  <c r="G34" i="2"/>
  <c r="G33" i="2"/>
  <c r="G32" i="2"/>
  <c r="G31" i="2"/>
  <c r="G30" i="2"/>
  <c r="G29" i="2"/>
  <c r="G28" i="2"/>
  <c r="G27" i="2"/>
  <c r="G26" i="2"/>
  <c r="G25" i="2"/>
  <c r="G24" i="2"/>
  <c r="F35" i="2"/>
  <c r="E35" i="2"/>
  <c r="D35" i="2"/>
  <c r="F34" i="2"/>
  <c r="E34" i="2"/>
  <c r="D34" i="2"/>
  <c r="F33" i="2"/>
  <c r="E33" i="2"/>
  <c r="D33" i="2"/>
  <c r="F32" i="2"/>
  <c r="E32" i="2"/>
  <c r="D32" i="2"/>
  <c r="F31" i="2"/>
  <c r="E31" i="2"/>
  <c r="D31" i="2"/>
  <c r="F30" i="2"/>
  <c r="E30" i="2"/>
  <c r="D30" i="2"/>
  <c r="F29" i="2"/>
  <c r="E29" i="2"/>
  <c r="D29" i="2"/>
  <c r="F28" i="2"/>
  <c r="E28" i="2"/>
  <c r="D28" i="2"/>
  <c r="F27" i="2"/>
  <c r="E27" i="2"/>
  <c r="D27" i="2"/>
  <c r="F26" i="2"/>
  <c r="E26" i="2"/>
  <c r="D26" i="2"/>
  <c r="F25" i="2"/>
  <c r="E25" i="2"/>
  <c r="D25" i="2"/>
  <c r="F24" i="2"/>
  <c r="E24" i="2"/>
  <c r="D24" i="2"/>
  <c r="I10" i="8"/>
  <c r="L10" i="8" s="1"/>
  <c r="F22" i="12"/>
  <c r="F4" i="12"/>
  <c r="F3" i="12"/>
  <c r="L40" i="17"/>
  <c r="BZ33" i="8"/>
  <c r="BW33" i="8"/>
  <c r="BY33" i="8" s="1"/>
  <c r="BU33" i="8"/>
  <c r="BS33" i="8"/>
  <c r="BT33" i="8" s="1"/>
  <c r="BQ33" i="8"/>
  <c r="BR33" i="8" s="1"/>
  <c r="BL33" i="8"/>
  <c r="BJ33" i="8"/>
  <c r="BG33" i="8"/>
  <c r="BK33" i="8" s="1"/>
  <c r="BC33" i="8"/>
  <c r="BB33" i="8"/>
  <c r="BA33" i="8"/>
  <c r="AY33" i="8"/>
  <c r="AR33" i="8"/>
  <c r="AQ33" i="8"/>
  <c r="AP33" i="8"/>
  <c r="AG33" i="8"/>
  <c r="AF33" i="8"/>
  <c r="AE33" i="8"/>
  <c r="V33" i="8"/>
  <c r="U33" i="8"/>
  <c r="T33" i="8"/>
  <c r="K33" i="8"/>
  <c r="I33" i="8"/>
  <c r="L33" i="8" s="1"/>
  <c r="CA10" i="16"/>
  <c r="BX10" i="16"/>
  <c r="BZ10" i="16" s="1"/>
  <c r="BV10" i="16"/>
  <c r="BW10" i="16" s="1"/>
  <c r="BT10" i="16"/>
  <c r="BU10" i="16" s="1"/>
  <c r="BR10" i="16"/>
  <c r="BS10" i="16" s="1"/>
  <c r="BK10" i="16"/>
  <c r="BH10" i="16"/>
  <c r="BL10" i="16" s="1"/>
  <c r="BD10" i="16"/>
  <c r="BE10" i="16" s="1"/>
  <c r="BC10" i="16"/>
  <c r="BB10" i="16"/>
  <c r="AY10" i="16"/>
  <c r="AR10" i="16"/>
  <c r="AQ10" i="16"/>
  <c r="AP10" i="16"/>
  <c r="AG10" i="16"/>
  <c r="AF10" i="16"/>
  <c r="AE10" i="16"/>
  <c r="V10" i="16"/>
  <c r="U10" i="16"/>
  <c r="T10" i="16"/>
  <c r="I10" i="16"/>
  <c r="L10" i="16" s="1"/>
  <c r="BZ32" i="8"/>
  <c r="BW32" i="8"/>
  <c r="BX32" i="8" s="1"/>
  <c r="BU32" i="8"/>
  <c r="BV32" i="8" s="1"/>
  <c r="BS32" i="8"/>
  <c r="BT32" i="8" s="1"/>
  <c r="BQ32" i="8"/>
  <c r="BR32" i="8" s="1"/>
  <c r="BL32" i="8"/>
  <c r="BJ32" i="8"/>
  <c r="BG32" i="8"/>
  <c r="BK32" i="8" s="1"/>
  <c r="BC32" i="8"/>
  <c r="BB32" i="8"/>
  <c r="BA32" i="8"/>
  <c r="AY32" i="8"/>
  <c r="AR32" i="8"/>
  <c r="AQ32" i="8"/>
  <c r="AP32" i="8"/>
  <c r="AG32" i="8"/>
  <c r="AF32" i="8"/>
  <c r="AE32" i="8"/>
  <c r="V32" i="8"/>
  <c r="U32" i="8"/>
  <c r="T32" i="8"/>
  <c r="K32" i="8"/>
  <c r="I32" i="8"/>
  <c r="L32" i="8" s="1"/>
  <c r="CA9" i="16"/>
  <c r="BV9" i="16"/>
  <c r="BW9" i="16" s="1"/>
  <c r="BT9" i="16"/>
  <c r="BU9" i="16" s="1"/>
  <c r="BR9" i="16"/>
  <c r="BS9" i="16" s="1"/>
  <c r="BK9" i="16"/>
  <c r="BH9" i="16"/>
  <c r="BL9" i="16" s="1"/>
  <c r="BD9" i="16"/>
  <c r="BE9" i="16" s="1"/>
  <c r="BC9" i="16"/>
  <c r="BB9" i="16"/>
  <c r="AY9" i="16"/>
  <c r="AR9" i="16"/>
  <c r="AQ9" i="16"/>
  <c r="AP9" i="16"/>
  <c r="AG9" i="16"/>
  <c r="AF9" i="16"/>
  <c r="AE9" i="16"/>
  <c r="V9" i="16"/>
  <c r="U9" i="16"/>
  <c r="T9" i="16"/>
  <c r="I9" i="16"/>
  <c r="L9" i="16" s="1"/>
  <c r="BZ31" i="8"/>
  <c r="BW31" i="8"/>
  <c r="BY31" i="8" s="1"/>
  <c r="BU31" i="8"/>
  <c r="BV31" i="8" s="1"/>
  <c r="BS31" i="8"/>
  <c r="BT31" i="8" s="1"/>
  <c r="BQ31" i="8"/>
  <c r="BL31" i="8"/>
  <c r="BJ31" i="8"/>
  <c r="BG31" i="8"/>
  <c r="BK31" i="8" s="1"/>
  <c r="BC31" i="8"/>
  <c r="BB31" i="8"/>
  <c r="BA31" i="8"/>
  <c r="AY31" i="8"/>
  <c r="AR31" i="8"/>
  <c r="AQ31" i="8"/>
  <c r="AP31" i="8"/>
  <c r="AG31" i="8"/>
  <c r="AF31" i="8"/>
  <c r="AE31" i="8"/>
  <c r="V31" i="8"/>
  <c r="U31" i="8"/>
  <c r="T31" i="8"/>
  <c r="K31" i="8"/>
  <c r="I31" i="8"/>
  <c r="L31" i="8" s="1"/>
  <c r="BZ30" i="8"/>
  <c r="BW30" i="8"/>
  <c r="BX30" i="8" s="1"/>
  <c r="BU30" i="8"/>
  <c r="BV30" i="8" s="1"/>
  <c r="BS30" i="8"/>
  <c r="BT30" i="8" s="1"/>
  <c r="BQ30" i="8"/>
  <c r="BR30" i="8" s="1"/>
  <c r="BL30" i="8"/>
  <c r="BJ30" i="8"/>
  <c r="BG30" i="8"/>
  <c r="BK30" i="8" s="1"/>
  <c r="BC30" i="8"/>
  <c r="BB30" i="8"/>
  <c r="BA30" i="8"/>
  <c r="AY30" i="8"/>
  <c r="AR30" i="8"/>
  <c r="AQ30" i="8"/>
  <c r="AP30" i="8"/>
  <c r="AG30" i="8"/>
  <c r="AF30" i="8"/>
  <c r="AE30" i="8"/>
  <c r="V30" i="8"/>
  <c r="U30" i="8"/>
  <c r="T30" i="8"/>
  <c r="K30" i="8"/>
  <c r="I30" i="8"/>
  <c r="L30" i="8" s="1"/>
  <c r="CA7" i="16"/>
  <c r="BX7" i="16"/>
  <c r="BZ7" i="16" s="1"/>
  <c r="BV7" i="16"/>
  <c r="BW7" i="16" s="1"/>
  <c r="BT7" i="16"/>
  <c r="BU7" i="16" s="1"/>
  <c r="BR7" i="16"/>
  <c r="BS7" i="16" s="1"/>
  <c r="BM7" i="16"/>
  <c r="BK7" i="16"/>
  <c r="BH7" i="16"/>
  <c r="BL7" i="16" s="1"/>
  <c r="BD7" i="16"/>
  <c r="BE7" i="16" s="1"/>
  <c r="BC7" i="16"/>
  <c r="BB7" i="16"/>
  <c r="AY7" i="16"/>
  <c r="AR7" i="16"/>
  <c r="AQ7" i="16"/>
  <c r="AP7" i="16"/>
  <c r="AG7" i="16"/>
  <c r="AF7" i="16"/>
  <c r="AE7" i="16"/>
  <c r="V7" i="16"/>
  <c r="U7" i="16"/>
  <c r="T7" i="16"/>
  <c r="I7" i="16"/>
  <c r="L7" i="16" s="1"/>
  <c r="CA8" i="16"/>
  <c r="BX8" i="16"/>
  <c r="BZ8" i="16" s="1"/>
  <c r="BV8" i="16"/>
  <c r="BW8" i="16" s="1"/>
  <c r="BT8" i="16"/>
  <c r="BU8" i="16" s="1"/>
  <c r="BR8" i="16"/>
  <c r="BS8" i="16" s="1"/>
  <c r="BM8" i="16"/>
  <c r="BK8" i="16"/>
  <c r="BH8" i="16"/>
  <c r="BL8" i="16" s="1"/>
  <c r="BD8" i="16"/>
  <c r="BE8" i="16" s="1"/>
  <c r="BC8" i="16"/>
  <c r="BB8" i="16"/>
  <c r="AY8" i="16"/>
  <c r="AR8" i="16"/>
  <c r="AQ8" i="16"/>
  <c r="AP8" i="16"/>
  <c r="AG8" i="16"/>
  <c r="AF8" i="16"/>
  <c r="AE8" i="16"/>
  <c r="V8" i="16"/>
  <c r="U8" i="16"/>
  <c r="T8" i="16"/>
  <c r="I8" i="16"/>
  <c r="L8" i="16" s="1"/>
  <c r="BZ29" i="8"/>
  <c r="BW29" i="8"/>
  <c r="BY29" i="8" s="1"/>
  <c r="BU29" i="8"/>
  <c r="BV29" i="8" s="1"/>
  <c r="BS29" i="8"/>
  <c r="BT29" i="8" s="1"/>
  <c r="BQ29" i="8"/>
  <c r="BR29" i="8" s="1"/>
  <c r="BL29" i="8"/>
  <c r="BJ29" i="8"/>
  <c r="BG29" i="8"/>
  <c r="BK29" i="8" s="1"/>
  <c r="BC29" i="8"/>
  <c r="BB29" i="8"/>
  <c r="BA29" i="8"/>
  <c r="AY29" i="8"/>
  <c r="AR29" i="8"/>
  <c r="AQ29" i="8"/>
  <c r="AP29" i="8"/>
  <c r="AG29" i="8"/>
  <c r="AF29" i="8"/>
  <c r="AE29" i="8"/>
  <c r="V29" i="8"/>
  <c r="U29" i="8"/>
  <c r="T29" i="8"/>
  <c r="K29" i="8"/>
  <c r="I29" i="8"/>
  <c r="L29" i="8" s="1"/>
  <c r="K7" i="16"/>
  <c r="G7" i="18"/>
  <c r="K7" i="18" s="1"/>
  <c r="I7" i="18" s="1"/>
  <c r="E7" i="18"/>
  <c r="D7" i="18"/>
  <c r="C7" i="18" s="1"/>
  <c r="BZ28" i="8"/>
  <c r="BW28" i="8"/>
  <c r="BX28" i="8" s="1"/>
  <c r="BU28" i="8"/>
  <c r="BV28" i="8" s="1"/>
  <c r="BS28" i="8"/>
  <c r="BQ28" i="8"/>
  <c r="BR28" i="8" s="1"/>
  <c r="BL28" i="8"/>
  <c r="BJ28" i="8"/>
  <c r="BG28" i="8"/>
  <c r="BK28" i="8" s="1"/>
  <c r="BC28" i="8"/>
  <c r="BB28" i="8"/>
  <c r="BA28" i="8"/>
  <c r="AY28" i="8"/>
  <c r="AR28" i="8"/>
  <c r="AQ28" i="8"/>
  <c r="AP28" i="8"/>
  <c r="AG28" i="8"/>
  <c r="AF28" i="8"/>
  <c r="AE28" i="8"/>
  <c r="V28" i="8"/>
  <c r="U28" i="8"/>
  <c r="T28" i="8"/>
  <c r="K28" i="8"/>
  <c r="I28" i="8"/>
  <c r="L28" i="8" s="1"/>
  <c r="BZ27" i="8"/>
  <c r="BW27" i="8"/>
  <c r="BY27" i="8" s="1"/>
  <c r="BU27" i="8"/>
  <c r="BV27" i="8" s="1"/>
  <c r="BS27" i="8"/>
  <c r="BT27" i="8" s="1"/>
  <c r="BQ27" i="8"/>
  <c r="BR27" i="8" s="1"/>
  <c r="BL27" i="8"/>
  <c r="BJ27" i="8"/>
  <c r="BG27" i="8"/>
  <c r="BK27" i="8" s="1"/>
  <c r="BC27" i="8"/>
  <c r="BB27" i="8"/>
  <c r="BA27" i="8"/>
  <c r="AY27" i="8"/>
  <c r="AR27" i="8"/>
  <c r="AQ27" i="8"/>
  <c r="AP27" i="8"/>
  <c r="AG27" i="8"/>
  <c r="AF27" i="8"/>
  <c r="AE27" i="8"/>
  <c r="V27" i="8"/>
  <c r="U27" i="8"/>
  <c r="T27" i="8"/>
  <c r="K27" i="8"/>
  <c r="I27" i="8"/>
  <c r="L27" i="8" s="1"/>
  <c r="BZ26" i="8"/>
  <c r="BW26" i="8"/>
  <c r="BY26" i="8" s="1"/>
  <c r="O25" i="2" s="1"/>
  <c r="BU26" i="8"/>
  <c r="BV26" i="8" s="1"/>
  <c r="BS26" i="8"/>
  <c r="BT26" i="8" s="1"/>
  <c r="BQ26" i="8"/>
  <c r="BR26" i="8" s="1"/>
  <c r="BL26" i="8"/>
  <c r="BJ26" i="8"/>
  <c r="BG26" i="8"/>
  <c r="BK26" i="8" s="1"/>
  <c r="BC26" i="8"/>
  <c r="BB26" i="8"/>
  <c r="BA26" i="8"/>
  <c r="AY26" i="8"/>
  <c r="E28" i="12" s="1"/>
  <c r="G28" i="12" s="1"/>
  <c r="AR26" i="8"/>
  <c r="AQ26" i="8"/>
  <c r="AP26" i="8"/>
  <c r="AG26" i="8"/>
  <c r="AF26" i="8"/>
  <c r="AE26" i="8"/>
  <c r="V26" i="8"/>
  <c r="U26" i="8"/>
  <c r="T26" i="8"/>
  <c r="K26" i="8"/>
  <c r="J25" i="2" s="1"/>
  <c r="I26" i="8"/>
  <c r="L26" i="8" s="1"/>
  <c r="C25" i="2" s="1"/>
  <c r="C17" i="2"/>
  <c r="BZ12" i="8"/>
  <c r="L7" i="18"/>
  <c r="BU12" i="8"/>
  <c r="BV12" i="8" s="1"/>
  <c r="BS12" i="8"/>
  <c r="BT12" i="8" s="1"/>
  <c r="BQ12" i="8"/>
  <c r="BR12" i="8" s="1"/>
  <c r="BJ12" i="8"/>
  <c r="BG12" i="8"/>
  <c r="BK12" i="8" s="1"/>
  <c r="BC12" i="8"/>
  <c r="BB12" i="8"/>
  <c r="BA12" i="8"/>
  <c r="AY12" i="8"/>
  <c r="AR12" i="8"/>
  <c r="AQ12" i="8"/>
  <c r="AP12" i="8"/>
  <c r="AG12" i="8"/>
  <c r="AF12" i="8"/>
  <c r="AE12" i="8"/>
  <c r="V12" i="8"/>
  <c r="U12" i="8"/>
  <c r="T12" i="8"/>
  <c r="K12" i="8"/>
  <c r="I12" i="8"/>
  <c r="L12" i="8" s="1"/>
  <c r="E4" i="12"/>
  <c r="D4" i="12"/>
  <c r="I4" i="12" s="1"/>
  <c r="D3" i="12"/>
  <c r="D2" i="12"/>
  <c r="D41" i="12"/>
  <c r="D40" i="12"/>
  <c r="D39" i="12"/>
  <c r="D38" i="12"/>
  <c r="D37" i="12"/>
  <c r="D36" i="12"/>
  <c r="D35" i="12"/>
  <c r="D34" i="12"/>
  <c r="D33" i="12"/>
  <c r="D32" i="12"/>
  <c r="D31" i="12"/>
  <c r="D30" i="12"/>
  <c r="D29" i="12"/>
  <c r="D28" i="12"/>
  <c r="D27" i="12"/>
  <c r="I27" i="12" s="1"/>
  <c r="D17" i="12"/>
  <c r="D16" i="12"/>
  <c r="D25" i="12"/>
  <c r="I25" i="12" s="1"/>
  <c r="D26" i="12"/>
  <c r="I26" i="12" s="1"/>
  <c r="D15" i="12"/>
  <c r="D12" i="12"/>
  <c r="D22" i="12"/>
  <c r="I22" i="12" s="1"/>
  <c r="D23" i="12"/>
  <c r="D14" i="12"/>
  <c r="D13" i="12"/>
  <c r="D9" i="12"/>
  <c r="D8" i="12"/>
  <c r="D5" i="12"/>
  <c r="D24" i="12"/>
  <c r="I24" i="12" s="1"/>
  <c r="D10" i="12"/>
  <c r="D6" i="12"/>
  <c r="D11" i="12"/>
  <c r="D7" i="12"/>
  <c r="D21" i="12"/>
  <c r="D20" i="12"/>
  <c r="D19" i="12"/>
  <c r="D18" i="12"/>
  <c r="C4" i="12"/>
  <c r="C3" i="12"/>
  <c r="C2" i="12"/>
  <c r="C41" i="12"/>
  <c r="C40" i="12"/>
  <c r="C39" i="12"/>
  <c r="C38" i="12"/>
  <c r="C37" i="12"/>
  <c r="C36" i="12"/>
  <c r="C35" i="12"/>
  <c r="C34" i="12"/>
  <c r="C33" i="12"/>
  <c r="C32" i="12"/>
  <c r="C31" i="12"/>
  <c r="C30" i="12"/>
  <c r="C29" i="12"/>
  <c r="C28" i="12"/>
  <c r="C27" i="12"/>
  <c r="C17" i="12"/>
  <c r="C16" i="12"/>
  <c r="C25" i="12"/>
  <c r="C26" i="12"/>
  <c r="C15" i="12"/>
  <c r="C12" i="12"/>
  <c r="C22" i="12"/>
  <c r="C23" i="12"/>
  <c r="C14" i="12"/>
  <c r="C13" i="12"/>
  <c r="C9" i="12"/>
  <c r="C8" i="12"/>
  <c r="C5" i="12"/>
  <c r="C24" i="12"/>
  <c r="C10" i="12"/>
  <c r="C6" i="12"/>
  <c r="C11" i="12"/>
  <c r="C7" i="12"/>
  <c r="C21" i="12"/>
  <c r="C20" i="12"/>
  <c r="C19" i="12"/>
  <c r="C18" i="12"/>
  <c r="B4" i="12"/>
  <c r="B3" i="12"/>
  <c r="B2" i="12"/>
  <c r="B41" i="12"/>
  <c r="B40" i="12"/>
  <c r="B39" i="12"/>
  <c r="B38" i="12"/>
  <c r="B37" i="12"/>
  <c r="B36" i="12"/>
  <c r="B35" i="12"/>
  <c r="B34" i="12"/>
  <c r="B33" i="12"/>
  <c r="B32" i="12"/>
  <c r="B31" i="12"/>
  <c r="B30" i="12"/>
  <c r="B29" i="12"/>
  <c r="B28" i="12"/>
  <c r="B27" i="12"/>
  <c r="B17" i="12"/>
  <c r="B16" i="12"/>
  <c r="B25" i="12"/>
  <c r="B26" i="12"/>
  <c r="B15" i="12"/>
  <c r="B12" i="12"/>
  <c r="B22" i="12"/>
  <c r="B23" i="12"/>
  <c r="B14" i="12"/>
  <c r="B13" i="12"/>
  <c r="B9" i="12"/>
  <c r="B8" i="12"/>
  <c r="B5" i="12"/>
  <c r="B24" i="12"/>
  <c r="B10" i="12"/>
  <c r="B6" i="12"/>
  <c r="B11" i="12"/>
  <c r="B7" i="12"/>
  <c r="B21" i="12"/>
  <c r="B20" i="12"/>
  <c r="B19" i="12"/>
  <c r="B18" i="12"/>
  <c r="A4" i="12"/>
  <c r="A3" i="12"/>
  <c r="A2" i="12"/>
  <c r="A41" i="12"/>
  <c r="A40" i="12"/>
  <c r="A39" i="12"/>
  <c r="A38" i="12"/>
  <c r="A37" i="12"/>
  <c r="A36" i="12"/>
  <c r="A35" i="12"/>
  <c r="A34" i="12"/>
  <c r="A33" i="12"/>
  <c r="A32" i="12"/>
  <c r="A31" i="12"/>
  <c r="A30" i="12"/>
  <c r="A29" i="12"/>
  <c r="A28" i="12"/>
  <c r="A27" i="12"/>
  <c r="A17" i="12"/>
  <c r="A16" i="12"/>
  <c r="A25" i="12"/>
  <c r="A26" i="12"/>
  <c r="A15" i="12"/>
  <c r="A12" i="12"/>
  <c r="A22" i="12"/>
  <c r="A23" i="12"/>
  <c r="A14" i="12"/>
  <c r="A13" i="12"/>
  <c r="A9" i="12"/>
  <c r="A8" i="12"/>
  <c r="A5" i="12"/>
  <c r="A24" i="12"/>
  <c r="A10" i="12"/>
  <c r="A6" i="12"/>
  <c r="A11" i="12"/>
  <c r="A7" i="12"/>
  <c r="A21" i="12"/>
  <c r="A20" i="12"/>
  <c r="A19" i="12"/>
  <c r="A18" i="12"/>
  <c r="B33" i="2"/>
  <c r="A33" i="2"/>
  <c r="B32" i="2"/>
  <c r="A32" i="2"/>
  <c r="B31" i="2"/>
  <c r="A31" i="2"/>
  <c r="B30" i="2"/>
  <c r="A30" i="2"/>
  <c r="B29" i="2"/>
  <c r="A29" i="2"/>
  <c r="B28" i="2"/>
  <c r="A28" i="2"/>
  <c r="B27" i="2"/>
  <c r="A27" i="2"/>
  <c r="B26" i="2"/>
  <c r="A26" i="2"/>
  <c r="B25" i="2"/>
  <c r="A25" i="2"/>
  <c r="B24" i="2"/>
  <c r="A24" i="2"/>
  <c r="B23" i="2"/>
  <c r="A23" i="2"/>
  <c r="B22" i="2"/>
  <c r="A22" i="2"/>
  <c r="B21" i="2"/>
  <c r="A21" i="2"/>
  <c r="B20" i="2"/>
  <c r="A20" i="2"/>
  <c r="B19" i="2"/>
  <c r="A19" i="2"/>
  <c r="B18" i="2"/>
  <c r="A18" i="2"/>
  <c r="B17" i="2"/>
  <c r="A17" i="2"/>
  <c r="B16" i="2"/>
  <c r="A16" i="2"/>
  <c r="B15" i="2"/>
  <c r="A15" i="2"/>
  <c r="B14" i="2"/>
  <c r="A14" i="2"/>
  <c r="B13" i="2"/>
  <c r="A13" i="2"/>
  <c r="B12" i="2"/>
  <c r="A12" i="2"/>
  <c r="B11" i="2"/>
  <c r="A11" i="2"/>
  <c r="B10" i="2"/>
  <c r="A10" i="2"/>
  <c r="B9" i="2"/>
  <c r="A9" i="2"/>
  <c r="B8" i="2"/>
  <c r="A8" i="2"/>
  <c r="B7" i="2"/>
  <c r="A7" i="2"/>
  <c r="B6" i="2"/>
  <c r="A6" i="2"/>
  <c r="B5" i="2"/>
  <c r="A5" i="2"/>
  <c r="B4" i="2"/>
  <c r="A4" i="2"/>
  <c r="BZ38" i="8"/>
  <c r="BW38" i="8"/>
  <c r="BY38" i="8" s="1"/>
  <c r="BU38" i="8"/>
  <c r="BV38" i="8" s="1"/>
  <c r="BS38" i="8"/>
  <c r="BT38" i="8" s="1"/>
  <c r="BQ38" i="8"/>
  <c r="BR38" i="8" s="1"/>
  <c r="BL38" i="8"/>
  <c r="BJ38" i="8"/>
  <c r="BG38" i="8"/>
  <c r="BK38" i="8" s="1"/>
  <c r="BC38" i="8"/>
  <c r="BB38" i="8"/>
  <c r="BA38" i="8"/>
  <c r="AY38" i="8"/>
  <c r="AR38" i="8"/>
  <c r="AQ38" i="8"/>
  <c r="AP38" i="8"/>
  <c r="AG38" i="8"/>
  <c r="AF38" i="8"/>
  <c r="AE38" i="8"/>
  <c r="V38" i="8"/>
  <c r="U38" i="8"/>
  <c r="T38" i="8"/>
  <c r="K38" i="8"/>
  <c r="I38" i="8"/>
  <c r="L38" i="8" s="1"/>
  <c r="G2" i="18"/>
  <c r="K2" i="18" s="1"/>
  <c r="I2" i="18" s="1"/>
  <c r="G3" i="18"/>
  <c r="K3" i="18" s="1"/>
  <c r="I3" i="18" s="1"/>
  <c r="G4" i="18"/>
  <c r="K4" i="18" s="1"/>
  <c r="I4" i="18" s="1"/>
  <c r="G5" i="18"/>
  <c r="H5" i="18" s="1"/>
  <c r="G6" i="18"/>
  <c r="H6" i="18" s="1"/>
  <c r="G8" i="18"/>
  <c r="H8" i="18" s="1"/>
  <c r="G9" i="18"/>
  <c r="H9" i="18" s="1"/>
  <c r="G10" i="18"/>
  <c r="H10" i="18" s="1"/>
  <c r="E2" i="18"/>
  <c r="B2" i="18" s="1"/>
  <c r="E3" i="18"/>
  <c r="E4" i="18"/>
  <c r="E5" i="18"/>
  <c r="E6" i="18"/>
  <c r="B6" i="18" s="1"/>
  <c r="E8" i="18"/>
  <c r="B8" i="18" s="1"/>
  <c r="E9" i="18"/>
  <c r="E10" i="18"/>
  <c r="BZ34" i="8"/>
  <c r="BW34" i="8"/>
  <c r="BU34" i="8"/>
  <c r="BV34" i="8" s="1"/>
  <c r="BS34" i="8"/>
  <c r="BQ34" i="8"/>
  <c r="BL34" i="8"/>
  <c r="BJ34" i="8"/>
  <c r="BG34" i="8"/>
  <c r="BK34" i="8" s="1"/>
  <c r="BC34" i="8"/>
  <c r="BB34" i="8"/>
  <c r="BA34" i="8"/>
  <c r="AY34" i="8"/>
  <c r="E36" i="12" s="1"/>
  <c r="G36" i="12" s="1"/>
  <c r="AR34" i="8"/>
  <c r="AQ34" i="8"/>
  <c r="AP34" i="8"/>
  <c r="AG34" i="8"/>
  <c r="AF34" i="8"/>
  <c r="AE34" i="8"/>
  <c r="V34" i="8"/>
  <c r="U34" i="8"/>
  <c r="T34" i="8"/>
  <c r="K34" i="8"/>
  <c r="I34" i="8"/>
  <c r="L34" i="8" s="1"/>
  <c r="C33" i="2" s="1"/>
  <c r="BE5" i="16"/>
  <c r="BG11" i="8"/>
  <c r="BK11" i="8" s="1"/>
  <c r="BG4" i="8"/>
  <c r="BK4" i="8" s="1"/>
  <c r="BG5" i="8"/>
  <c r="BK5" i="8" s="1"/>
  <c r="BG6" i="8"/>
  <c r="BK6" i="8" s="1"/>
  <c r="BG7" i="8"/>
  <c r="BK7" i="8" s="1"/>
  <c r="BG8" i="8"/>
  <c r="BK8" i="8" s="1"/>
  <c r="BG9" i="8"/>
  <c r="BK9" i="8" s="1"/>
  <c r="P9" i="17"/>
  <c r="BG35" i="8"/>
  <c r="BK35" i="8" s="1"/>
  <c r="BG36" i="8"/>
  <c r="BK36" i="8" s="1"/>
  <c r="BG37" i="8"/>
  <c r="BK37" i="8" s="1"/>
  <c r="BG39" i="8"/>
  <c r="BK39" i="8" s="1"/>
  <c r="BG40" i="8"/>
  <c r="BK40" i="8" s="1"/>
  <c r="BG3" i="8"/>
  <c r="BK3" i="8" s="1"/>
  <c r="I11" i="8"/>
  <c r="L11" i="8" s="1"/>
  <c r="BZ4" i="8"/>
  <c r="L9" i="18"/>
  <c r="BZ5" i="8"/>
  <c r="L6" i="18"/>
  <c r="BZ6" i="8"/>
  <c r="L2" i="18"/>
  <c r="BZ7" i="8"/>
  <c r="L3" i="18"/>
  <c r="BZ8" i="8"/>
  <c r="L4" i="18"/>
  <c r="BZ9" i="8"/>
  <c r="L10" i="18"/>
  <c r="BZ10" i="8"/>
  <c r="L5" i="18"/>
  <c r="BZ11" i="8"/>
  <c r="BZ35" i="8"/>
  <c r="BZ36" i="8"/>
  <c r="BZ37" i="8"/>
  <c r="BZ39" i="8"/>
  <c r="BZ40" i="8"/>
  <c r="BZ3" i="8"/>
  <c r="L8" i="18"/>
  <c r="I8" i="8"/>
  <c r="L8" i="8" s="1"/>
  <c r="D9" i="18"/>
  <c r="C9" i="18" s="1"/>
  <c r="H1" i="3"/>
  <c r="H2" i="3"/>
  <c r="D5" i="18"/>
  <c r="C5" i="18" s="1"/>
  <c r="D6" i="18"/>
  <c r="C6" i="18" s="1"/>
  <c r="D2" i="18"/>
  <c r="C2" i="18" s="1"/>
  <c r="D3" i="18"/>
  <c r="C3" i="18" s="1"/>
  <c r="D4" i="18"/>
  <c r="C4" i="18" s="1"/>
  <c r="D10" i="18"/>
  <c r="C10" i="18" s="1"/>
  <c r="D8" i="18"/>
  <c r="C8" i="18" s="1"/>
  <c r="O9" i="17"/>
  <c r="R9" i="17"/>
  <c r="O15" i="17"/>
  <c r="P15" i="17"/>
  <c r="R15" i="17"/>
  <c r="S15" i="17"/>
  <c r="O12" i="17"/>
  <c r="P12" i="17"/>
  <c r="R12" i="17"/>
  <c r="S12" i="17"/>
  <c r="O3" i="17"/>
  <c r="P3" i="17"/>
  <c r="R3" i="17"/>
  <c r="S3" i="17"/>
  <c r="O5" i="17"/>
  <c r="P5" i="17"/>
  <c r="R5" i="17"/>
  <c r="S5" i="17"/>
  <c r="O8" i="17"/>
  <c r="P8" i="17"/>
  <c r="R8" i="17"/>
  <c r="S8" i="17"/>
  <c r="O4" i="17"/>
  <c r="P4" i="17"/>
  <c r="R4" i="17"/>
  <c r="S4" i="17"/>
  <c r="O13" i="17"/>
  <c r="P13" i="17"/>
  <c r="R13" i="17"/>
  <c r="S13" i="17"/>
  <c r="O6" i="17"/>
  <c r="P6" i="17"/>
  <c r="R6" i="17"/>
  <c r="S6" i="17"/>
  <c r="O10" i="17"/>
  <c r="P10" i="17"/>
  <c r="R10" i="17"/>
  <c r="S10" i="17"/>
  <c r="Q11" i="17"/>
  <c r="K8" i="8"/>
  <c r="K35" i="8"/>
  <c r="K36" i="8"/>
  <c r="K37" i="8"/>
  <c r="K39" i="8"/>
  <c r="K40" i="8"/>
  <c r="K16" i="17"/>
  <c r="M16" i="17" s="1"/>
  <c r="K11" i="17"/>
  <c r="M11" i="17" s="1"/>
  <c r="K41" i="17"/>
  <c r="M41" i="17" s="1"/>
  <c r="M40" i="17"/>
  <c r="K39" i="17"/>
  <c r="M39" i="17" s="1"/>
  <c r="K38" i="17"/>
  <c r="M38" i="17" s="1"/>
  <c r="K37" i="17"/>
  <c r="M37" i="17" s="1"/>
  <c r="K36" i="17"/>
  <c r="M36" i="17" s="1"/>
  <c r="K35" i="17"/>
  <c r="M35" i="17" s="1"/>
  <c r="K34" i="17"/>
  <c r="M34" i="17" s="1"/>
  <c r="K33" i="17"/>
  <c r="M33" i="17" s="1"/>
  <c r="K32" i="17"/>
  <c r="M32" i="17" s="1"/>
  <c r="K31" i="17"/>
  <c r="M31" i="17" s="1"/>
  <c r="K30" i="17"/>
  <c r="M30" i="17" s="1"/>
  <c r="K29" i="17"/>
  <c r="M29" i="17" s="1"/>
  <c r="K28" i="17"/>
  <c r="M28" i="17" s="1"/>
  <c r="K27" i="17"/>
  <c r="M27" i="17" s="1"/>
  <c r="K26" i="17"/>
  <c r="M26" i="17" s="1"/>
  <c r="K25" i="17"/>
  <c r="M25" i="17" s="1"/>
  <c r="K24" i="17"/>
  <c r="M24" i="17" s="1"/>
  <c r="K23" i="17"/>
  <c r="M23" i="17" s="1"/>
  <c r="K22" i="17"/>
  <c r="M22" i="17" s="1"/>
  <c r="K21" i="17"/>
  <c r="M21" i="17" s="1"/>
  <c r="K20" i="17"/>
  <c r="M20" i="17" s="1"/>
  <c r="K19" i="17"/>
  <c r="M19" i="17" s="1"/>
  <c r="K17" i="17"/>
  <c r="M17" i="17" s="1"/>
  <c r="K18" i="17"/>
  <c r="M18" i="17" s="1"/>
  <c r="K10" i="17"/>
  <c r="M10" i="17" s="1"/>
  <c r="K6" i="17"/>
  <c r="M6" i="17" s="1"/>
  <c r="K13" i="17"/>
  <c r="M13" i="17" s="1"/>
  <c r="K4" i="17"/>
  <c r="M4" i="17" s="1"/>
  <c r="K8" i="17"/>
  <c r="M8" i="17" s="1"/>
  <c r="K5" i="17"/>
  <c r="M5" i="17" s="1"/>
  <c r="K3" i="17"/>
  <c r="M3" i="17" s="1"/>
  <c r="K12" i="17"/>
  <c r="M12" i="17" s="1"/>
  <c r="K15" i="17"/>
  <c r="M15" i="17" s="1"/>
  <c r="K9" i="17"/>
  <c r="M9" i="17" s="1"/>
  <c r="K14" i="17"/>
  <c r="M14" i="17" s="1"/>
  <c r="K7" i="17"/>
  <c r="M7" i="17" s="1"/>
  <c r="M42" i="17"/>
  <c r="K10" i="8"/>
  <c r="F58" i="13"/>
  <c r="E58" i="13"/>
  <c r="D58" i="13"/>
  <c r="C58" i="13"/>
  <c r="I9" i="8"/>
  <c r="L9" i="8" s="1"/>
  <c r="I7" i="8"/>
  <c r="L7" i="8" s="1"/>
  <c r="I6" i="8"/>
  <c r="L6" i="8" s="1"/>
  <c r="C7" i="2" s="1"/>
  <c r="I5" i="8"/>
  <c r="L5" i="8" s="1"/>
  <c r="C6" i="2" s="1"/>
  <c r="I4" i="8"/>
  <c r="L4" i="8" s="1"/>
  <c r="C5" i="2" s="1"/>
  <c r="I3" i="8"/>
  <c r="L3" i="8" s="1"/>
  <c r="C4" i="2" s="1"/>
  <c r="I40" i="8"/>
  <c r="L40" i="8" s="1"/>
  <c r="I39" i="8"/>
  <c r="L39" i="8" s="1"/>
  <c r="I37" i="8"/>
  <c r="L37" i="8" s="1"/>
  <c r="I36" i="8"/>
  <c r="L36" i="8" s="1"/>
  <c r="I35" i="8"/>
  <c r="L35" i="8" s="1"/>
  <c r="K9" i="8"/>
  <c r="K7" i="8"/>
  <c r="J9" i="2" s="1"/>
  <c r="K5" i="8"/>
  <c r="J6" i="2" s="1"/>
  <c r="Q7" i="17"/>
  <c r="I3" i="16"/>
  <c r="L3" i="16" s="1"/>
  <c r="K3" i="16"/>
  <c r="T3" i="16"/>
  <c r="U3" i="16"/>
  <c r="V3" i="16"/>
  <c r="AE3" i="16"/>
  <c r="AF3" i="16"/>
  <c r="AG3" i="16"/>
  <c r="AP3" i="16"/>
  <c r="AQ3" i="16"/>
  <c r="AR3" i="16"/>
  <c r="AY3" i="16"/>
  <c r="BB3" i="16"/>
  <c r="BC3" i="16"/>
  <c r="BD3" i="16"/>
  <c r="BE3" i="16" s="1"/>
  <c r="I4" i="16"/>
  <c r="L4" i="16" s="1"/>
  <c r="K4" i="16"/>
  <c r="T4" i="16"/>
  <c r="U4" i="16"/>
  <c r="V4" i="16"/>
  <c r="AE4" i="16"/>
  <c r="AF4" i="16"/>
  <c r="AG4" i="16"/>
  <c r="AP4" i="16"/>
  <c r="AQ4" i="16"/>
  <c r="AR4" i="16"/>
  <c r="AY4" i="16"/>
  <c r="BB4" i="16"/>
  <c r="BC4" i="16"/>
  <c r="BD4" i="16"/>
  <c r="BH4" i="16"/>
  <c r="BL4" i="16" s="1"/>
  <c r="BK4" i="16"/>
  <c r="BR4" i="16"/>
  <c r="BS4" i="16" s="1"/>
  <c r="BT4" i="16"/>
  <c r="BU4" i="16" s="1"/>
  <c r="BV4" i="16"/>
  <c r="BW4" i="16" s="1"/>
  <c r="BV3" i="16"/>
  <c r="BW3" i="16" s="1"/>
  <c r="BT3" i="16"/>
  <c r="BU3" i="16" s="1"/>
  <c r="BR3" i="16"/>
  <c r="BS3" i="16" s="1"/>
  <c r="BK3" i="16"/>
  <c r="BH3" i="16"/>
  <c r="BL3" i="16" s="1"/>
  <c r="BX47" i="16"/>
  <c r="BY47" i="16" s="1"/>
  <c r="BV47" i="16"/>
  <c r="BW47" i="16" s="1"/>
  <c r="BT47" i="16"/>
  <c r="BU47" i="16" s="1"/>
  <c r="BR47" i="16"/>
  <c r="BS47" i="16" s="1"/>
  <c r="BX46" i="16"/>
  <c r="BY46" i="16" s="1"/>
  <c r="BV46" i="16"/>
  <c r="BW46" i="16" s="1"/>
  <c r="BT46" i="16"/>
  <c r="BU46" i="16" s="1"/>
  <c r="BR46" i="16"/>
  <c r="BS46" i="16" s="1"/>
  <c r="BX45" i="16"/>
  <c r="BZ45" i="16" s="1"/>
  <c r="BV45" i="16"/>
  <c r="BW45" i="16" s="1"/>
  <c r="BT45" i="16"/>
  <c r="BU45" i="16" s="1"/>
  <c r="BR45" i="16"/>
  <c r="BS45" i="16" s="1"/>
  <c r="BX44" i="16"/>
  <c r="BZ44" i="16" s="1"/>
  <c r="BV44" i="16"/>
  <c r="BW44" i="16" s="1"/>
  <c r="BT44" i="16"/>
  <c r="BU44" i="16" s="1"/>
  <c r="BR44" i="16"/>
  <c r="BS44" i="16" s="1"/>
  <c r="BX43" i="16"/>
  <c r="BZ43" i="16" s="1"/>
  <c r="BV43" i="16"/>
  <c r="BW43" i="16" s="1"/>
  <c r="BT43" i="16"/>
  <c r="BU43" i="16" s="1"/>
  <c r="BR43" i="16"/>
  <c r="BS43" i="16" s="1"/>
  <c r="BX42" i="16"/>
  <c r="BZ42" i="16" s="1"/>
  <c r="BV42" i="16"/>
  <c r="BW42" i="16" s="1"/>
  <c r="BT42" i="16"/>
  <c r="BU42" i="16" s="1"/>
  <c r="BR42" i="16"/>
  <c r="BS42" i="16" s="1"/>
  <c r="BX41" i="16"/>
  <c r="BZ41" i="16" s="1"/>
  <c r="BV41" i="16"/>
  <c r="BW41" i="16" s="1"/>
  <c r="BT41" i="16"/>
  <c r="BU41" i="16" s="1"/>
  <c r="BR41" i="16"/>
  <c r="BS41" i="16" s="1"/>
  <c r="BX40" i="16"/>
  <c r="BZ40" i="16" s="1"/>
  <c r="BV40" i="16"/>
  <c r="BW40" i="16" s="1"/>
  <c r="BT40" i="16"/>
  <c r="BU40" i="16" s="1"/>
  <c r="BR40" i="16"/>
  <c r="BS40" i="16" s="1"/>
  <c r="BX39" i="16"/>
  <c r="BY39" i="16" s="1"/>
  <c r="BV39" i="16"/>
  <c r="BW39" i="16" s="1"/>
  <c r="BT39" i="16"/>
  <c r="BU39" i="16" s="1"/>
  <c r="BR39" i="16"/>
  <c r="BS39" i="16" s="1"/>
  <c r="BX38" i="16"/>
  <c r="BZ38" i="16" s="1"/>
  <c r="BV38" i="16"/>
  <c r="BW38" i="16" s="1"/>
  <c r="BT38" i="16"/>
  <c r="BU38" i="16" s="1"/>
  <c r="BR38" i="16"/>
  <c r="BS38" i="16" s="1"/>
  <c r="BX37" i="16"/>
  <c r="BZ37" i="16" s="1"/>
  <c r="BV37" i="16"/>
  <c r="BW37" i="16" s="1"/>
  <c r="BT37" i="16"/>
  <c r="BU37" i="16" s="1"/>
  <c r="BR37" i="16"/>
  <c r="BS37" i="16" s="1"/>
  <c r="BX36" i="16"/>
  <c r="BZ36" i="16" s="1"/>
  <c r="BV36" i="16"/>
  <c r="BW36" i="16" s="1"/>
  <c r="BT36" i="16"/>
  <c r="BU36" i="16" s="1"/>
  <c r="BR36" i="16"/>
  <c r="BS36" i="16" s="1"/>
  <c r="BX35" i="16"/>
  <c r="BZ35" i="16" s="1"/>
  <c r="BV35" i="16"/>
  <c r="BW35" i="16" s="1"/>
  <c r="BT35" i="16"/>
  <c r="BU35" i="16" s="1"/>
  <c r="BR35" i="16"/>
  <c r="BS35" i="16" s="1"/>
  <c r="BX34" i="16"/>
  <c r="BZ34" i="16" s="1"/>
  <c r="BV34" i="16"/>
  <c r="BW34" i="16" s="1"/>
  <c r="BT34" i="16"/>
  <c r="BU34" i="16" s="1"/>
  <c r="BR34" i="16"/>
  <c r="BS34" i="16" s="1"/>
  <c r="BX33" i="16"/>
  <c r="BZ33" i="16" s="1"/>
  <c r="BV33" i="16"/>
  <c r="BW33" i="16" s="1"/>
  <c r="BT33" i="16"/>
  <c r="BU33" i="16" s="1"/>
  <c r="BR33" i="16"/>
  <c r="BS33" i="16" s="1"/>
  <c r="AY4" i="8"/>
  <c r="E19" i="12" s="1"/>
  <c r="G19" i="12" s="1"/>
  <c r="AY5" i="8"/>
  <c r="E20" i="12" s="1"/>
  <c r="G20" i="12" s="1"/>
  <c r="Q10" i="17"/>
  <c r="Q4" i="17"/>
  <c r="Q8" i="17"/>
  <c r="Q5" i="17"/>
  <c r="Q3" i="17"/>
  <c r="Q12" i="17"/>
  <c r="Q15" i="17"/>
  <c r="Q9" i="17"/>
  <c r="Q13" i="17"/>
  <c r="Q6" i="17"/>
  <c r="F29" i="13"/>
  <c r="E29" i="13"/>
  <c r="D29" i="13"/>
  <c r="C29" i="13"/>
  <c r="B62" i="13"/>
  <c r="F62" i="13" s="1"/>
  <c r="B60" i="13"/>
  <c r="AY3" i="8"/>
  <c r="E18" i="12" s="1"/>
  <c r="G18" i="12" s="1"/>
  <c r="BW5" i="8"/>
  <c r="BX5" i="8" s="1"/>
  <c r="BW7" i="8"/>
  <c r="BY7" i="8" s="1"/>
  <c r="BW11" i="8"/>
  <c r="BY11" i="8" s="1"/>
  <c r="BW35" i="8"/>
  <c r="BY35" i="8" s="1"/>
  <c r="BW36" i="8"/>
  <c r="BY36" i="8" s="1"/>
  <c r="BW37" i="8"/>
  <c r="BY37" i="8" s="1"/>
  <c r="BW39" i="8"/>
  <c r="BX39" i="8" s="1"/>
  <c r="BW40" i="8"/>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BU4" i="8"/>
  <c r="M5" i="2" s="1"/>
  <c r="BU6" i="8"/>
  <c r="BV6" i="8" s="1"/>
  <c r="BU10" i="8"/>
  <c r="BU11" i="8"/>
  <c r="BU35" i="8"/>
  <c r="BV35" i="8" s="1"/>
  <c r="BU36" i="8"/>
  <c r="BV36" i="8" s="1"/>
  <c r="BU37" i="8"/>
  <c r="BV37" i="8" s="1"/>
  <c r="BU39" i="8"/>
  <c r="BV39" i="8" s="1"/>
  <c r="BU40" i="8"/>
  <c r="BV40" i="8" s="1"/>
  <c r="BU3" i="8"/>
  <c r="M4" i="2" s="1"/>
  <c r="BS4" i="8"/>
  <c r="L5" i="2" s="1"/>
  <c r="BS6" i="8"/>
  <c r="BS7" i="8"/>
  <c r="BT7" i="8" s="1"/>
  <c r="BS8" i="8"/>
  <c r="BT8" i="8" s="1"/>
  <c r="BS10" i="8"/>
  <c r="BT10" i="8" s="1"/>
  <c r="BS11" i="8"/>
  <c r="L14" i="2" s="1"/>
  <c r="BS35" i="8"/>
  <c r="BT35" i="8" s="1"/>
  <c r="BS36" i="8"/>
  <c r="BT36" i="8" s="1"/>
  <c r="BS37" i="8"/>
  <c r="BT37" i="8" s="1"/>
  <c r="BS39" i="8"/>
  <c r="BT39" i="8" s="1"/>
  <c r="BS40" i="8"/>
  <c r="BT40" i="8" s="1"/>
  <c r="BQ3" i="8"/>
  <c r="BR3" i="8" s="1"/>
  <c r="BQ4" i="8"/>
  <c r="K5" i="2" s="1"/>
  <c r="BQ6" i="8"/>
  <c r="BQ7" i="8"/>
  <c r="BQ9" i="8"/>
  <c r="BQ10" i="8"/>
  <c r="BR10" i="8" s="1"/>
  <c r="BQ11" i="8"/>
  <c r="BR11" i="8" s="1"/>
  <c r="BQ35" i="8"/>
  <c r="BR35" i="8" s="1"/>
  <c r="BQ36" i="8"/>
  <c r="BR36" i="8" s="1"/>
  <c r="BQ37" i="8"/>
  <c r="BR37" i="8" s="1"/>
  <c r="BQ39" i="8"/>
  <c r="BR39" i="8" s="1"/>
  <c r="BQ40" i="8"/>
  <c r="BR40" i="8" s="1"/>
  <c r="AY6" i="8"/>
  <c r="AY7" i="8"/>
  <c r="E11" i="12" s="1"/>
  <c r="G11" i="12" s="1"/>
  <c r="AY8" i="8"/>
  <c r="AY9" i="8"/>
  <c r="AY10" i="8"/>
  <c r="AY11" i="8"/>
  <c r="E5" i="12" s="1"/>
  <c r="G5" i="12" s="1"/>
  <c r="AY35" i="8"/>
  <c r="AY36" i="8"/>
  <c r="AY37" i="8"/>
  <c r="AY39" i="8"/>
  <c r="E41" i="12" s="1"/>
  <c r="G41" i="12" s="1"/>
  <c r="AY40" i="8"/>
  <c r="E3" i="12" s="1"/>
  <c r="G3" i="12" s="1"/>
  <c r="AG40" i="8"/>
  <c r="AF40" i="8"/>
  <c r="AE40" i="8"/>
  <c r="AG39" i="8"/>
  <c r="AF39" i="8"/>
  <c r="AE39" i="8"/>
  <c r="AG37" i="8"/>
  <c r="AF37" i="8"/>
  <c r="AE37" i="8"/>
  <c r="AG36" i="8"/>
  <c r="AF36" i="8"/>
  <c r="AE36" i="8"/>
  <c r="AG35" i="8"/>
  <c r="AF35" i="8"/>
  <c r="AE35" i="8"/>
  <c r="AG11" i="8"/>
  <c r="AF11" i="8"/>
  <c r="AE11" i="8"/>
  <c r="AG10" i="8"/>
  <c r="AF10" i="8"/>
  <c r="AE10" i="8"/>
  <c r="AG9" i="8"/>
  <c r="AF9" i="8"/>
  <c r="AE9" i="8"/>
  <c r="AG8" i="8"/>
  <c r="AF8" i="8"/>
  <c r="AE8" i="8"/>
  <c r="AG7" i="8"/>
  <c r="AF7" i="8"/>
  <c r="AE7" i="8"/>
  <c r="AG6" i="8"/>
  <c r="AF6" i="8"/>
  <c r="AE6" i="8"/>
  <c r="AG5" i="8"/>
  <c r="AF5" i="8"/>
  <c r="AE5" i="8"/>
  <c r="AG4" i="8"/>
  <c r="AF4" i="8"/>
  <c r="AE4" i="8"/>
  <c r="AG3" i="8"/>
  <c r="BS3" i="8"/>
  <c r="L4" i="2" s="1"/>
  <c r="AF3" i="8"/>
  <c r="AE3" i="8"/>
  <c r="E22" i="12"/>
  <c r="G22" i="12" s="1"/>
  <c r="BS5" i="8"/>
  <c r="L6" i="2" s="1"/>
  <c r="AQ7" i="8"/>
  <c r="BA7" i="8"/>
  <c r="BB7" i="8"/>
  <c r="BC7" i="8"/>
  <c r="BA8" i="8"/>
  <c r="BB8" i="8"/>
  <c r="BC8" i="8"/>
  <c r="BA9" i="8"/>
  <c r="BB9" i="8"/>
  <c r="BC9" i="8"/>
  <c r="T7" i="8"/>
  <c r="U7" i="8"/>
  <c r="V7" i="8"/>
  <c r="T8" i="8"/>
  <c r="U8" i="8"/>
  <c r="V8" i="8"/>
  <c r="W8" i="8" s="1"/>
  <c r="T9" i="8"/>
  <c r="U9" i="8"/>
  <c r="V9" i="8"/>
  <c r="AP7" i="8"/>
  <c r="AR7" i="8"/>
  <c r="AS7" i="8" s="1"/>
  <c r="AP8" i="8"/>
  <c r="AQ8" i="8"/>
  <c r="AR8" i="8"/>
  <c r="AP9" i="8"/>
  <c r="AQ9" i="8"/>
  <c r="AR9" i="8"/>
  <c r="BW8" i="8"/>
  <c r="BX8" i="8" s="1"/>
  <c r="BL35" i="8"/>
  <c r="BL36" i="8"/>
  <c r="BL37" i="8"/>
  <c r="BL39" i="8"/>
  <c r="BL40" i="8"/>
  <c r="T11" i="8"/>
  <c r="U11" i="8"/>
  <c r="V11" i="8"/>
  <c r="AP11" i="8"/>
  <c r="AQ11" i="8"/>
  <c r="AR11" i="8"/>
  <c r="BA11" i="8"/>
  <c r="BB11" i="8"/>
  <c r="BC11" i="8"/>
  <c r="BJ11" i="8"/>
  <c r="T35" i="8"/>
  <c r="U35" i="8"/>
  <c r="V35" i="8"/>
  <c r="AP35" i="8"/>
  <c r="AQ35" i="8"/>
  <c r="AR35" i="8"/>
  <c r="BA35" i="8"/>
  <c r="BB35" i="8"/>
  <c r="BC35" i="8"/>
  <c r="BJ35" i="8"/>
  <c r="T36" i="8"/>
  <c r="U36" i="8"/>
  <c r="V36" i="8"/>
  <c r="AP36" i="8"/>
  <c r="AQ36" i="8"/>
  <c r="AR36" i="8"/>
  <c r="BA36" i="8"/>
  <c r="BB36" i="8"/>
  <c r="BC36" i="8"/>
  <c r="BJ36" i="8"/>
  <c r="T37" i="8"/>
  <c r="U37" i="8"/>
  <c r="V37" i="8"/>
  <c r="AP37" i="8"/>
  <c r="AQ37" i="8"/>
  <c r="AR37" i="8"/>
  <c r="BA37" i="8"/>
  <c r="BB37" i="8"/>
  <c r="BC37" i="8"/>
  <c r="BJ37" i="8"/>
  <c r="T39" i="8"/>
  <c r="U39" i="8"/>
  <c r="V39" i="8"/>
  <c r="AP39" i="8"/>
  <c r="AQ39" i="8"/>
  <c r="AR39" i="8"/>
  <c r="BA39" i="8"/>
  <c r="BB39" i="8"/>
  <c r="BC39" i="8"/>
  <c r="BJ39" i="8"/>
  <c r="T40" i="8"/>
  <c r="U40" i="8"/>
  <c r="V40" i="8"/>
  <c r="AP40" i="8"/>
  <c r="AQ40" i="8"/>
  <c r="AR40" i="8"/>
  <c r="BA40" i="8"/>
  <c r="BB40" i="8"/>
  <c r="BC40" i="8"/>
  <c r="BJ40" i="8"/>
  <c r="T10" i="8"/>
  <c r="U10" i="8"/>
  <c r="V10" i="8"/>
  <c r="AP10" i="8"/>
  <c r="AQ10" i="8"/>
  <c r="AR10" i="8"/>
  <c r="BA10" i="8"/>
  <c r="BB10" i="8"/>
  <c r="BC10" i="8"/>
  <c r="BW10" i="8"/>
  <c r="BY10" i="8" s="1"/>
  <c r="BJ10" i="8"/>
  <c r="BJ8" i="8"/>
  <c r="BJ9" i="8"/>
  <c r="S9" i="17"/>
  <c r="T4" i="8"/>
  <c r="U4" i="8"/>
  <c r="V4" i="8"/>
  <c r="AP4" i="8"/>
  <c r="AQ4" i="8"/>
  <c r="AR4" i="8"/>
  <c r="BA4" i="8"/>
  <c r="BB4" i="8"/>
  <c r="BC4" i="8"/>
  <c r="BJ4" i="8"/>
  <c r="T5" i="8"/>
  <c r="U5" i="8"/>
  <c r="V5" i="8"/>
  <c r="W5" i="8" s="1"/>
  <c r="D6" i="2" s="1"/>
  <c r="AP5" i="8"/>
  <c r="AQ5" i="8"/>
  <c r="AR5" i="8"/>
  <c r="BA5" i="8"/>
  <c r="BB5" i="8"/>
  <c r="BC5" i="8"/>
  <c r="BJ5" i="8"/>
  <c r="T6" i="8"/>
  <c r="U6" i="8"/>
  <c r="V6" i="8"/>
  <c r="AP6" i="8"/>
  <c r="AQ6" i="8"/>
  <c r="AR6" i="8"/>
  <c r="BA6" i="8"/>
  <c r="BB6" i="8"/>
  <c r="BC6" i="8"/>
  <c r="BD6" i="8" s="1"/>
  <c r="BJ6" i="8"/>
  <c r="BJ7" i="8"/>
  <c r="T3" i="8"/>
  <c r="BC3" i="8"/>
  <c r="BB3" i="8"/>
  <c r="BA3" i="8"/>
  <c r="AR3" i="8"/>
  <c r="AQ3" i="8"/>
  <c r="AP3" i="8"/>
  <c r="U3" i="8"/>
  <c r="V3" i="8"/>
  <c r="BJ3" i="8"/>
  <c r="F6" i="12" l="1"/>
  <c r="C12" i="2"/>
  <c r="M7" i="2"/>
  <c r="K8" i="2"/>
  <c r="L8" i="2"/>
  <c r="C8" i="2"/>
  <c r="C9" i="2"/>
  <c r="E7" i="12"/>
  <c r="G7" i="12" s="1"/>
  <c r="E21" i="12"/>
  <c r="G21" i="12" s="1"/>
  <c r="F11" i="12"/>
  <c r="K33" i="2"/>
  <c r="C34" i="2"/>
  <c r="J29" i="2"/>
  <c r="K9" i="16"/>
  <c r="AS7" i="16"/>
  <c r="BP7" i="16" s="1"/>
  <c r="K10" i="16"/>
  <c r="F8" i="12"/>
  <c r="BM10" i="16"/>
  <c r="BM3" i="16"/>
  <c r="BX9" i="16"/>
  <c r="BZ9" i="16" s="1"/>
  <c r="BM9" i="16"/>
  <c r="E39" i="12"/>
  <c r="G39" i="12" s="1"/>
  <c r="F10" i="12"/>
  <c r="E10" i="12"/>
  <c r="G10" i="12" s="1"/>
  <c r="K12" i="2"/>
  <c r="F24" i="12"/>
  <c r="E6" i="12"/>
  <c r="G6" i="12" s="1"/>
  <c r="K11" i="2"/>
  <c r="L12" i="2"/>
  <c r="C11" i="2"/>
  <c r="J10" i="2"/>
  <c r="C10" i="2"/>
  <c r="E24" i="12"/>
  <c r="G24" i="12" s="1"/>
  <c r="F5" i="12"/>
  <c r="J32" i="2"/>
  <c r="O24" i="2"/>
  <c r="I7" i="12"/>
  <c r="I8" i="12"/>
  <c r="K8" i="16"/>
  <c r="BM4" i="16"/>
  <c r="AH4" i="16"/>
  <c r="AS3" i="16"/>
  <c r="W8" i="16"/>
  <c r="BO16" i="8"/>
  <c r="E37" i="12"/>
  <c r="G37" i="12" s="1"/>
  <c r="BO17" i="8"/>
  <c r="E27" i="12"/>
  <c r="G27" i="12" s="1"/>
  <c r="J33" i="2"/>
  <c r="N33" i="2"/>
  <c r="J27" i="2"/>
  <c r="K30" i="2"/>
  <c r="E34" i="12"/>
  <c r="G34" i="12" s="1"/>
  <c r="H23" i="2"/>
  <c r="M13" i="2"/>
  <c r="E9" i="12"/>
  <c r="G9" i="12" s="1"/>
  <c r="E8" i="12"/>
  <c r="G8" i="12" s="1"/>
  <c r="F9" i="12"/>
  <c r="E14" i="12"/>
  <c r="G14" i="12" s="1"/>
  <c r="C14" i="2"/>
  <c r="C13" i="2"/>
  <c r="E2" i="12"/>
  <c r="G2" i="12" s="1"/>
  <c r="C35" i="2"/>
  <c r="F27" i="12"/>
  <c r="F31" i="12"/>
  <c r="F35" i="12"/>
  <c r="F39" i="12"/>
  <c r="F36" i="12"/>
  <c r="O26" i="2"/>
  <c r="E33" i="12"/>
  <c r="G33" i="12" s="1"/>
  <c r="C31" i="2"/>
  <c r="C24" i="2"/>
  <c r="O23" i="2"/>
  <c r="F37" i="12"/>
  <c r="BO18" i="8"/>
  <c r="C16" i="2"/>
  <c r="C15" i="2"/>
  <c r="M15" i="2"/>
  <c r="E23" i="12"/>
  <c r="G23" i="12" s="1"/>
  <c r="F14" i="12"/>
  <c r="E13" i="12"/>
  <c r="G13" i="12" s="1"/>
  <c r="M14" i="2"/>
  <c r="F13" i="12"/>
  <c r="AS8" i="8"/>
  <c r="F9" i="2" s="1"/>
  <c r="BD7" i="8"/>
  <c r="G8" i="2" s="1"/>
  <c r="E29" i="12"/>
  <c r="G29" i="12" s="1"/>
  <c r="C27" i="2"/>
  <c r="C28" i="2"/>
  <c r="C29" i="2"/>
  <c r="J30" i="2"/>
  <c r="C23" i="2"/>
  <c r="F30" i="12"/>
  <c r="F34" i="12"/>
  <c r="F38" i="12"/>
  <c r="C26" i="2"/>
  <c r="J28" i="2"/>
  <c r="E35" i="12"/>
  <c r="G35" i="12" s="1"/>
  <c r="E40" i="12"/>
  <c r="G40" i="12" s="1"/>
  <c r="J26" i="2"/>
  <c r="C32" i="2"/>
  <c r="M32" i="2"/>
  <c r="J24" i="2"/>
  <c r="F28" i="12"/>
  <c r="F32" i="12"/>
  <c r="F40" i="12"/>
  <c r="E38" i="12"/>
  <c r="G38" i="12" s="1"/>
  <c r="K11" i="8"/>
  <c r="J13" i="2" s="1"/>
  <c r="BL12" i="8"/>
  <c r="E30" i="12"/>
  <c r="G30" i="12" s="1"/>
  <c r="L27" i="2"/>
  <c r="E31" i="12"/>
  <c r="G31" i="12" s="1"/>
  <c r="E32" i="12"/>
  <c r="G32" i="12" s="1"/>
  <c r="C30" i="2"/>
  <c r="J31" i="2"/>
  <c r="E17" i="12"/>
  <c r="G17" i="12" s="1"/>
  <c r="K23" i="2"/>
  <c r="F29" i="12"/>
  <c r="F33" i="12"/>
  <c r="F41" i="12"/>
  <c r="AS24" i="8"/>
  <c r="W29" i="8"/>
  <c r="BL10" i="8"/>
  <c r="AH35" i="8"/>
  <c r="AH40" i="8"/>
  <c r="AS9" i="8"/>
  <c r="BD27" i="8"/>
  <c r="BD31" i="8"/>
  <c r="BD33" i="8"/>
  <c r="BL9" i="8"/>
  <c r="AS10" i="8"/>
  <c r="BW9" i="8"/>
  <c r="N10" i="2" s="1"/>
  <c r="K3" i="8"/>
  <c r="J4" i="2" s="1"/>
  <c r="BD36" i="8"/>
  <c r="K4" i="8"/>
  <c r="J5" i="2" s="1"/>
  <c r="D62" i="13"/>
  <c r="AH23" i="8"/>
  <c r="K24" i="2"/>
  <c r="BL6" i="8"/>
  <c r="AS35" i="8"/>
  <c r="BD10" i="8"/>
  <c r="BW4" i="8"/>
  <c r="BY4" i="8" s="1"/>
  <c r="O5" i="2" s="1"/>
  <c r="AH5" i="8"/>
  <c r="E6" i="2" s="1"/>
  <c r="AH8" i="8"/>
  <c r="AH37" i="8"/>
  <c r="C62" i="13"/>
  <c r="BD29" i="8"/>
  <c r="BD30" i="8"/>
  <c r="AS31" i="8"/>
  <c r="AS9" i="16"/>
  <c r="W32" i="8"/>
  <c r="W10" i="16"/>
  <c r="AH10" i="16"/>
  <c r="AS10" i="16"/>
  <c r="W33" i="8"/>
  <c r="AH33" i="8"/>
  <c r="AS33" i="8"/>
  <c r="BD24" i="8"/>
  <c r="BD38" i="8"/>
  <c r="W9" i="16"/>
  <c r="AH9" i="16"/>
  <c r="AH32" i="8"/>
  <c r="BD22" i="8"/>
  <c r="AH21" i="8"/>
  <c r="E62" i="13"/>
  <c r="BL4" i="8"/>
  <c r="H5" i="2" s="1"/>
  <c r="W7" i="16"/>
  <c r="AH7" i="16"/>
  <c r="N29" i="2"/>
  <c r="L31" i="2"/>
  <c r="M19" i="2"/>
  <c r="K8" i="18"/>
  <c r="I8" i="18" s="1"/>
  <c r="N21" i="2"/>
  <c r="BL7" i="8"/>
  <c r="W39" i="8"/>
  <c r="W11" i="8"/>
  <c r="AH11" i="8"/>
  <c r="AH39" i="8"/>
  <c r="AH30" i="8"/>
  <c r="W31" i="8"/>
  <c r="AH31" i="8"/>
  <c r="AS32" i="8"/>
  <c r="BD32" i="8"/>
  <c r="W25" i="8"/>
  <c r="W19" i="8"/>
  <c r="D18" i="2" s="1"/>
  <c r="AH19" i="8"/>
  <c r="E18" i="2" s="1"/>
  <c r="AS19" i="8"/>
  <c r="F18" i="2" s="1"/>
  <c r="BD19" i="8"/>
  <c r="G18" i="2" s="1"/>
  <c r="BL5" i="8"/>
  <c r="H6" i="2" s="1"/>
  <c r="BW6" i="8"/>
  <c r="BX6" i="8" s="1"/>
  <c r="N8" i="2" s="1"/>
  <c r="W40" i="8"/>
  <c r="BD37" i="8"/>
  <c r="BL11" i="8"/>
  <c r="AH25" i="8"/>
  <c r="W23" i="8"/>
  <c r="BD23" i="8"/>
  <c r="W22" i="8"/>
  <c r="W21" i="8"/>
  <c r="AS21" i="8"/>
  <c r="W20" i="8"/>
  <c r="D19" i="2" s="1"/>
  <c r="AS20" i="8"/>
  <c r="BD20" i="8"/>
  <c r="BQ5" i="8"/>
  <c r="BR5" i="8" s="1"/>
  <c r="BD5" i="8"/>
  <c r="G6" i="2" s="1"/>
  <c r="W10" i="8"/>
  <c r="AS12" i="8"/>
  <c r="E17" i="2"/>
  <c r="F17" i="2"/>
  <c r="BD26" i="8"/>
  <c r="AH27" i="8"/>
  <c r="AS27" i="8"/>
  <c r="AH28" i="8"/>
  <c r="AS28" i="8"/>
  <c r="BD28" i="8"/>
  <c r="AH29" i="8"/>
  <c r="AS29" i="8"/>
  <c r="L25" i="2"/>
  <c r="L28" i="2"/>
  <c r="AS6" i="8"/>
  <c r="F8" i="2" s="1"/>
  <c r="W6" i="8"/>
  <c r="D7" i="2" s="1"/>
  <c r="G7" i="2"/>
  <c r="W4" i="8"/>
  <c r="D5" i="2" s="1"/>
  <c r="BL8" i="8"/>
  <c r="BD40" i="8"/>
  <c r="AS40" i="8"/>
  <c r="W37" i="8"/>
  <c r="AS36" i="8"/>
  <c r="W36" i="8"/>
  <c r="BD35" i="8"/>
  <c r="AS11" i="8"/>
  <c r="BQ8" i="8"/>
  <c r="BR8" i="8" s="1"/>
  <c r="BW12" i="8"/>
  <c r="BX12" i="8" s="1"/>
  <c r="BD12" i="8"/>
  <c r="BD25" i="8"/>
  <c r="W3" i="8"/>
  <c r="D4" i="2" s="1"/>
  <c r="AS37" i="8"/>
  <c r="BD34" i="8"/>
  <c r="BL3" i="8"/>
  <c r="H4" i="2" s="1"/>
  <c r="BU8" i="8"/>
  <c r="BV8" i="8" s="1"/>
  <c r="AH9" i="8"/>
  <c r="BS9" i="8"/>
  <c r="BT9" i="8" s="1"/>
  <c r="W30" i="8"/>
  <c r="AS22" i="8"/>
  <c r="F21" i="2" s="1"/>
  <c r="AH6" i="8"/>
  <c r="W4" i="16"/>
  <c r="W34" i="8"/>
  <c r="AS34" i="8"/>
  <c r="N17" i="2"/>
  <c r="H17" i="2"/>
  <c r="AS26" i="8"/>
  <c r="AH24" i="8"/>
  <c r="E23" i="2" s="1"/>
  <c r="AH7" i="8"/>
  <c r="AH10" i="8"/>
  <c r="AH36" i="8"/>
  <c r="W38" i="8"/>
  <c r="W12" i="8"/>
  <c r="AH12" i="8"/>
  <c r="D17" i="2"/>
  <c r="W26" i="8"/>
  <c r="AH26" i="8"/>
  <c r="AH8" i="16"/>
  <c r="AS25" i="8"/>
  <c r="W24" i="8"/>
  <c r="AS3" i="8"/>
  <c r="F4" i="2" s="1"/>
  <c r="H7" i="2"/>
  <c r="AS4" i="8"/>
  <c r="F5" i="2" s="1"/>
  <c r="AS39" i="8"/>
  <c r="W35" i="8"/>
  <c r="F12" i="2"/>
  <c r="BU9" i="8"/>
  <c r="BV9" i="8" s="1"/>
  <c r="W7" i="8"/>
  <c r="D9" i="2" s="1"/>
  <c r="AS4" i="16"/>
  <c r="K6" i="8"/>
  <c r="AH34" i="8"/>
  <c r="AH38" i="8"/>
  <c r="AS38" i="8"/>
  <c r="W27" i="8"/>
  <c r="W28" i="8"/>
  <c r="AS8" i="16"/>
  <c r="AS30" i="8"/>
  <c r="AS23" i="8"/>
  <c r="AH22" i="8"/>
  <c r="E21" i="2" s="1"/>
  <c r="BD21" i="8"/>
  <c r="AH20" i="8"/>
  <c r="E19" i="2" s="1"/>
  <c r="BU5" i="8"/>
  <c r="BV5" i="8" s="1"/>
  <c r="AS5" i="8"/>
  <c r="F6" i="2" s="1"/>
  <c r="H2" i="18"/>
  <c r="K26" i="2"/>
  <c r="L24" i="2"/>
  <c r="N30" i="2"/>
  <c r="K6" i="18"/>
  <c r="I6" i="18" s="1"/>
  <c r="M28" i="2"/>
  <c r="L20" i="2"/>
  <c r="H4" i="18"/>
  <c r="L16" i="2"/>
  <c r="K32" i="2"/>
  <c r="N25" i="2"/>
  <c r="N27" i="2"/>
  <c r="K17" i="2"/>
  <c r="BY7" i="16"/>
  <c r="K10" i="18"/>
  <c r="I10" i="18" s="1"/>
  <c r="K20" i="2"/>
  <c r="K19" i="2"/>
  <c r="N24" i="2"/>
  <c r="L23" i="2"/>
  <c r="M21" i="2"/>
  <c r="N18" i="2"/>
  <c r="L30" i="2"/>
  <c r="BR34" i="8"/>
  <c r="N9" i="2"/>
  <c r="BY39" i="8"/>
  <c r="N20" i="2"/>
  <c r="H3" i="18"/>
  <c r="K9" i="18"/>
  <c r="I9" i="18" s="1"/>
  <c r="L22" i="2"/>
  <c r="M16" i="2"/>
  <c r="N28" i="2"/>
  <c r="N32" i="2"/>
  <c r="BR24" i="8"/>
  <c r="K21" i="2"/>
  <c r="L17" i="2"/>
  <c r="L26" i="2"/>
  <c r="BY38" i="16"/>
  <c r="M33" i="2"/>
  <c r="N23" i="2"/>
  <c r="K18" i="2"/>
  <c r="N31" i="2"/>
  <c r="BY40" i="16"/>
  <c r="L13" i="2"/>
  <c r="BX26" i="8"/>
  <c r="BX23" i="8"/>
  <c r="BY33" i="16"/>
  <c r="BR6" i="8"/>
  <c r="BY44" i="16"/>
  <c r="BX21" i="8"/>
  <c r="BY41" i="16"/>
  <c r="BX22" i="8"/>
  <c r="BV11" i="8"/>
  <c r="BT6" i="8"/>
  <c r="BY34" i="16"/>
  <c r="BY35" i="16"/>
  <c r="BX29" i="8"/>
  <c r="BY10" i="16"/>
  <c r="BY32" i="8"/>
  <c r="O31" i="2" s="1"/>
  <c r="BZ46" i="16"/>
  <c r="BR31" i="8"/>
  <c r="BV21" i="8"/>
  <c r="BT20" i="8"/>
  <c r="K13" i="2"/>
  <c r="BX37" i="8"/>
  <c r="M25" i="2"/>
  <c r="M24" i="2"/>
  <c r="BT28" i="8"/>
  <c r="BV24" i="8"/>
  <c r="BX38" i="8"/>
  <c r="BX27" i="8"/>
  <c r="K5" i="18"/>
  <c r="I5" i="18" s="1"/>
  <c r="L29" i="2"/>
  <c r="L32" i="2"/>
  <c r="BT4" i="8"/>
  <c r="M18" i="2"/>
  <c r="BY42" i="16"/>
  <c r="BY37" i="16"/>
  <c r="BY36" i="16"/>
  <c r="BY30" i="8"/>
  <c r="O29" i="2" s="1"/>
  <c r="BV10" i="8"/>
  <c r="BR4" i="8"/>
  <c r="BV4" i="8"/>
  <c r="BX7" i="8"/>
  <c r="BY8" i="8"/>
  <c r="O9" i="2" s="1"/>
  <c r="BY28" i="8"/>
  <c r="O27" i="2" s="1"/>
  <c r="BX33" i="8"/>
  <c r="BT3" i="8"/>
  <c r="M12" i="2"/>
  <c r="BT5" i="8"/>
  <c r="H7" i="18"/>
  <c r="BV33" i="8"/>
  <c r="BX24" i="8"/>
  <c r="BR23" i="8"/>
  <c r="N19" i="2"/>
  <c r="BX10" i="8"/>
  <c r="K15" i="2"/>
  <c r="BV3" i="8"/>
  <c r="K27" i="2"/>
  <c r="BX11" i="8"/>
  <c r="M30" i="2"/>
  <c r="K28" i="2"/>
  <c r="M22" i="2"/>
  <c r="L18" i="2"/>
  <c r="BY43" i="16"/>
  <c r="BX31" i="8"/>
  <c r="BX36" i="8"/>
  <c r="M29" i="2"/>
  <c r="K25" i="2"/>
  <c r="BX20" i="8"/>
  <c r="N22" i="2"/>
  <c r="BR7" i="8"/>
  <c r="BX35" i="8"/>
  <c r="M31" i="2"/>
  <c r="K31" i="2"/>
  <c r="K29" i="2"/>
  <c r="M27" i="2"/>
  <c r="L21" i="2"/>
  <c r="M17" i="2"/>
  <c r="K16" i="2"/>
  <c r="M26" i="2"/>
  <c r="N26" i="2"/>
  <c r="BX34" i="8"/>
  <c r="BY8" i="16"/>
  <c r="BX25" i="8"/>
  <c r="BX19" i="8"/>
  <c r="BW3" i="8"/>
  <c r="BD3" i="8"/>
  <c r="G4" i="2" s="1"/>
  <c r="BD39" i="8"/>
  <c r="BD11" i="8"/>
  <c r="BR9" i="8"/>
  <c r="AH3" i="8"/>
  <c r="E4" i="2" s="1"/>
  <c r="L15" i="2"/>
  <c r="BT11" i="8"/>
  <c r="N6" i="2"/>
  <c r="BY5" i="8"/>
  <c r="O6" i="2" s="1"/>
  <c r="E60" i="13"/>
  <c r="D60" i="13"/>
  <c r="C60" i="13"/>
  <c r="AH3" i="16"/>
  <c r="W3" i="16"/>
  <c r="BD9" i="8"/>
  <c r="BD8" i="8"/>
  <c r="L7" i="2"/>
  <c r="BX40" i="8"/>
  <c r="BY40" i="8"/>
  <c r="N13" i="2"/>
  <c r="BD4" i="8"/>
  <c r="G5" i="2" s="1"/>
  <c r="BU7" i="8"/>
  <c r="W9" i="8"/>
  <c r="AH4" i="8"/>
  <c r="E5" i="2" s="1"/>
  <c r="K14" i="2"/>
  <c r="L9" i="2"/>
  <c r="F60" i="13"/>
  <c r="BX3" i="16"/>
  <c r="BZ47" i="16"/>
  <c r="BT34" i="8"/>
  <c r="L33" i="2"/>
  <c r="BY45" i="16"/>
  <c r="BZ39" i="16"/>
  <c r="BE4" i="16"/>
  <c r="BX4" i="16"/>
  <c r="BY34" i="8"/>
  <c r="O33" i="2" s="1"/>
  <c r="G17" i="2"/>
  <c r="BP8" i="16" l="1"/>
  <c r="BP3" i="16"/>
  <c r="E9" i="2"/>
  <c r="H9" i="2"/>
  <c r="K9" i="2"/>
  <c r="N7" i="2"/>
  <c r="E8" i="2"/>
  <c r="H8" i="2"/>
  <c r="D12" i="2"/>
  <c r="J8" i="2"/>
  <c r="J7" i="2"/>
  <c r="D8" i="2"/>
  <c r="E7" i="2"/>
  <c r="F7" i="2"/>
  <c r="G9" i="2"/>
  <c r="G22" i="2"/>
  <c r="L10" i="2"/>
  <c r="BY9" i="16"/>
  <c r="BP9" i="16"/>
  <c r="BP10" i="16"/>
  <c r="BP4" i="16"/>
  <c r="G11" i="2"/>
  <c r="BO29" i="8"/>
  <c r="G12" i="2"/>
  <c r="J12" i="2"/>
  <c r="D13" i="2"/>
  <c r="N11" i="2"/>
  <c r="H10" i="2"/>
  <c r="D11" i="2"/>
  <c r="E11" i="2"/>
  <c r="G10" i="2"/>
  <c r="E10" i="2"/>
  <c r="E12" i="2"/>
  <c r="F10" i="2"/>
  <c r="H11" i="2"/>
  <c r="F11" i="2"/>
  <c r="J11" i="2"/>
  <c r="D10" i="2"/>
  <c r="F19" i="2"/>
  <c r="D21" i="2"/>
  <c r="N12" i="2"/>
  <c r="G23" i="2"/>
  <c r="F22" i="2"/>
  <c r="E13" i="2"/>
  <c r="D14" i="2"/>
  <c r="G13" i="2"/>
  <c r="H13" i="2"/>
  <c r="E14" i="2"/>
  <c r="F13" i="2"/>
  <c r="D23" i="2"/>
  <c r="G19" i="2"/>
  <c r="BO25" i="8"/>
  <c r="H15" i="2"/>
  <c r="BO39" i="8"/>
  <c r="E16" i="2"/>
  <c r="F15" i="2"/>
  <c r="D16" i="2"/>
  <c r="F16" i="2"/>
  <c r="BO32" i="8"/>
  <c r="K7" i="2"/>
  <c r="O17" i="2"/>
  <c r="N15" i="2"/>
  <c r="J17" i="2"/>
  <c r="J16" i="2"/>
  <c r="G16" i="2"/>
  <c r="E15" i="2"/>
  <c r="D15" i="2"/>
  <c r="J15" i="2"/>
  <c r="J14" i="2"/>
  <c r="G15" i="2"/>
  <c r="G14" i="2"/>
  <c r="N16" i="2"/>
  <c r="F14" i="2"/>
  <c r="H14" i="2"/>
  <c r="H16" i="2"/>
  <c r="D20" i="2"/>
  <c r="G21" i="2"/>
  <c r="O32" i="2"/>
  <c r="F23" i="2"/>
  <c r="O30" i="2"/>
  <c r="F20" i="2"/>
  <c r="D22" i="2"/>
  <c r="E20" i="2"/>
  <c r="E22" i="2"/>
  <c r="O28" i="2"/>
  <c r="BO38" i="8"/>
  <c r="BO34" i="8"/>
  <c r="BO35" i="8"/>
  <c r="BO40" i="8"/>
  <c r="BO33" i="8"/>
  <c r="BO28" i="8"/>
  <c r="BO31" i="8"/>
  <c r="BO12" i="8"/>
  <c r="BO22" i="8"/>
  <c r="BO24" i="8"/>
  <c r="BX4" i="8"/>
  <c r="N5" i="2"/>
  <c r="BX9" i="8"/>
  <c r="M10" i="2"/>
  <c r="BY9" i="8"/>
  <c r="O11" i="2" s="1"/>
  <c r="BO20" i="8"/>
  <c r="BO37" i="8"/>
  <c r="M6" i="2"/>
  <c r="K6" i="2"/>
  <c r="BO10" i="8"/>
  <c r="BO23" i="8"/>
  <c r="I7" i="2"/>
  <c r="BO27" i="8"/>
  <c r="BO19" i="8"/>
  <c r="I18" i="2" s="1"/>
  <c r="BO30" i="8"/>
  <c r="K10" i="2"/>
  <c r="N14" i="2"/>
  <c r="BY12" i="8"/>
  <c r="O12" i="2" s="1"/>
  <c r="BY6" i="8"/>
  <c r="BO36" i="8"/>
  <c r="M11" i="2"/>
  <c r="BO5" i="8"/>
  <c r="I6" i="2" s="1"/>
  <c r="BO6" i="8"/>
  <c r="BO26" i="8"/>
  <c r="BO7" i="8"/>
  <c r="H12" i="2"/>
  <c r="BO21" i="8"/>
  <c r="G20" i="2"/>
  <c r="L11" i="2"/>
  <c r="BO4" i="8"/>
  <c r="I5" i="2" s="1"/>
  <c r="BO8" i="8"/>
  <c r="BZ4" i="16"/>
  <c r="BY4" i="16"/>
  <c r="I17" i="2"/>
  <c r="BY3" i="8"/>
  <c r="O4" i="2" s="1"/>
  <c r="BX3" i="8"/>
  <c r="N4" i="2" s="1"/>
  <c r="BO9" i="8"/>
  <c r="BZ3" i="16"/>
  <c r="BY3" i="16"/>
  <c r="BV7" i="8"/>
  <c r="M9" i="2" s="1"/>
  <c r="BO11" i="8"/>
  <c r="BO3" i="8"/>
  <c r="I4" i="2" s="1"/>
  <c r="I9" i="2" l="1"/>
  <c r="I12" i="2"/>
  <c r="I8" i="2"/>
  <c r="O8" i="2"/>
  <c r="O7" i="2"/>
  <c r="M8" i="2"/>
  <c r="I11" i="2"/>
  <c r="I10" i="2"/>
  <c r="O10" i="2"/>
  <c r="O14" i="2"/>
  <c r="O13" i="2"/>
  <c r="I13" i="2"/>
  <c r="I19" i="2"/>
  <c r="I21" i="2"/>
  <c r="I16" i="2"/>
  <c r="O16" i="2"/>
  <c r="O15" i="2"/>
  <c r="I15" i="2"/>
  <c r="I14" i="2"/>
  <c r="I23" i="2"/>
  <c r="I20" i="2"/>
  <c r="I22" i="2"/>
</calcChain>
</file>

<file path=xl/comments1.xml><?xml version="1.0" encoding="utf-8"?>
<comments xmlns="http://schemas.openxmlformats.org/spreadsheetml/2006/main">
  <authors>
    <author>veronicasenior</author>
  </authors>
  <commentList>
    <comment ref="D2" authorId="0">
      <text>
        <r>
          <rPr>
            <b/>
            <sz val="9"/>
            <color indexed="81"/>
            <rFont val="Tahoma"/>
            <family val="2"/>
          </rPr>
          <t>veronicasenior:</t>
        </r>
        <r>
          <rPr>
            <sz val="9"/>
            <color indexed="81"/>
            <rFont val="Tahoma"/>
            <family val="2"/>
          </rPr>
          <t xml:space="preserve">
Choose from drop down menu</t>
        </r>
      </text>
    </comment>
    <comment ref="E2" authorId="0">
      <text>
        <r>
          <rPr>
            <b/>
            <sz val="9"/>
            <color indexed="81"/>
            <rFont val="Tahoma"/>
            <family val="2"/>
          </rPr>
          <t>veronicasenior:</t>
        </r>
        <r>
          <rPr>
            <sz val="9"/>
            <color indexed="81"/>
            <rFont val="Tahoma"/>
            <family val="2"/>
          </rPr>
          <t xml:space="preserve">
Choose from drop down menu</t>
        </r>
      </text>
    </comment>
    <comment ref="G2" authorId="0">
      <text>
        <r>
          <rPr>
            <b/>
            <sz val="9"/>
            <color indexed="81"/>
            <rFont val="Tahoma"/>
            <family val="2"/>
          </rPr>
          <t>veronicasenior:</t>
        </r>
        <r>
          <rPr>
            <sz val="9"/>
            <color indexed="81"/>
            <rFont val="Tahoma"/>
            <family val="2"/>
          </rPr>
          <t xml:space="preserve">
Insert from drop down menu</t>
        </r>
      </text>
    </comment>
  </commentList>
</comments>
</file>

<file path=xl/comments2.xml><?xml version="1.0" encoding="utf-8"?>
<comments xmlns="http://schemas.openxmlformats.org/spreadsheetml/2006/main">
  <authors>
    <author>veronicasenior</author>
  </authors>
  <commentList>
    <comment ref="D2" authorId="0">
      <text>
        <r>
          <rPr>
            <b/>
            <sz val="9"/>
            <color indexed="81"/>
            <rFont val="Tahoma"/>
            <family val="2"/>
          </rPr>
          <t>veronicasenior:</t>
        </r>
        <r>
          <rPr>
            <sz val="9"/>
            <color indexed="81"/>
            <rFont val="Tahoma"/>
            <family val="2"/>
          </rPr>
          <t xml:space="preserve">
Choose from drop down menu</t>
        </r>
      </text>
    </comment>
    <comment ref="E2" authorId="0">
      <text>
        <r>
          <rPr>
            <b/>
            <sz val="9"/>
            <color indexed="81"/>
            <rFont val="Tahoma"/>
            <family val="2"/>
          </rPr>
          <t>veronicasenior:</t>
        </r>
        <r>
          <rPr>
            <sz val="9"/>
            <color indexed="81"/>
            <rFont val="Tahoma"/>
            <family val="2"/>
          </rPr>
          <t xml:space="preserve">
Choose from drop down menu</t>
        </r>
      </text>
    </comment>
    <comment ref="G2" authorId="0">
      <text>
        <r>
          <rPr>
            <b/>
            <sz val="9"/>
            <color indexed="81"/>
            <rFont val="Tahoma"/>
            <family val="2"/>
          </rPr>
          <t>veronicasenior:</t>
        </r>
        <r>
          <rPr>
            <sz val="9"/>
            <color indexed="81"/>
            <rFont val="Tahoma"/>
            <family val="2"/>
          </rPr>
          <t xml:space="preserve">
Insert from drop down menu</t>
        </r>
      </text>
    </comment>
  </commentList>
</comments>
</file>

<file path=xl/comments3.xml><?xml version="1.0" encoding="utf-8"?>
<comments xmlns="http://schemas.openxmlformats.org/spreadsheetml/2006/main">
  <authors>
    <author>veronicasenior</author>
  </authors>
  <commentList>
    <comment ref="D2" authorId="0">
      <text>
        <r>
          <rPr>
            <b/>
            <sz val="9"/>
            <color indexed="81"/>
            <rFont val="Tahoma"/>
            <family val="2"/>
          </rPr>
          <t>veronicasenior:</t>
        </r>
        <r>
          <rPr>
            <sz val="9"/>
            <color indexed="81"/>
            <rFont val="Tahoma"/>
            <family val="2"/>
          </rPr>
          <t xml:space="preserve">
Choose from drop down menu</t>
        </r>
      </text>
    </comment>
    <comment ref="E2" authorId="0">
      <text>
        <r>
          <rPr>
            <b/>
            <sz val="9"/>
            <color indexed="81"/>
            <rFont val="Tahoma"/>
            <family val="2"/>
          </rPr>
          <t>veronicasenior:</t>
        </r>
        <r>
          <rPr>
            <sz val="9"/>
            <color indexed="81"/>
            <rFont val="Tahoma"/>
            <family val="2"/>
          </rPr>
          <t xml:space="preserve">
Choose from drop down menu</t>
        </r>
      </text>
    </comment>
    <comment ref="G2" authorId="0">
      <text>
        <r>
          <rPr>
            <b/>
            <sz val="9"/>
            <color indexed="81"/>
            <rFont val="Tahoma"/>
            <family val="2"/>
          </rPr>
          <t>veronicasenior:</t>
        </r>
        <r>
          <rPr>
            <sz val="9"/>
            <color indexed="81"/>
            <rFont val="Tahoma"/>
            <family val="2"/>
          </rPr>
          <t xml:space="preserve">
Insert from drop down menu</t>
        </r>
      </text>
    </comment>
  </commentList>
</comments>
</file>

<file path=xl/comments4.xml><?xml version="1.0" encoding="utf-8"?>
<comments xmlns="http://schemas.openxmlformats.org/spreadsheetml/2006/main">
  <authors>
    <author>Dom Moorhouse</author>
    <author>EdwardClancy</author>
  </authors>
  <commentList>
    <comment ref="C2" authorId="0">
      <text>
        <r>
          <rPr>
            <sz val="12"/>
            <color indexed="8"/>
            <rFont val="Tahoma"/>
            <family val="2"/>
          </rPr>
          <t>Describe the change being requested including analysis of impact.</t>
        </r>
      </text>
    </comment>
    <comment ref="D2" authorId="1">
      <text>
        <r>
          <rPr>
            <b/>
            <sz val="8"/>
            <color indexed="8"/>
            <rFont val="Tahoma"/>
            <family val="2"/>
          </rPr>
          <t>EdwardClancy:</t>
        </r>
        <r>
          <rPr>
            <sz val="8"/>
            <color indexed="8"/>
            <rFont val="Tahoma"/>
            <family val="2"/>
          </rPr>
          <t xml:space="preserve">
Quantify the Impact of the change</t>
        </r>
      </text>
    </comment>
    <comment ref="F2" authorId="0">
      <text>
        <r>
          <rPr>
            <sz val="12"/>
            <color indexed="8"/>
            <rFont val="Tahoma"/>
            <family val="2"/>
          </rPr>
          <t>Identify the person submitting the change request.</t>
        </r>
      </text>
    </comment>
    <comment ref="G2" authorId="0">
      <text>
        <r>
          <rPr>
            <sz val="12"/>
            <color indexed="8"/>
            <rFont val="Tahoma"/>
            <family val="2"/>
          </rPr>
          <t>Enter the date the change request was submitted.</t>
        </r>
      </text>
    </comment>
    <comment ref="I2" authorId="0">
      <text>
        <r>
          <rPr>
            <sz val="12"/>
            <color indexed="8"/>
            <rFont val="Tahoma"/>
            <family val="2"/>
          </rPr>
          <t xml:space="preserve">Use this field to provide running commentary with regards approval. Prefix with Date and Initials of author e.g. 
'12/08/04; DM - Approval given'
</t>
        </r>
      </text>
    </comment>
  </commentList>
</comments>
</file>

<file path=xl/sharedStrings.xml><?xml version="1.0" encoding="utf-8"?>
<sst xmlns="http://schemas.openxmlformats.org/spreadsheetml/2006/main" count="2833" uniqueCount="693">
  <si>
    <t>Forecast Completion</t>
  </si>
  <si>
    <t>Baseline Completion</t>
  </si>
  <si>
    <t>Stage Gate 5 Completion</t>
  </si>
  <si>
    <t>RAG Status</t>
  </si>
  <si>
    <t>Stage Gate 4 Completion</t>
  </si>
  <si>
    <t>Construction Stage Gate 5</t>
  </si>
  <si>
    <t>Feasibility Stage Gate 2</t>
  </si>
  <si>
    <t>Project Finance</t>
  </si>
  <si>
    <t>Projct ID</t>
  </si>
  <si>
    <t>WBS Element</t>
  </si>
  <si>
    <t>Project Name</t>
  </si>
  <si>
    <t xml:space="preserve">Project Detail </t>
  </si>
  <si>
    <t>Designer</t>
  </si>
  <si>
    <t>Contractor</t>
  </si>
  <si>
    <t>Project Comments</t>
  </si>
  <si>
    <t>Risk &amp; Issues:</t>
  </si>
  <si>
    <t>Current Comments</t>
  </si>
  <si>
    <t xml:space="preserve">Project Overall RAG Status </t>
  </si>
  <si>
    <t>Building</t>
  </si>
  <si>
    <t>Project Sponsor</t>
  </si>
  <si>
    <t>Project Manager</t>
  </si>
  <si>
    <t>Stakeholder Comments</t>
  </si>
  <si>
    <t>Baseline Start</t>
  </si>
  <si>
    <t>Actual Start</t>
  </si>
  <si>
    <t>Actual Completion</t>
  </si>
  <si>
    <t>Approved Budget</t>
  </si>
  <si>
    <t>Overall RAG</t>
  </si>
  <si>
    <t>Project</t>
  </si>
  <si>
    <t>G</t>
  </si>
  <si>
    <t>Finance</t>
  </si>
  <si>
    <t>A</t>
  </si>
  <si>
    <t>Project 1</t>
  </si>
  <si>
    <t>AGGG</t>
  </si>
  <si>
    <t>AAGG</t>
  </si>
  <si>
    <t>AAAG</t>
  </si>
  <si>
    <t>AAAA</t>
  </si>
  <si>
    <t>GAGG</t>
  </si>
  <si>
    <t>GGAG</t>
  </si>
  <si>
    <t>GGGA</t>
  </si>
  <si>
    <t>AGAG</t>
  </si>
  <si>
    <t>AGGA</t>
  </si>
  <si>
    <t>GAGA</t>
  </si>
  <si>
    <t>GAAG</t>
  </si>
  <si>
    <t>GGAA</t>
  </si>
  <si>
    <t>AAGA</t>
  </si>
  <si>
    <t>AGAA</t>
  </si>
  <si>
    <t>GAAA</t>
  </si>
  <si>
    <t>GGGG</t>
  </si>
  <si>
    <t>GG</t>
  </si>
  <si>
    <t>GGG</t>
  </si>
  <si>
    <t>AA</t>
  </si>
  <si>
    <t>AAA</t>
  </si>
  <si>
    <t>GA</t>
  </si>
  <si>
    <t>AG</t>
  </si>
  <si>
    <t>GAA</t>
  </si>
  <si>
    <t>GGA</t>
  </si>
  <si>
    <t>AGG</t>
  </si>
  <si>
    <t>AAG</t>
  </si>
  <si>
    <t>AGA</t>
  </si>
  <si>
    <t>Select Project:</t>
  </si>
  <si>
    <t>15 Penton Street, N1 9PU</t>
  </si>
  <si>
    <t>7 Beaumont Avenue, W14 9UY</t>
  </si>
  <si>
    <t>200 Baker Street, NW1 5RZ</t>
  </si>
  <si>
    <t>31 Borough High Street, SE1 9AW</t>
  </si>
  <si>
    <t>19 Naval Row, Poplar, E14 9RY</t>
  </si>
  <si>
    <t>210/212 Baker Street, NW1 5RT</t>
  </si>
  <si>
    <t>216 Baker Street, NW1 5RT</t>
  </si>
  <si>
    <t>15-17Allsop Place, NW1 5LJ</t>
  </si>
  <si>
    <t>13 Allsop Place. NW1 5LJ</t>
  </si>
  <si>
    <t>13 Allsop Place, NW1 5LJ</t>
  </si>
  <si>
    <t>Aldgate Station, EC3N 1AH</t>
  </si>
  <si>
    <t>280 Marylebone Road, NW1 5RJ</t>
  </si>
  <si>
    <t>8 Chancel Street, SE1 0UX</t>
  </si>
  <si>
    <t>245 Oxford Street, W1D 2LS</t>
  </si>
  <si>
    <t>313 Kilburn Lane, W9 3EG</t>
  </si>
  <si>
    <t>70 Old Broad Street, EC2M 1QT</t>
  </si>
  <si>
    <t>63-81 Pelham Street, SW7 2NJ</t>
  </si>
  <si>
    <t>Greycoat Place, SW1P 1BL</t>
  </si>
  <si>
    <t>Unit 2, Victoria Industrial Estate,</t>
  </si>
  <si>
    <t>Vandon Street, SW1</t>
  </si>
  <si>
    <t>237-239 Oxford Street, W1R 1AB</t>
  </si>
  <si>
    <t>75 Davies Street, Westminster, W1K 5JN</t>
  </si>
  <si>
    <t>172 Buckingham Palace Road</t>
  </si>
  <si>
    <t>200 Buckingham Palace Road</t>
  </si>
  <si>
    <t xml:space="preserve">
Penton Street (NW1)</t>
  </si>
  <si>
    <t xml:space="preserve">
Baker Street, 210-212 (NW1)</t>
  </si>
  <si>
    <t xml:space="preserve">
Allsop Place, 13 (NW1)</t>
  </si>
  <si>
    <t xml:space="preserve">
Griffith House (NW1)</t>
  </si>
  <si>
    <t>Victoria Station House</t>
  </si>
  <si>
    <t xml:space="preserve">
172 Buckingham Palace Road</t>
  </si>
  <si>
    <t xml:space="preserve">
200 Buckingham Palace Road</t>
  </si>
  <si>
    <t xml:space="preserve">
Multi Sites</t>
  </si>
  <si>
    <t xml:space="preserve">
Palestra</t>
  </si>
  <si>
    <t xml:space="preserve">
Templar House</t>
  </si>
  <si>
    <t xml:space="preserve">
Victoria Station House</t>
  </si>
  <si>
    <t>Albany House</t>
  </si>
  <si>
    <t xml:space="preserve">
Albany House</t>
  </si>
  <si>
    <t>Paul Doyle</t>
  </si>
  <si>
    <t>Esther Sharples</t>
  </si>
  <si>
    <t>Simona Kuhl</t>
  </si>
  <si>
    <t>Christine Peppiatt</t>
  </si>
  <si>
    <t>John Murphy</t>
  </si>
  <si>
    <t>Helena Healy</t>
  </si>
  <si>
    <t>Alan Crossan</t>
  </si>
  <si>
    <t>Tony Hunter</t>
  </si>
  <si>
    <t>Martin Smith</t>
  </si>
  <si>
    <t>Laurie Morely</t>
  </si>
  <si>
    <t>Andrew Jefferies</t>
  </si>
  <si>
    <t>Jerry Young</t>
  </si>
  <si>
    <t>Martina Perkins</t>
  </si>
  <si>
    <t>Karl Mitchell</t>
  </si>
  <si>
    <t>Initial Budget</t>
  </si>
  <si>
    <t xml:space="preserve">EFC Forecast </t>
  </si>
  <si>
    <t>Stage Gate 2 Completion</t>
  </si>
  <si>
    <t>Status and Comments</t>
  </si>
  <si>
    <t>PCP/16/020</t>
  </si>
  <si>
    <t>RX04F.033.307.01</t>
  </si>
  <si>
    <t>Consultant</t>
  </si>
  <si>
    <t>Stage Gate 2 Status</t>
  </si>
  <si>
    <t>Stage Gate 5 Status</t>
  </si>
  <si>
    <t>Overrun?</t>
  </si>
  <si>
    <t>PCP/12/033</t>
  </si>
  <si>
    <t>RX04F.014.2007.708.02</t>
  </si>
  <si>
    <t>Albany House - Plant Optimisation</t>
  </si>
  <si>
    <t>PCP/15/003</t>
  </si>
  <si>
    <t>RX04F.014.2007.903.01</t>
  </si>
  <si>
    <t>Victoria Station House Fire Doors</t>
  </si>
  <si>
    <t>JNG Ltd</t>
  </si>
  <si>
    <t>PCP/15/006</t>
  </si>
  <si>
    <t>RX04F.014.2007.903.03</t>
  </si>
  <si>
    <t>Baker Street Complex - Fire Compliance - Fire Alarms no MICC</t>
  </si>
  <si>
    <t>BBC</t>
  </si>
  <si>
    <t>BTU</t>
  </si>
  <si>
    <t>Building Facades Risk Assessments (7 Building)</t>
  </si>
  <si>
    <t>PCP/16/007</t>
  </si>
  <si>
    <t>RX04F.033.303.02</t>
  </si>
  <si>
    <t>200 BPR Toilet Refurbishment</t>
  </si>
  <si>
    <t>CBRE</t>
  </si>
  <si>
    <t>PCP/15/007</t>
  </si>
  <si>
    <t>RX04F.033.201.05/06</t>
  </si>
  <si>
    <t>172 BPR &amp; Windsor House Chiller Remedial</t>
  </si>
  <si>
    <t>PCP/15/009</t>
  </si>
  <si>
    <t>RX04F.033.201.07</t>
  </si>
  <si>
    <t>Basement Leak Detection and Sump Pump</t>
  </si>
  <si>
    <t>PCP/16/006</t>
  </si>
  <si>
    <t>RX04.033.303.04</t>
  </si>
  <si>
    <t>Toilet Flushing Upgrade</t>
  </si>
  <si>
    <t>AECOM</t>
  </si>
  <si>
    <t>PRS</t>
  </si>
  <si>
    <t>Cundalls</t>
  </si>
  <si>
    <t>PCP/16/016</t>
  </si>
  <si>
    <t>RX04F.033.301.01</t>
  </si>
  <si>
    <t>Templar House Boiler Replacement</t>
  </si>
  <si>
    <t>PCP/16/018</t>
  </si>
  <si>
    <t>RX04F.033.303.08</t>
  </si>
  <si>
    <t>VSH Roof and Facades Repairs</t>
  </si>
  <si>
    <t>PCP/16/019</t>
  </si>
  <si>
    <t>172 BPR LV Infrastructure Upgrade</t>
  </si>
  <si>
    <t>FACOPS/16/001</t>
  </si>
  <si>
    <t>RX04F.033.302.02</t>
  </si>
  <si>
    <t>172 BPR 5th Floor Power</t>
  </si>
  <si>
    <t>PCP/16/022</t>
  </si>
  <si>
    <t>Penton Street Upper Roof</t>
  </si>
  <si>
    <t>Vinci FM</t>
  </si>
  <si>
    <t>John Cobbs</t>
  </si>
  <si>
    <t>Powersys</t>
  </si>
  <si>
    <t>Frankhams</t>
  </si>
  <si>
    <t>200 BPR New Kitchens 4th,5th and 6th Floors</t>
  </si>
  <si>
    <t>Oaklands</t>
  </si>
  <si>
    <t>Baqus</t>
  </si>
  <si>
    <t>RX04F.029.037</t>
  </si>
  <si>
    <t>13 Allsop Place Refurbishment ex-police cells to make new into lockers</t>
  </si>
  <si>
    <t>Fusion</t>
  </si>
  <si>
    <t>OCR/16/001</t>
  </si>
  <si>
    <t>IO2147462</t>
  </si>
  <si>
    <t>Uniform Store relocation to Penton Street</t>
  </si>
  <si>
    <t>Veronica Senior</t>
  </si>
  <si>
    <t>Nicky Mahood</t>
  </si>
  <si>
    <t>Amanda Morrison</t>
  </si>
  <si>
    <t>LSTOC Accommodation Workstream</t>
  </si>
  <si>
    <t>PRS, Furness Green, Sandy Brown</t>
  </si>
  <si>
    <t>London Fit Out</t>
  </si>
  <si>
    <t>Rech/15/ACR10556-10722</t>
  </si>
  <si>
    <t>Removal of existing partitions to form new larger open plan office for Commercial Strategy &amp; Performance team 17th Floor</t>
  </si>
  <si>
    <t>Design Stage Gate 4</t>
  </si>
  <si>
    <t>Design Stage Gate 3</t>
  </si>
  <si>
    <t>Stage Gate 4 Status</t>
  </si>
  <si>
    <t>Stage Gate 3 Status</t>
  </si>
  <si>
    <r>
      <t xml:space="preserve">Stage 2
</t>
    </r>
    <r>
      <rPr>
        <b/>
        <sz val="10"/>
        <color theme="3" tint="0.39997558519241921"/>
        <rFont val="Calibri"/>
        <scheme val="minor"/>
      </rPr>
      <t>Feasibility</t>
    </r>
  </si>
  <si>
    <r>
      <t xml:space="preserve">Stage 5
</t>
    </r>
    <r>
      <rPr>
        <b/>
        <sz val="10"/>
        <color theme="3" tint="0.39997558519241921"/>
        <rFont val="Calibri"/>
        <scheme val="minor"/>
      </rPr>
      <t>Delivery</t>
    </r>
  </si>
  <si>
    <r>
      <t xml:space="preserve">Stage 3
</t>
    </r>
    <r>
      <rPr>
        <b/>
        <sz val="10"/>
        <color theme="3" tint="0.39997558519241921"/>
        <rFont val="Calibri"/>
        <scheme val="minor"/>
      </rPr>
      <t>Concept Design</t>
    </r>
  </si>
  <si>
    <r>
      <t xml:space="preserve">Stage 4
</t>
    </r>
    <r>
      <rPr>
        <b/>
        <sz val="10"/>
        <color theme="3" tint="0.39997558519241921"/>
        <rFont val="Calibri"/>
        <scheme val="minor"/>
      </rPr>
      <t>Detailed Design</t>
    </r>
  </si>
  <si>
    <t>Calculations</t>
  </si>
  <si>
    <t>Project Details</t>
  </si>
  <si>
    <t>Project ID</t>
  </si>
  <si>
    <t>Project Stage</t>
  </si>
  <si>
    <t>PM</t>
  </si>
  <si>
    <t>Costs Incurred</t>
  </si>
  <si>
    <t>To Occur</t>
  </si>
  <si>
    <t>Total</t>
  </si>
  <si>
    <t xml:space="preserve">Multisite </t>
  </si>
  <si>
    <t>VS</t>
  </si>
  <si>
    <t>Project Management</t>
  </si>
  <si>
    <t>RX04F.014.2007.709.04</t>
  </si>
  <si>
    <t>5 - Delivery</t>
  </si>
  <si>
    <t>JY</t>
  </si>
  <si>
    <t>PCP/14/007</t>
  </si>
  <si>
    <t>JM</t>
  </si>
  <si>
    <t>Victoria Station House-Fire Doors</t>
  </si>
  <si>
    <t>JC</t>
  </si>
  <si>
    <t>Baker Street Complex-Fire Alarm Phase 2</t>
  </si>
  <si>
    <t>Baker Street</t>
  </si>
  <si>
    <t>RX04F.033.201.05</t>
  </si>
  <si>
    <t>Windsor House Chiller Remedials</t>
  </si>
  <si>
    <t>4 - Detailed Design</t>
  </si>
  <si>
    <t>Windsor House/172 BPR</t>
  </si>
  <si>
    <t>Palestra</t>
  </si>
  <si>
    <t>PCP/15/014</t>
  </si>
  <si>
    <t>RX04F.033.303.04</t>
  </si>
  <si>
    <t>3 - Concept Design</t>
  </si>
  <si>
    <t>200 BPR</t>
  </si>
  <si>
    <t>HH</t>
  </si>
  <si>
    <t>PCP/16/010</t>
  </si>
  <si>
    <t>RX04F.033.303.03</t>
  </si>
  <si>
    <t>Griffith House</t>
  </si>
  <si>
    <t xml:space="preserve">Templar House - Boiler Replacement </t>
  </si>
  <si>
    <t>Templar House</t>
  </si>
  <si>
    <t>VSH Roof and Facade Repair</t>
  </si>
  <si>
    <t>RX04F.033.302.06</t>
  </si>
  <si>
    <t>172 BPR</t>
  </si>
  <si>
    <t>LM</t>
  </si>
  <si>
    <t>Building Facade Risk Assessment</t>
  </si>
  <si>
    <t>2 - Feasibility</t>
  </si>
  <si>
    <t>Multisite</t>
  </si>
  <si>
    <t>FacOps/16/001</t>
  </si>
  <si>
    <t>172 BPR  5th Floor Power</t>
  </si>
  <si>
    <t>RX04F.033.305.02</t>
  </si>
  <si>
    <t>Penton Street</t>
  </si>
  <si>
    <t>PCP/16/023</t>
  </si>
  <si>
    <t>RX04F.033.307.03</t>
  </si>
  <si>
    <t>PA/VA</t>
  </si>
  <si>
    <t>Broadway</t>
  </si>
  <si>
    <t>PCP/16/017</t>
  </si>
  <si>
    <t>RX04F.033.302.01</t>
  </si>
  <si>
    <t>YTD</t>
  </si>
  <si>
    <t>Stage Gate 3 Completion</t>
  </si>
  <si>
    <t>Reason for Change</t>
  </si>
  <si>
    <t>Facilities Operations</t>
  </si>
  <si>
    <t>Days Until Stage 5 Completion</t>
  </si>
  <si>
    <t>John Cousins</t>
  </si>
  <si>
    <t>Competent Principal Designer</t>
  </si>
  <si>
    <t>Competent Principal Contractor</t>
  </si>
  <si>
    <t>F10 Notifications and Renotifications</t>
  </si>
  <si>
    <t>Written Principal Designer Appointment</t>
  </si>
  <si>
    <t>Written Principal Contractor Appointment</t>
  </si>
  <si>
    <t>Preconstruction Information</t>
  </si>
  <si>
    <t>Construction Phase Plan</t>
  </si>
  <si>
    <t>Asbestos Impact Assessment (AIA)</t>
  </si>
  <si>
    <t xml:space="preserve">Competency of Site Manager </t>
  </si>
  <si>
    <t>Construction Site Inspections</t>
  </si>
  <si>
    <t xml:space="preserve">Health and Safety File </t>
  </si>
  <si>
    <t>09.01 CDM</t>
  </si>
  <si>
    <t>09.02 Health &amp; Safety Plan</t>
  </si>
  <si>
    <t>09.05 Audit &amp; Inspection</t>
  </si>
  <si>
    <t>09.03 Health and Saftely File</t>
  </si>
  <si>
    <t>172 BPR &amp; Windsor House - Chillers Remedial</t>
  </si>
  <si>
    <t>Refurbishment Griffith House</t>
  </si>
  <si>
    <t>Templar House - Boiler Replacement</t>
  </si>
  <si>
    <t>Building Facade Risk Assessment (7 Buildings)</t>
  </si>
  <si>
    <t xml:space="preserve">Industrial Kitchen/Rest Room Refurbishment </t>
  </si>
  <si>
    <t>Templar House Basement Changing Room for Chancery Lane Escalator Replacement Project</t>
  </si>
  <si>
    <t>Templar House Tea points</t>
  </si>
  <si>
    <t>200 BPR New Kitchens 4th 5th 6th Floor</t>
  </si>
  <si>
    <t>New meeting rooms for Steve Burton EOS Director</t>
  </si>
  <si>
    <t>RNC Relocation to Palestra; Varied to include Reinstatement Works at 55 Broadway</t>
  </si>
  <si>
    <t>13 Allsop Place Refurbishment ex-police cells to make new Locker rooms X-Rail</t>
  </si>
  <si>
    <t>Uniform store relocation to Penton Street</t>
  </si>
  <si>
    <t>Palestra-Power Integration Project</t>
  </si>
  <si>
    <t>Safety Replacement of Meeting Chairs</t>
  </si>
  <si>
    <t>2nd Floor Kitchen area - Palestra</t>
  </si>
  <si>
    <t>M Hollis</t>
  </si>
  <si>
    <t>Door View</t>
  </si>
  <si>
    <t>Risk: No Risks
Issues: No Issues</t>
  </si>
  <si>
    <t xml:space="preserve">CBRE have completed all surveys. Update to be sent to project team. Report to follow. </t>
  </si>
  <si>
    <t xml:space="preserve">Jerry Young </t>
  </si>
  <si>
    <t xml:space="preserve">John Cousins </t>
  </si>
  <si>
    <t>RX04F.033.201.05 / 06</t>
  </si>
  <si>
    <t>Windsor House</t>
  </si>
  <si>
    <t>Griffiths House</t>
  </si>
  <si>
    <t xml:space="preserve">John Murphy </t>
  </si>
  <si>
    <t xml:space="preserve">Martin Smith </t>
  </si>
  <si>
    <t>Laurie Morley</t>
  </si>
  <si>
    <t>Rech/16/ACR12908</t>
  </si>
  <si>
    <t>CC20418</t>
  </si>
  <si>
    <t>Rech/15/ACR10787</t>
  </si>
  <si>
    <t>Palestra &amp; 200BPR</t>
  </si>
  <si>
    <t>Rech/16/ACR10994</t>
  </si>
  <si>
    <t>IO 2147043</t>
  </si>
  <si>
    <t>Rech/16/ACR11245</t>
  </si>
  <si>
    <t>CC11000</t>
  </si>
  <si>
    <t>Rech/16/ACR12721</t>
  </si>
  <si>
    <t xml:space="preserve">CC 10284 </t>
  </si>
  <si>
    <t>Rech/16/ACR6446</t>
  </si>
  <si>
    <t>IO 2146323</t>
  </si>
  <si>
    <t>Rech/16/ACR7149</t>
  </si>
  <si>
    <t>RX04F.036.002</t>
  </si>
  <si>
    <t>Palestra / 55 Broadway</t>
  </si>
  <si>
    <t>RX04F.033.303.09</t>
  </si>
  <si>
    <t>Rech/16/ACR13748</t>
  </si>
  <si>
    <t xml:space="preserve">IO 2147462 </t>
  </si>
  <si>
    <t>PCP/16/021</t>
  </si>
  <si>
    <t>RX04F.033.307.02</t>
  </si>
  <si>
    <t>Gary Evans</t>
  </si>
  <si>
    <t>Rech/16/ACR14011</t>
  </si>
  <si>
    <t>IO 21300220</t>
  </si>
  <si>
    <t>Risks: 
(1) There has been discovery of asbestos, 
(2) Works will be undertaken in an occupied areas
Issues 
(1) Poor contractor performance</t>
  </si>
  <si>
    <t>Complete stage gate 1; commence tender for designers and survey. Subject to finalising details with Procurment out to tender w.c. 11 April 16. Procurment issue experienced: Tender issued but not acknowledged by many on list. Flagged to procurement who confirmed problem. Procurement extended tender return date to 13 May 2016. Await return of tenders to evaluate. Tenders evaluated and agreed with Procurement. Procurment have completed their assessment. Confirmed Frankhams are successful. Updated PEP submitted to Simona on 14 June for sign off. Remainder of stage gate 3 info prepared and submitted 16 June for board on 22 June. Understood PEP not signed nor project considered at board. Await istructions. Surveys undertaken. Designs commenced. Design review meeting being set up await feedback from Frankhams. Frankhams rep in hospital afteraccident. Meeting to be arranged for w.c. 10 Oct. Design review posted for 3 Nove at which scheme will be reviewed and signed off and or altered. Anticipate design phase - end of comission will be completed by end Nov 16</t>
  </si>
  <si>
    <t>Tender docs assembled. Contractors enquiry ready to go. Await procurement approval to strategy docuemnt requested. In hand. Out to tender. Project on site as of 31/12/16 pending WAR approvals.</t>
  </si>
  <si>
    <t>YES</t>
  </si>
  <si>
    <t>N/A</t>
  </si>
  <si>
    <t>NO</t>
  </si>
  <si>
    <t>Templar House Tea Points</t>
  </si>
  <si>
    <t>BMS system graphics requested via email 30/12/15 - Chased 25/01/16 - to date none received.
Pre-contract information lacking - no as-built information issued to date.
Potential delay to start on site. Stakeholder buy-in necessary, meetings difficult due to individuals schedules.
Start on site delayed by 1 week to allow for stakeholder meeting to be undertaken, and agreement achieved.
Risk becomes issue - Durat worktop delivery risk, delay 2 weeks - delivery took 5 weeks, not 3 as promised by Durat.
Both tea-points completed by contractor subject to snagging items.</t>
  </si>
  <si>
    <t>Current risk: IM not agreeing to strategy of running services pipe-work through IM room. Currently designing out the risk for agreement. IM agreement to route forward. Design agreed.
Risk: Current draft costplan higher than originally anticipated due to additional DDA requirements and necessary alterations to IM room to mitigate risk of leaking pipe-work. Risk of project cancellation if deemed too high a cost by project sponsor. Project currently out to tender o ratify budget.
Client liaison necessary due to costplan estimate being higher than anticipated originally.
Tenders returned. Costs issued to MN to obtain financial authority.
Financial authority 95% completed. Meeting arranged for final sign off of design 23/06/17.
AC redesign complete and contractor agreement obtained to costs.</t>
  </si>
  <si>
    <t>Industrial Kitchen/Rest Room Refurbishment</t>
  </si>
  <si>
    <t>Outturn Cost</t>
  </si>
  <si>
    <t>IO2146323</t>
  </si>
  <si>
    <t xml:space="preserve">New Meeting Rooms for Steve Burton EOS Director </t>
  </si>
  <si>
    <t>2nd Floor Kitchen area Palestra</t>
  </si>
  <si>
    <t>IO2147043</t>
  </si>
  <si>
    <t>Templar House Basement Changeing Room for Chancery Lane Escalator Replacement Project</t>
  </si>
  <si>
    <t>Windsor House Complex</t>
  </si>
  <si>
    <t>42-50 Victoria Street SW1H 0TL</t>
  </si>
  <si>
    <t>RNC Relocation to Palestra Varied to include Reinstatement Works at 55 Broadway</t>
  </si>
  <si>
    <t>Vinci Technology</t>
  </si>
  <si>
    <t>Contractual Practical Completion</t>
  </si>
  <si>
    <t>FacOps Action</t>
  </si>
  <si>
    <t>2-4 Weeks Overdue</t>
  </si>
  <si>
    <t>4+ Weeks Overdue</t>
  </si>
  <si>
    <t>Stage Gate 1</t>
  </si>
  <si>
    <t>Handover Date</t>
  </si>
  <si>
    <t>Forcast Board Date</t>
  </si>
  <si>
    <t>Actual Board Date</t>
  </si>
  <si>
    <t>PCP/16/024</t>
  </si>
  <si>
    <t>Griffith House Facade Repairs</t>
  </si>
  <si>
    <t>Stage 1</t>
  </si>
  <si>
    <t>Rag Status</t>
  </si>
  <si>
    <t>Broadway PA/VA system</t>
  </si>
  <si>
    <t>Broadway Complex</t>
  </si>
  <si>
    <t>55 Broadway SW1H 0BD</t>
  </si>
  <si>
    <t>Comments Key</t>
  </si>
  <si>
    <t>Health and Safety Documentation</t>
  </si>
  <si>
    <t>09.03 Health and Safety File</t>
  </si>
  <si>
    <t>On Hold</t>
  </si>
  <si>
    <t>Change Control Register - Property Care Programme</t>
  </si>
  <si>
    <t>Change Request Description</t>
  </si>
  <si>
    <t>Summary of Impact 
(Cost / Schedule / Quality )</t>
  </si>
  <si>
    <t>Submitted By</t>
  </si>
  <si>
    <t>Date Submitted</t>
  </si>
  <si>
    <t>Date Approved / Rejected</t>
  </si>
  <si>
    <t>Approval / Rejection comment</t>
  </si>
  <si>
    <t>PCP/13/010</t>
  </si>
  <si>
    <t>Oxford Circus House BMS connectivity / standards upgrade</t>
  </si>
  <si>
    <t>Programme revision to reflect full range of activities / Actual start date / FAC OPPS Close out</t>
  </si>
  <si>
    <t>8 wks on programme</t>
  </si>
  <si>
    <t>based on contractor programme</t>
  </si>
  <si>
    <t>Approved</t>
  </si>
  <si>
    <t>PCP/12/039</t>
  </si>
  <si>
    <t>Multisite - Install BMS to Critical IT Facilities</t>
  </si>
  <si>
    <t>Change of Contractor</t>
  </si>
  <si>
    <t>Cost impact - negligible
programme impact being assessed</t>
  </si>
  <si>
    <t>overcome poor performance issues with Mitie Controls</t>
  </si>
  <si>
    <t>Additional Works</t>
  </si>
  <si>
    <t>Cost / schedule impact being assessed</t>
  </si>
  <si>
    <t>Additional works requested by Fac Ops</t>
  </si>
  <si>
    <t>Impact of technical / operational issues on cost and programme</t>
  </si>
  <si>
    <t>being assessed</t>
  </si>
  <si>
    <t>Professional Cleaning of Air Systems</t>
  </si>
  <si>
    <t>cost impact £ 135,676</t>
  </si>
  <si>
    <t>Increase efficiency of the building</t>
  </si>
  <si>
    <t>Chairman's action</t>
  </si>
  <si>
    <t>Compliance works and schedule of recommendations as requested by Arup and TfL Team</t>
  </si>
  <si>
    <t>cost impact £ 47,631</t>
  </si>
  <si>
    <t>to ensure project undertaken in compliance with the Brief, Fire Strategy and Fire Risk Assessment</t>
  </si>
  <si>
    <t>Programme Extension</t>
  </si>
  <si>
    <t>Impact on programme (baseline extended); Impact on cost assessed in CCR 2015/1</t>
  </si>
  <si>
    <t>Decision to undertake the Asbestos Impact Assessments and Detailed Design Development</t>
  </si>
  <si>
    <t>RNC Relocation to Palestra</t>
  </si>
  <si>
    <t>Programme Extension/ Budget amendment</t>
  </si>
  <si>
    <t xml:space="preserve">4 weeks on programme (new project finish date 05/10/2015) 
£ 59,000 cost increase (new EFC £ 112,500)
</t>
  </si>
  <si>
    <t>Change/Extended of work scope of RNC Relocation</t>
  </si>
  <si>
    <t>Rech/15/ACR7705</t>
  </si>
  <si>
    <t>Griffith House - Replacement 2 Roller Shutter Doors</t>
  </si>
  <si>
    <t>2 weeks on programme (new baseline finish date 31/08/2015) 
Budget Correction of £10,317 (New Budget confirmed - £ 58,744)</t>
  </si>
  <si>
    <t>Initial Budget Incorrectly Recorded/ Extension of Time to Complete the Defects Resolution</t>
  </si>
  <si>
    <t>Increase of delivery scope to provide Building Services enhancements</t>
  </si>
  <si>
    <t xml:space="preserve">20 weeks on programme (new baseline finish date 29/12/2015) </t>
  </si>
  <si>
    <t>Add. works will provide broader connectivity across BMS network, greater consistency in the system. Also, will improve system functionality, control and operation</t>
  </si>
  <si>
    <t>Victoria Station House - Redecoration Works</t>
  </si>
  <si>
    <t>Programme Extension and Budget increase to facilitate daylight dimming</t>
  </si>
  <si>
    <t xml:space="preserve">8 weeks on programme (new project finish date 26/10/2015)
Cost impact - £ 20,000 (New Budget confirmed - £ 115,000)
</t>
  </si>
  <si>
    <t>Submitted design did not meet TfL Standards and did not offer daylight dimming. The subsequent design revision resulted delay and increase of the costs.</t>
  </si>
  <si>
    <t>Due to presence of Asbestos which compromise the installation of Fire Alarm installation remediation and fabric remedial works are required</t>
  </si>
  <si>
    <t>Cost Impact £ 350,650 (New Budget  confirmed - £ 1,506,239)</t>
  </si>
  <si>
    <t>Works are required to ensure there are no contraventions to the Statutory Regulations and Compliance with Health and Safety Risk</t>
  </si>
  <si>
    <t xml:space="preserve">23 weeks on programme (new project finish date 14/03/2016) 
£ 40,000 cost increase (new EFC £ 152,500) - ( £40k covered by PCP budget)
</t>
  </si>
  <si>
    <t>Extended Scope of Project to incorporate works to adapt Solar Shading Devices, 4th and 5th Fl 55 Broadway</t>
  </si>
  <si>
    <t xml:space="preserve">42 days on programme (new project finish date 11/03/2016) 
£ 122,100 cost increase (new Budget confirmed £ 423,300)
</t>
  </si>
  <si>
    <t>Extra Works discovered during intrusive site surveys and testing; Change of contract</t>
  </si>
  <si>
    <t>PCP/13/014</t>
  </si>
  <si>
    <t xml:space="preserve">13 Allsop Pl - Versatemp refurbishment &amp; R22 Replacement </t>
  </si>
  <si>
    <t xml:space="preserve">Critical Delivery Date 12 Nov 2015 
£ 3,578 cost increase (new Budget confirmed £ 275,578)
</t>
  </si>
  <si>
    <t>Extra Works - Repair and Upgrade All Electrical Spares to Versatemp Units</t>
  </si>
  <si>
    <t>Budget amendment</t>
  </si>
  <si>
    <t xml:space="preserve">
£ 59,576 cost increase (new Budget confirmed £ 225,717)
</t>
  </si>
  <si>
    <t>Water Systems Commissioning in accordance with Core Groups recommendations to enhance the optimisation of Mech Systems. Works will be carried for 8 weeks (Finish date change from 27/11/2015 to 19/02/2016)</t>
  </si>
  <si>
    <t>PCP/15/011</t>
  </si>
  <si>
    <t>Old Broad Street - Install New HVAC System - Feasibility</t>
  </si>
  <si>
    <t>Uplift in Budget for Passive Haus Consultant</t>
  </si>
  <si>
    <t>£ 11,000 cost increase (New Budget confirmed £ 25,300)</t>
  </si>
  <si>
    <t>Additional £ 11k required to undertake Passive Haus Feasibility and review in Old Broad Street</t>
  </si>
  <si>
    <t>Extension on Programme</t>
  </si>
  <si>
    <t xml:space="preserve">31 days on programme (new baseline finish date 30/01/2016) </t>
  </si>
  <si>
    <t>Delay by Air Handling Unit manufacturer in attending site to inspect AHU resulted the change in completion date</t>
  </si>
  <si>
    <t xml:space="preserve">27 weeks on programme (new baseline finish date 11/04/2016) </t>
  </si>
  <si>
    <t>Multisite - Fire Compartmentation Work</t>
  </si>
  <si>
    <t>3 months on programme (new baseline finish date 25/08/2015)</t>
  </si>
  <si>
    <t>Change request submitted to align the Baseline Completion date with Practical Completion date</t>
  </si>
  <si>
    <t xml:space="preserve">2 weeks on programme (new project finish date 12/02/2016) 
£ 750 cost increase (New Budget confirmed £ 26,050)
</t>
  </si>
  <si>
    <t>Air Pressure Testing  - Additional Building test to receive more accurate information for undertaking the modelling</t>
  </si>
  <si>
    <t xml:space="preserve">6 weeks on programme (new project finish date 1/04/2016) 
£ 25,000 cost increase (New Budget confirmed £ 250,717)
</t>
  </si>
  <si>
    <t>Air Systems remedial works in accordance with Core Group recommendations to achieve the TfL criteria</t>
  </si>
  <si>
    <t>Facilitating Construction Works for RNC Relocation to Palestra</t>
  </si>
  <si>
    <t xml:space="preserve">4 weeks on programme (new project finish date 09/05/2016) 
</t>
  </si>
  <si>
    <t>Extend Project Close to accommodate supplier delay in planning and manufacture of blinds impacting on works on site</t>
  </si>
  <si>
    <t xml:space="preserve">16 weeks on programme (new project finish date 18/05/2016) 
</t>
  </si>
  <si>
    <t>First test cancelled by TfL for business reasons which resulted the delay, additional time being required for re-evaluation of works stages and planning of target dates</t>
  </si>
  <si>
    <t xml:space="preserve">20 weeks on programme (new project finish date 30/09/2016) 
</t>
  </si>
  <si>
    <t>Programme Extension due to presence of asbestos, remediation works, slow containment installation and poor contractor performance</t>
  </si>
  <si>
    <t xml:space="preserve">£ 6,250 cost increase (New Budget confirmed £ 564,250)
</t>
  </si>
  <si>
    <t>Additional Survey of Incomplete works needed</t>
  </si>
  <si>
    <t xml:space="preserve">£ 4,918 cost increase (New Budget confirmed £ 114,918)
</t>
  </si>
  <si>
    <t>Additional 5 doors to be renewed (riser cupboards)</t>
  </si>
  <si>
    <t xml:space="preserve">4 weeks on programme (new project finish date 06/06/2016) 
</t>
  </si>
  <si>
    <t>Extend Project Close to accommodate supplier delays in planning and manufacture of blinds impacting on works on site &amp; close out</t>
  </si>
  <si>
    <t>Palestra-Basement Leak Detection and Sump Pump</t>
  </si>
  <si>
    <t xml:space="preserve">£ 5,343 cost increase (New Budget confirmed £ 131,343)
</t>
  </si>
  <si>
    <t>Investigation and Report to perform by Gemimi Fire Ltd on Leak Detection System on Upper Floors, Palestra</t>
  </si>
  <si>
    <t xml:space="preserve">11 weeks on programme (new project finish date 12/08/2016) 
</t>
  </si>
  <si>
    <t>Rebalancing and commissioning of the Air System together with the witnessing and commissioning of the wet systems. The work is a direct result of Core Group refusal to work with TfL</t>
  </si>
  <si>
    <t xml:space="preserve">2 weeks on programme (new project finish date 31/08/2016) 
£ 16,790 cost increase (New Budget confirmed £ 267,507)
</t>
  </si>
  <si>
    <t>Undertake detailed condition report on mechanical and BMS functionality</t>
  </si>
  <si>
    <t xml:space="preserve">£ 33,268 cost increase (New Budget confirmed £ 300,775)
</t>
  </si>
  <si>
    <t>Undertake the replacement of critical faulty valves with new fixed Qrifice double regulating valves in various location</t>
  </si>
  <si>
    <t>Change of Proposed Project Completion Date to 16/12/2016</t>
  </si>
  <si>
    <t>The Extension to the BMS system cannot be commissioned or tested because the existing system doesn't not operate as expected</t>
  </si>
  <si>
    <t>£800 Cost increase to £180111</t>
  </si>
  <si>
    <t>Asbestos found and needs to be removed</t>
  </si>
  <si>
    <t>RECH/16/ACR646</t>
  </si>
  <si>
    <t>Palestra 9th Floor Meeting Rooms</t>
  </si>
  <si>
    <t>£25600 Cost increase 
New Project Finish Date 07/12/2016</t>
  </si>
  <si>
    <t>RECH/16/ACR12908</t>
  </si>
  <si>
    <t>Griffith House 3rd Floor Industrial Kitchen</t>
  </si>
  <si>
    <t>Project Completion Date 15/11/2016</t>
  </si>
  <si>
    <t>Snagging deal Leg to be Removed</t>
  </si>
  <si>
    <t>Change of Proposed Project Completion Date to 28/10/2016</t>
  </si>
  <si>
    <t>Allow more Time to Resolve BMS Issues</t>
  </si>
  <si>
    <t>Programme Extension/Budget Amendment</t>
  </si>
  <si>
    <t>Change of Proposed Project Completion Date 12/12/2016 and £9311 Cost Increase to £179311</t>
  </si>
  <si>
    <t>Delay in delivery of the BMS Element of the project against the project schedule there is a need to extend the delivery period</t>
  </si>
  <si>
    <t>Change of Proposed Project Start date to match actual start date</t>
  </si>
  <si>
    <t>Change to budget will be incorporated in to the Project Risk Costs</t>
  </si>
  <si>
    <t>Due to the age and the existing ceiling it is now beyond economical repair to maintain. Ceiling soft fit is required to ensure fire compartment integrity</t>
  </si>
  <si>
    <t>Change to Project Completion date</t>
  </si>
  <si>
    <t>Original scope of project did not incorporate installing the upgrade to the BMS.</t>
  </si>
  <si>
    <t>Risk: No Risks
Issues: Heating system is open without open vent and will be referred to FO/IS (R Sciberras) for technical consideration. There appears to be a BMS philosophy/control concern which has been notified to FO/IS (R Sciberras)</t>
  </si>
  <si>
    <t>Risks have been released.
Several hinges have had hinge pins come loose. The manufacturer has visited site to inspect and has taken a sample defect. Report and proposal awaited from JNG.</t>
  </si>
  <si>
    <t>Budget (+-): Final account agreed with JNG.
Programme: O&amp;Ms revised and agreed. H&amp;S File submitted. PCHC signed. Gate 5 documents submited for review on 23rd November 2016.</t>
  </si>
  <si>
    <t>Extension of time to programme due to illness of designer and design review has flagged further issue and design developemtn relating to acess and physical implications of undertaking work. Design due for completion by Christmas 2016</t>
  </si>
  <si>
    <t>Project Completion Date from 15/05/2016 to 23/12/2016</t>
  </si>
  <si>
    <t>RECH/16/ACR/13748</t>
  </si>
  <si>
    <t>Extenstion of time to programme due to late receipt of design information</t>
  </si>
  <si>
    <t>Project Completion Date from 28/09/2016 to 09/11/2017</t>
  </si>
  <si>
    <t>Project Completion Date from 28/09/2016 to 09/11/2018</t>
  </si>
  <si>
    <t>Rech/15/ACR/10787</t>
  </si>
  <si>
    <t>Technical Fit-out delayed  untill April 16 user acceptance was not completed until 01/09/2016 due to technical issues with new tunnels control system. Many other issue please refure to change Request</t>
  </si>
  <si>
    <t>Palestra 2nd Floor Kitchen</t>
  </si>
  <si>
    <t>Change to Baseline Start date from 23/07/2016 to 09/01/2017
Change to Baseline Completion from 12/08/2016 to 13/02/2017
Increase to budget from £40000-£42000</t>
  </si>
  <si>
    <t>Progress to Project Delivery</t>
  </si>
  <si>
    <t>RX04F.033.307.04.01</t>
  </si>
  <si>
    <t xml:space="preserve">Griffiths House Facade Repairs - Enabling </t>
  </si>
  <si>
    <t>RX04F.033.307.04.02</t>
  </si>
  <si>
    <t>Griffiths House Facade Repairs - Project</t>
  </si>
  <si>
    <t>1 - Outline Definition</t>
  </si>
  <si>
    <t>RX04F.033.303.10</t>
  </si>
  <si>
    <t>Pier Walk</t>
  </si>
  <si>
    <t>Townsend House</t>
  </si>
  <si>
    <t>RECH/16/ACR13748</t>
  </si>
  <si>
    <t>Project submitted stage gate 1 on 20.7.16; Project submitted for stage gate 4,  2 sept. Tender evaluation completed. Contract ready to go. Procurment will not release until stage gate approval. CAR agreed and signed off. PO placed. Project was delayed to next stage gate. Due to start on site 28 sept 16, pending M&amp;E sign off. Project delayed 1 week due to late production of RAMS for WAZ. Start on site date now 3 Oct. Project on site. PC expected 3 Nov. X rail have confirmed not occupying until 21 Nov. PC acheived on 18 Nov 16</t>
  </si>
  <si>
    <t>* Stage Gate 5 approved. * Stage Gate 6 submitted on Friday 25/11/2016. *The project should be removed from the tracker's live projects.</t>
  </si>
  <si>
    <t xml:space="preserve">Submitted to Stage Gate 5 Board </t>
  </si>
  <si>
    <t>Project Requirement issued</t>
  </si>
  <si>
    <t>CC10284 / IO2147442</t>
  </si>
  <si>
    <t xml:space="preserve">
Authority for Board submission received. Submission due 01/07/16.
Stage 4 approval Submission due 01/07/16.
Stage Gate 4 success and approval to proceed received.
Pre-Start meeting convened 17/07/16.
Fujitsu to complete enabling works by 31/07/16 - main contractor start on site 01/08/16. Works duration 10 weeks. 
Actual start on site: 03/08/16
Stage Gate 5 Waiting on Operation representative to sign off handover certificate. Will be completed by chairs actions
</t>
  </si>
  <si>
    <t xml:space="preserve">BMS connection via main contractor cancelled due to lack of funding via Fac Ops Dept. Main Contractor instructed not to connect extract fan to BMS.
Risk of delay due to Durat specified worktops coming from Helsinki. Worktop delivery did delay project completion.
Anticipated additional costs for additional vinyl coverings and necessary alterations to ceiling.
Previous handover meeting cancelled due to family matter. 
Final O&amp;M issued by contractor - reviewed - 'As Built' drawings outstanding. Due w/c 09/05/16
Installation complete - sign off process begun.
Handover meeting rearranged for wc 26/05/16. Handover meeting completed. O&amp;M to be issued 31/05/16.
O&amp;M Issued to Fac Ops 03/06/16 - awaiting sign off. Snags received. Issued to contractor. Contractor has agreed suitable date for snag attendance. Snagging ongoing. Due for completion w/c 27/06/15.
Snags completed and list issued back to Fac Ops 06/07/16 with photos and updated snag list. Sign off requested by AC.
Agreed close out measures.
Project Completed and Handed over 02/12/2016.
Stage Gate 5 handover certificate to be completed by chairs action 05/12/2016
</t>
  </si>
  <si>
    <t>yes</t>
  </si>
  <si>
    <t xml:space="preserve">Nicky Mahood agreed final account/variations with FM Conway and will be closing this project. </t>
  </si>
  <si>
    <t>Contractual practical completion</t>
  </si>
  <si>
    <t>Retention Release Date</t>
  </si>
  <si>
    <t>Retention Amount</t>
  </si>
  <si>
    <t>Retention Released</t>
  </si>
  <si>
    <t>Defects liablity Period (Months)</t>
  </si>
  <si>
    <t>Rentention and Release</t>
  </si>
  <si>
    <t>\</t>
  </si>
  <si>
    <t>NEC3 Form Contract</t>
  </si>
  <si>
    <t>Project Description</t>
  </si>
  <si>
    <t>Start date</t>
  </si>
  <si>
    <t>Completion</t>
  </si>
  <si>
    <t>Today</t>
  </si>
  <si>
    <t>Column1</t>
  </si>
  <si>
    <t>PulledCompletion</t>
  </si>
  <si>
    <t>Days</t>
  </si>
  <si>
    <t>Pulled DaysColumn1</t>
  </si>
  <si>
    <t>Project Managers</t>
  </si>
  <si>
    <t>Pulled Project Manager</t>
  </si>
  <si>
    <t>Pulled DaysColumn2</t>
  </si>
  <si>
    <t>Stage Gate 5</t>
  </si>
  <si>
    <t>Robert Sciberras</t>
  </si>
  <si>
    <t>Dave Parr</t>
  </si>
  <si>
    <t>Quinten Babcock</t>
  </si>
  <si>
    <t>Mike O'Connor</t>
  </si>
  <si>
    <t>Hakeem Makanju</t>
  </si>
  <si>
    <t>Quinten Babcock &amp; Hakeem Makanju</t>
  </si>
  <si>
    <t>4L Emergancy Service Control Centre</t>
  </si>
  <si>
    <t>Budget (+/-): Completed under budget.
Programme: Completed ahead Programme. Stage Gate 5 achieved on  04/01/2017.</t>
  </si>
  <si>
    <t>Remove from Tracker sheet transfer to archive and stage gate 6 sheet</t>
  </si>
  <si>
    <t>Stage gate 5 over due by 212 days</t>
  </si>
  <si>
    <t xml:space="preserve">Needs to issue paperwork for Stage gate 5 Next board to close out 18/01/2017
stage gate 5 overdue by 34 </t>
  </si>
  <si>
    <t/>
  </si>
  <si>
    <t xml:space="preserve">Completed </t>
  </si>
  <si>
    <t>Board Date
01/02/2016</t>
  </si>
  <si>
    <t>R</t>
  </si>
  <si>
    <t>on time</t>
  </si>
  <si>
    <t>Under budget by £42047</t>
  </si>
  <si>
    <t>RECH/16/ACR8658</t>
  </si>
  <si>
    <t>Project has been signed off and passed stage gate 5 to be removed by AW</t>
  </si>
  <si>
    <t>Handover Certificate issued 30/12/2016 supported by Stage Gate 5 Close Out Report.
Handover Certifcate reviewed David Parr / Ray Edwards 06/01/2017, copy of snag sheets requested 06/01/2016 and supplied 11/01/2017. 
Awaiting handover certifcate to be signed</t>
  </si>
  <si>
    <t>Handover Certificate issued 30/12/2016 supported by Stage Gate 5 Close Out Report.
Handover Certifcate reviewed David Parr / Ray Edwards 06/01/2017, copy of snag sheets requested 06/01/2016 and supplied 12/01/2017. 
Awaiting handover certifcate to be signed</t>
  </si>
  <si>
    <t xml:space="preserve">Risk: Risk relating to appointment of Principal Designer may compromise progress.
Issues: No Issues
</t>
  </si>
  <si>
    <t>Aldgate Station (EC3N)</t>
  </si>
  <si>
    <t>Allsop Place, 13 (NW1)</t>
  </si>
  <si>
    <t>Allsop Place, 15-17 (NW1)</t>
  </si>
  <si>
    <t>Ashfield House (W14)</t>
  </si>
  <si>
    <t>Baker Street Revenue Control (NW1)</t>
  </si>
  <si>
    <t>Baker Street, 210-212 (NW1)</t>
  </si>
  <si>
    <t>Baker Street, 216 (NW1)</t>
  </si>
  <si>
    <t>Blackwall (E14)</t>
  </si>
  <si>
    <t>Borough High Street, 31 (SE1)</t>
  </si>
  <si>
    <t>Chancel Street Garage Complex (SE1)</t>
  </si>
  <si>
    <t>Davies Street, 75 (W1)</t>
  </si>
  <si>
    <t>Griffith House (NW1)</t>
  </si>
  <si>
    <t>Lost Property Office (NW1)</t>
  </si>
  <si>
    <t>Multi Sites</t>
  </si>
  <si>
    <t>Old Broad Street (EC2)</t>
  </si>
  <si>
    <t>Oxford Circus House (W1)</t>
  </si>
  <si>
    <t>Pelham Street (SW7)</t>
  </si>
  <si>
    <t>Penton Street (NW1)</t>
  </si>
  <si>
    <t>Premier House (W9)</t>
  </si>
  <si>
    <t>Selbie House (NW1)</t>
  </si>
  <si>
    <t>Townsend House (SW1)</t>
  </si>
  <si>
    <t>Uniform Store (W3)</t>
  </si>
  <si>
    <t>Vandon St Garage (SW1)</t>
  </si>
  <si>
    <t>Western House (W1)</t>
  </si>
  <si>
    <t>Bringing Back to use Staircase/chained door leading to the track</t>
  </si>
  <si>
    <t>Stage Gate</t>
  </si>
  <si>
    <t>RECH/16/ACR16145</t>
  </si>
  <si>
    <t>Waiting for Tender returns on 10/03/2017 to proceed to SG4 26/04/2017</t>
  </si>
  <si>
    <t xml:space="preserve">Budget (+-): 10/02/17: Contractor (Powersys) account agreed without increase to Budget although formal sign off is to follow._x000D_
_x000D_
Programme: 10/02/17 Programme maintained with PC notified as 01/12/16 to acknowledge transfer of power to new system achieved 24/11/16. _x000D_
</t>
  </si>
  <si>
    <t>(1) Poor contractor performance
(2) Discovery of asbestos
(3) System migration</t>
  </si>
  <si>
    <t>Board Due Date Date</t>
  </si>
  <si>
    <t>SG1</t>
  </si>
  <si>
    <t>SG2</t>
  </si>
  <si>
    <t>SG3</t>
  </si>
  <si>
    <t>SG4</t>
  </si>
  <si>
    <t>SG5</t>
  </si>
  <si>
    <t>F</t>
  </si>
  <si>
    <t>OA</t>
  </si>
  <si>
    <t>Profesional Services Contract</t>
  </si>
  <si>
    <t xml:space="preserve">Project Names </t>
  </si>
  <si>
    <t>ACR/MAP/BMP</t>
  </si>
  <si>
    <t xml:space="preserve">Building </t>
  </si>
  <si>
    <t>Potential PM</t>
  </si>
  <si>
    <t>Potential budget</t>
  </si>
  <si>
    <t>Completed by date (indicated)</t>
  </si>
  <si>
    <t xml:space="preserve">Date Received </t>
  </si>
  <si>
    <t xml:space="preserve">Received from </t>
  </si>
  <si>
    <t xml:space="preserve">Project Sponsor </t>
  </si>
  <si>
    <t>http://docmanager.onelondon.tfl.local/livelink/llisapi.dll?func=ll&amp;objId=349214594&amp;objAction=browse</t>
  </si>
  <si>
    <t xml:space="preserve">Project hand over certificate issued on 30/12/2016, supported by Stage Gate 5 Close Out Report has been prepared in anticipation of handover._x000D_
_x000D_
Rob Sciberras handed project over to Michael O'Connor on departure. _x000D_
_x000D_
Meeting and inspection held Martin Smith / Michael O'Connor 19/01/2017 on site to review project and discuss handover certificate. Clarity in requirements received 03/02/17 following Fac Ops dialogue with Vinci. Information to be provided by BHA._x000D_
</t>
  </si>
  <si>
    <t>PCP/12/003</t>
  </si>
  <si>
    <t>Plant Optimisation Albany House</t>
  </si>
  <si>
    <t>Extension to programme from 31/08/2016 to 17/02/2017</t>
  </si>
  <si>
    <t>due to poor performance and recommendations by the Commissioning Engineers and resource issue by the contractor has led to delays despite numerous efforts to mitigate the delays</t>
  </si>
  <si>
    <t xml:space="preserve">Extension to programme from 30/09/2016 to 30/04/2017 </t>
  </si>
  <si>
    <t>Due to poor contractor performance. Despite a number of attempts to mitigate the delay the contractor will not be able to achieve the programme dates as advised the continual poor management and elivery has resulted in a delay to the contract completion</t>
  </si>
  <si>
    <t>PM to finalise costs, and prepare SG5.  Simona to chase purchase order.</t>
  </si>
  <si>
    <t>No Issues</t>
  </si>
  <si>
    <t xml:space="preserve">Budget (+-): Final account agreed.
_x000D_
Programme: Des of Ops awaited; minor corrections to graphics required. These are still outstanding.
</t>
  </si>
  <si>
    <t>PCP/16/025</t>
  </si>
  <si>
    <t>Ashfield House 2nd &amp; 5th Floor Change of Layout</t>
  </si>
  <si>
    <t>Insert in initial budget into the tracker and Stage Gate 5 is now overdue</t>
  </si>
  <si>
    <t>Board Date
20/08/2016</t>
  </si>
  <si>
    <t>Under budget by £9461</t>
  </si>
  <si>
    <t>Construction work to be started in 2017/2018 financial year
A variation to brief cost, and programme</t>
  </si>
  <si>
    <t>Vinci</t>
  </si>
  <si>
    <t>Board Date
15/10/2015</t>
  </si>
  <si>
    <t>Under budget by £18469</t>
  </si>
  <si>
    <t>john cousins</t>
  </si>
  <si>
    <t>PRS contract</t>
  </si>
  <si>
    <t>Telent Q</t>
  </si>
  <si>
    <t>Date: 21/04/2017</t>
  </si>
  <si>
    <t>BBC have confirmed a further revised completion date of 10th July 17. The team do not belive this date is acheiveable. The comption date is likely to be at the end of August 17 at the earliest. Poor management in terms of closing out defects, final development of the migration process and subsequential strip of the old system remain a concern.</t>
  </si>
  <si>
    <t>AKS Ward</t>
  </si>
  <si>
    <t>PCP/16/024B</t>
  </si>
  <si>
    <t>FacOps/16/014</t>
  </si>
  <si>
    <t>RX04F.033.308.04</t>
  </si>
  <si>
    <t>Palestra BMS R2 Equipment Upgrade</t>
  </si>
  <si>
    <t>Lond Und</t>
  </si>
  <si>
    <t>FacOps/16/007</t>
  </si>
  <si>
    <t>RX04F.033.301.02</t>
  </si>
  <si>
    <t>Multisite Gas Detection Systems Replacement</t>
  </si>
  <si>
    <t>4LM is not fully committed to fund the whole project.</t>
  </si>
  <si>
    <t>This project is not delievered through Pathway.</t>
  </si>
  <si>
    <t>Budget (+-): Change Request 06 has been issued and signed off
Programme: Water systems works complete, balancing and commissioning  has been completed by BTU. Final balancing complete, test and commissioning sheets awaited prior to the issue of PC. Final balancing excercise to be undertaken on 27th May 17.</t>
  </si>
  <si>
    <t>Project is now completed.  Stage 5 and 6 are being prepared.</t>
  </si>
  <si>
    <t>04.05 Neogation and Contract Award</t>
  </si>
  <si>
    <t>04.05 Negotiation and Contract Award</t>
  </si>
  <si>
    <t>04.05 Negotiation and Contract AWard</t>
  </si>
  <si>
    <t>04.05 Negotiation  and Contract Award</t>
  </si>
  <si>
    <t>Risk: co-ordination of new and existing monitoring systems may be a problem. Clima Check system may not be compatible with new chillers.
Issues: Chiller renewal must be supported by a well maintained distribution to obtain maximum benefit.</t>
  </si>
  <si>
    <t>Risks include float installed with insufficient falls; cistern refill speed insufficient; poor quality electrical installation behind panels. Change of Maintenance company will impact project. Specified toilet pan is not on WTL list. A different pan may be specified.</t>
  </si>
  <si>
    <t>Board Date
18/08/2016</t>
  </si>
  <si>
    <t>9 day(s) late</t>
  </si>
  <si>
    <t>Under budget by £66696</t>
  </si>
  <si>
    <t>Under budget by £0</t>
  </si>
  <si>
    <t>Board Date
29/09/2016</t>
  </si>
  <si>
    <t>3 day(s) early</t>
  </si>
  <si>
    <t>Under budget by £212591</t>
  </si>
  <si>
    <t>Board Date
01/02/2015</t>
  </si>
  <si>
    <t>Fac Ops handover inspections undertaken for both sites. LSTOC went operational on 1 Sep '16. Variation to extend completion date to cover return visit has been issued. 
Close out activities: 2 items have been preventing project closure (PCR) - (1) Mitie to amend 200BPR BMS headend to show new partition; implementation could be post-PCR once PO has been raised. PO now issued to Mitie. &amp; (2) alteration of O&amp;M to reflect Infrstructure team feedback - contractor has done incorrectly, rectification measures in place, scheduled for completion 24Feb17 for issue to Infrastructure team for sign-off. 
STAKEHOLDER COMMENTS: Issue Change Request - Need Tony to come to next meeting, update forecast</t>
  </si>
  <si>
    <t>104 day(s) early</t>
  </si>
  <si>
    <t>Under budget by £162000</t>
  </si>
  <si>
    <t>Board Date
18/05/2016</t>
  </si>
  <si>
    <t>Under budget by £59289</t>
  </si>
  <si>
    <t>JNG</t>
  </si>
  <si>
    <t>Project initiation meeting to be held. Deliveries of scaffold and building materials will be difficult due to Old Marylebone Road being a Red Route. Limited use of substation area is being negotiated.</t>
  </si>
  <si>
    <t>Risk: Discovery of additional works when close inspection is available.
Issues: Defective down pipe repair, originally omitted from Frankham brief has now been added.</t>
  </si>
  <si>
    <t>23/06/17_x000D_
Witness testing completed 04/06/17 and the forcast completion has been amended to reflect this.</t>
  </si>
  <si>
    <t>Budget (+-): JNG tender accepted. Budget increased to match EFC amended in accordance with JNG tender.
_x000D_
Programme: JNG have identified a potential problem with the toilet pan support system. The team, including JNG, are working to find a solution, but this has delayed, and will continue to delay, the start on site, until resolved. A trial of the WTL listed E0473 pan, is planned and this may resolve the problem.</t>
  </si>
  <si>
    <t>Project closed. Handover certificate signed and passed to Phil. This project should be taken of tracker now.</t>
  </si>
  <si>
    <t>Principle Contractor (HA Marks) to start on site next Monday 12.06.2017.</t>
  </si>
  <si>
    <t>Stage Gate 4 has been declined and pushed back to  SG3, please can you liaise with Philip around how SG3 dates on the tracker should populated?   Bearing in mind we have a fully developed design, which is SG4 as defined by Pathway, and has been costed.</t>
  </si>
  <si>
    <t>Framkhams</t>
  </si>
  <si>
    <t xml:space="preserve">Budget (+-): Info for final account agreement requested from BTU. Still awaited as of 06 July 2017
_x000D_
Programme: 172 BPR - fan to ACC2 renewed. Chilller working on Chilled Beams. Ice store now working. Chiller ACC1 has leak on valve. Vinci to quote for repair.  WH chillers running and performing well under test.. List of defects being addressed
WH - Completion cert issued 30/03/17 with snags.
</t>
  </si>
  <si>
    <t xml:space="preserve">Budget (+-):  Budget will be revised as specification develops._x000D_
_x000D_
Programme:  Frankham SOW and specification has been revised and is ready for tender issue. 
</t>
  </si>
  <si>
    <t xml:space="preserve">Budget (+-): Budget  £750,000 approved._x000D_
_x000D_
Programme:Millcroft appointed 31/03/17. Scaffolding CDS reviewed, revised and subject to further revision. Pavement licence approved. AKSW have submitted their SOW. This is has been issued to tender.
</t>
  </si>
  <si>
    <t xml:space="preserve">14/07/17_x000D_
Contract negotiation with SSE + Frankhams commenced._x000D_
_x000D_
_x000D_
_x000D_
</t>
  </si>
  <si>
    <t xml:space="preserve">14/07/17_x000D_
Handover + Completion Certificate signed by all parties. Project continues to address maintenance prior to IS review workshop provisionally planned 24/07/17._x000D_
</t>
  </si>
  <si>
    <t>14/07/17_x000D_
Project instructed to completion SG6 close out.</t>
  </si>
  <si>
    <t xml:space="preserve">14/07/17_x000D_
Project processing close out with delivery format to be agreed for Reports._x000D_
</t>
  </si>
  <si>
    <t>Completed
18/01/2017</t>
  </si>
  <si>
    <t>73 day(s) late</t>
  </si>
  <si>
    <t>Under budget by £6444.88</t>
  </si>
  <si>
    <t xml:space="preserve">PM to finalise costs, and prepare SG5 by 24th July 2017.  </t>
  </si>
  <si>
    <t>Board Date
25/08/2016</t>
  </si>
  <si>
    <t>23 day(s) early</t>
  </si>
  <si>
    <t>Under budget by £5470.45</t>
  </si>
  <si>
    <t>Board Date
14/04/2017</t>
  </si>
  <si>
    <t>Forecast Completion in the past, please update</t>
  </si>
  <si>
    <t>Current Forecast Spend £108824.75</t>
  </si>
  <si>
    <t>Completed
26/11/2015</t>
  </si>
  <si>
    <t>Under budget by £8524</t>
  </si>
  <si>
    <t>Board Date
29/02/2016</t>
  </si>
  <si>
    <t>49 day(s) late</t>
  </si>
  <si>
    <t>Over budget by £39762</t>
  </si>
  <si>
    <t>John to issue Stage Gate 5 and 6 documents.</t>
  </si>
  <si>
    <t>John to progress getting final approval for the CDS from Paul Grant by 31st July to enable the scaffolding to be erected in mid August.</t>
  </si>
  <si>
    <t>In Year Position as @ P4</t>
  </si>
  <si>
    <t>SMT approved on 27th July 2017, to continue through to Stage 5 and 6</t>
  </si>
  <si>
    <t>Completed
02/11/2015</t>
  </si>
  <si>
    <t>Current Forecast Spend £419345</t>
  </si>
  <si>
    <t>Stage Gate 2</t>
  </si>
  <si>
    <t>Jerry to prepare SG5 and 6 documents, before end of August 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</si>
</sst>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_(* #,##0_);_(* \(#,##0\);_(* &quot;-&quot;_);_(@_)"/>
    <numFmt numFmtId="165" formatCode="_(* #,##0.00_);_(* \(#,##0.00\);_(* &quot;-&quot;??_);_(@_)"/>
    <numFmt numFmtId="166" formatCode="[$-F800]dddd\,\ mmmm\ dd\,\ yyyy"/>
    <numFmt numFmtId="167" formatCode="&quot;£&quot;#,##0.00"/>
    <numFmt numFmtId="168" formatCode="#,##0_ ;[Red]\-#,##0\ "/>
    <numFmt numFmtId="169" formatCode="[$-409]d\-mmm\-yy;@"/>
    <numFmt numFmtId="170" formatCode="[$-409]dd\-mmm\-yy;@"/>
    <numFmt numFmtId="171" formatCode="_(&quot;£&quot;* #,##0.00_);_(&quot;£&quot;* \(#,##0.00\);_(&quot;£&quot;* &quot;-&quot;??_);_(@_)"/>
  </numFmts>
  <fonts count="89" x14ac:knownFonts="1">
    <font>
      <sz val="12"/>
      <color theme="1"/>
      <name val="Arial"/>
      <family val="2"/>
    </font>
    <font>
      <b/>
      <sz val="8"/>
      <color theme="1"/>
      <name val="Arial"/>
      <family val="2"/>
    </font>
    <font>
      <sz val="8"/>
      <color theme="1"/>
      <name val="Arial"/>
      <family val="2"/>
    </font>
    <font>
      <sz val="10"/>
      <color theme="1"/>
      <name val="Calibri"/>
      <scheme val="minor"/>
    </font>
    <font>
      <b/>
      <sz val="12"/>
      <color theme="1"/>
      <name val="Calibri"/>
      <scheme val="minor"/>
    </font>
    <font>
      <sz val="8"/>
      <name val="Arial"/>
      <family val="2"/>
    </font>
    <font>
      <sz val="10"/>
      <color theme="1"/>
      <name val="Arial"/>
      <family val="2"/>
    </font>
    <font>
      <sz val="9"/>
      <color indexed="81"/>
      <name val="Tahoma"/>
      <family val="2"/>
    </font>
    <font>
      <b/>
      <sz val="9"/>
      <color indexed="81"/>
      <name val="Tahoma"/>
      <family val="2"/>
    </font>
    <font>
      <b/>
      <sz val="10"/>
      <color theme="1"/>
      <name val="Calibri"/>
      <scheme val="minor"/>
    </font>
    <font>
      <b/>
      <sz val="8"/>
      <color theme="0"/>
      <name val="Arial"/>
      <family val="2"/>
    </font>
    <font>
      <b/>
      <sz val="8"/>
      <name val="Arial"/>
      <family val="2"/>
    </font>
    <font>
      <sz val="12"/>
      <name val="Arial"/>
      <family val="2"/>
    </font>
    <font>
      <sz val="10"/>
      <name val="Calibri"/>
      <scheme val="minor"/>
    </font>
    <font>
      <b/>
      <sz val="12"/>
      <name val="Calibri"/>
      <scheme val="minor"/>
    </font>
    <font>
      <b/>
      <sz val="10"/>
      <color theme="3" tint="0.39997558519241921"/>
      <name val="Calibri"/>
      <scheme val="minor"/>
    </font>
    <font>
      <sz val="10"/>
      <color theme="0" tint="-0.34998626667073579"/>
      <name val="Arial"/>
      <family val="2"/>
    </font>
    <font>
      <sz val="8"/>
      <color theme="0" tint="-0.34998626667073579"/>
      <name val="Arial"/>
      <family val="2"/>
    </font>
    <font>
      <sz val="12"/>
      <color theme="1"/>
      <name val="Arial"/>
      <family val="2"/>
    </font>
    <font>
      <b/>
      <sz val="12"/>
      <color theme="0"/>
      <name val="Arial"/>
      <family val="2"/>
    </font>
    <font>
      <b/>
      <sz val="10"/>
      <color theme="1"/>
      <name val="Arial"/>
      <family val="2"/>
    </font>
    <font>
      <sz val="10"/>
      <name val="Arial"/>
      <family val="2"/>
    </font>
    <font>
      <b/>
      <sz val="11"/>
      <color theme="3"/>
      <name val="Arial"/>
      <family val="2"/>
    </font>
    <font>
      <sz val="10"/>
      <color rgb="FF000000"/>
      <name val="Arial"/>
      <family val="2"/>
    </font>
    <font>
      <u/>
      <sz val="12"/>
      <color theme="10"/>
      <name val="Arial"/>
      <family val="2"/>
    </font>
    <font>
      <u/>
      <sz val="8"/>
      <color rgb="FF0000FF"/>
      <name val="Arial"/>
      <family val="2"/>
    </font>
    <font>
      <sz val="8"/>
      <color rgb="FF000000"/>
      <name val="Arial"/>
      <family val="2"/>
    </font>
    <font>
      <b/>
      <sz val="10"/>
      <name val="Calibri"/>
      <scheme val="minor"/>
    </font>
    <font>
      <b/>
      <sz val="12"/>
      <name val="Arial"/>
      <family val="2"/>
    </font>
    <font>
      <b/>
      <sz val="11"/>
      <name val="Arial"/>
      <family val="2"/>
    </font>
    <font>
      <b/>
      <sz val="10"/>
      <name val="Arial"/>
      <family val="2"/>
    </font>
    <font>
      <u/>
      <sz val="8"/>
      <color theme="10"/>
      <name val="Arial"/>
      <family val="2"/>
    </font>
    <font>
      <u/>
      <sz val="10"/>
      <color theme="10"/>
      <name val="Arial"/>
      <family val="2"/>
    </font>
    <font>
      <u/>
      <sz val="9"/>
      <color theme="10"/>
      <name val="Arial"/>
      <family val="2"/>
    </font>
    <font>
      <b/>
      <sz val="13"/>
      <name val="Arial"/>
      <family val="2"/>
    </font>
    <font>
      <u/>
      <sz val="10"/>
      <color indexed="12"/>
      <name val="Arial"/>
      <family val="2"/>
    </font>
    <font>
      <sz val="12"/>
      <color indexed="8"/>
      <name val="Tahoma"/>
      <family val="2"/>
    </font>
    <font>
      <sz val="8"/>
      <color indexed="8"/>
      <name val="Tahoma"/>
      <family val="2"/>
    </font>
    <font>
      <b/>
      <sz val="8"/>
      <color indexed="8"/>
      <name val="Tahoma"/>
      <family val="2"/>
    </font>
    <font>
      <sz val="8"/>
      <color theme="0"/>
      <name val="Arial"/>
      <family val="2"/>
    </font>
    <font>
      <b/>
      <sz val="10"/>
      <color theme="8" tint="-0.499984740745262"/>
      <name val="Arial"/>
      <family val="2"/>
    </font>
    <font>
      <b/>
      <sz val="8"/>
      <name val="Calibri"/>
      <scheme val="minor"/>
    </font>
    <font>
      <sz val="10"/>
      <color indexed="10"/>
      <name val="Arial"/>
      <family val="2"/>
    </font>
    <font>
      <sz val="10"/>
      <color indexed="8"/>
      <name val="Arial"/>
      <family val="2"/>
    </font>
    <font>
      <sz val="10"/>
      <color indexed="9"/>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i/>
      <sz val="10"/>
      <color indexed="23"/>
      <name val="Arial"/>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sz val="11"/>
      <color indexed="60"/>
      <name val="Calibri"/>
      <family val="2"/>
    </font>
    <font>
      <b/>
      <sz val="11"/>
      <color indexed="63"/>
      <name val="Calibri"/>
      <family val="2"/>
    </font>
    <font>
      <b/>
      <sz val="10"/>
      <color indexed="8"/>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b/>
      <sz val="18"/>
      <color indexed="62"/>
      <name val="Cambria"/>
      <family val="2"/>
    </font>
    <font>
      <sz val="11"/>
      <color indexed="10"/>
      <name val="Calibri"/>
      <family val="2"/>
    </font>
    <font>
      <sz val="12"/>
      <color rgb="FF000000"/>
      <name val="Arial"/>
      <family val="2"/>
    </font>
    <font>
      <b/>
      <sz val="18"/>
      <color theme="3"/>
      <name val="Cambria"/>
      <family val="2"/>
      <scheme val="major"/>
    </font>
    <font>
      <b/>
      <sz val="15"/>
      <color theme="3"/>
      <name val="Arial"/>
      <family val="2"/>
    </font>
    <font>
      <b/>
      <sz val="13"/>
      <color theme="3"/>
      <name val="Arial"/>
      <family val="2"/>
    </font>
    <font>
      <sz val="12"/>
      <color rgb="FF006100"/>
      <name val="Arial"/>
      <family val="2"/>
    </font>
    <font>
      <sz val="12"/>
      <color rgb="FF9C0006"/>
      <name val="Arial"/>
      <family val="2"/>
    </font>
    <font>
      <sz val="12"/>
      <color rgb="FF9C6500"/>
      <name val="Arial"/>
      <family val="2"/>
    </font>
    <font>
      <sz val="12"/>
      <color rgb="FF3F3F76"/>
      <name val="Arial"/>
      <family val="2"/>
    </font>
    <font>
      <b/>
      <sz val="12"/>
      <color rgb="FF3F3F3F"/>
      <name val="Arial"/>
      <family val="2"/>
    </font>
    <font>
      <b/>
      <sz val="12"/>
      <color rgb="FFFA7D00"/>
      <name val="Arial"/>
      <family val="2"/>
    </font>
    <font>
      <sz val="12"/>
      <color rgb="FFFA7D00"/>
      <name val="Arial"/>
      <family val="2"/>
    </font>
    <font>
      <sz val="12"/>
      <color rgb="FFFF0000"/>
      <name val="Arial"/>
      <family val="2"/>
    </font>
    <font>
      <i/>
      <sz val="12"/>
      <color rgb="FF7F7F7F"/>
      <name val="Arial"/>
      <family val="2"/>
    </font>
    <font>
      <b/>
      <sz val="12"/>
      <color theme="1"/>
      <name val="Arial"/>
      <family val="2"/>
    </font>
    <font>
      <sz val="12"/>
      <color theme="0"/>
      <name val="Arial"/>
      <family val="2"/>
    </font>
    <font>
      <b/>
      <sz val="11"/>
      <color theme="0"/>
      <name val="Arial"/>
      <family val="2"/>
    </font>
    <font>
      <b/>
      <sz val="12"/>
      <color rgb="FF000000"/>
      <name val="Arial"/>
      <family val="2"/>
    </font>
    <font>
      <sz val="11"/>
      <color theme="1"/>
      <name val="Arial"/>
      <family val="2"/>
    </font>
    <font>
      <b/>
      <sz val="11"/>
      <color theme="1"/>
      <name val="Arial"/>
      <family val="2"/>
    </font>
    <font>
      <u/>
      <sz val="10"/>
      <color indexed="12"/>
      <name val="Arial"/>
      <family val="2"/>
    </font>
    <font>
      <b/>
      <sz val="10"/>
      <name val="Arial"/>
      <family val="2"/>
    </font>
    <font>
      <sz val="10"/>
      <name val="Arial"/>
      <family val="2"/>
    </font>
  </fonts>
  <fills count="114">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theme="6" tint="-0.499984740745262"/>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rgb="FFFF0000"/>
        <bgColor indexed="64"/>
      </patternFill>
    </fill>
    <fill>
      <patternFill patternType="solid">
        <fgColor theme="0"/>
        <bgColor indexed="64"/>
      </patternFill>
    </fill>
    <fill>
      <patternFill patternType="solid">
        <fgColor theme="6" tint="0.39997558519241921"/>
        <bgColor indexed="64"/>
      </patternFill>
    </fill>
    <fill>
      <patternFill patternType="solid">
        <fgColor theme="1"/>
        <bgColor indexed="64"/>
      </patternFill>
    </fill>
    <fill>
      <patternFill patternType="solid">
        <fgColor theme="0" tint="-0.34998626667073579"/>
        <bgColor indexed="64"/>
      </patternFill>
    </fill>
    <fill>
      <patternFill patternType="solid">
        <fgColor theme="6" tint="-0.249977111117893"/>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9" tint="-0.249977111117893"/>
        <bgColor indexed="64"/>
      </patternFill>
    </fill>
    <fill>
      <patternFill patternType="solid">
        <fgColor rgb="FF7030A0"/>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theme="4"/>
        <bgColor indexed="64"/>
      </patternFill>
    </fill>
    <fill>
      <patternFill patternType="solid">
        <fgColor theme="3" tint="0.79998168889431442"/>
        <bgColor indexed="64"/>
      </patternFill>
    </fill>
    <fill>
      <patternFill patternType="solid">
        <fgColor rgb="FFD9D9D9"/>
        <bgColor rgb="FF000000"/>
      </patternFill>
    </fill>
    <fill>
      <patternFill patternType="solid">
        <fgColor theme="0" tint="-0.14999847407452621"/>
        <bgColor rgb="FF000000"/>
      </patternFill>
    </fill>
    <fill>
      <patternFill patternType="solid">
        <fgColor rgb="FFC23B22"/>
        <bgColor indexed="64"/>
      </patternFill>
    </fill>
    <fill>
      <patternFill patternType="solid">
        <fgColor rgb="FFFFB347"/>
        <bgColor indexed="64"/>
      </patternFill>
    </fill>
    <fill>
      <patternFill patternType="solid">
        <fgColor theme="8" tint="-0.249977111117893"/>
        <bgColor indexed="64"/>
      </patternFill>
    </fill>
    <fill>
      <patternFill patternType="solid">
        <fgColor theme="4" tint="0.39997558519241921"/>
        <bgColor rgb="FF000000"/>
      </patternFill>
    </fill>
    <fill>
      <patternFill patternType="solid">
        <fgColor rgb="FF95B3D7"/>
        <bgColor rgb="FF000000"/>
      </patternFill>
    </fill>
    <fill>
      <patternFill patternType="solid">
        <fgColor rgb="FF95B3D7"/>
        <bgColor indexed="64"/>
      </patternFill>
    </fill>
    <fill>
      <patternFill patternType="solid">
        <fgColor indexed="40"/>
      </patternFill>
    </fill>
    <fill>
      <patternFill patternType="solid">
        <fgColor indexed="29"/>
      </patternFill>
    </fill>
    <fill>
      <patternFill patternType="solid">
        <fgColor indexed="26"/>
      </patternFill>
    </fill>
    <fill>
      <patternFill patternType="solid">
        <fgColor indexed="9"/>
      </patternFill>
    </fill>
    <fill>
      <patternFill patternType="solid">
        <fgColor indexed="44"/>
      </patternFill>
    </fill>
    <fill>
      <patternFill patternType="solid">
        <fgColor indexed="45"/>
      </patternFill>
    </fill>
    <fill>
      <patternFill patternType="solid">
        <fgColor indexed="54"/>
      </patternFill>
    </fill>
    <fill>
      <patternFill patternType="solid">
        <fgColor indexed="57"/>
      </patternFill>
    </fill>
    <fill>
      <patternFill patternType="solid">
        <fgColor indexed="22"/>
      </patternFill>
    </fill>
    <fill>
      <patternFill patternType="solid">
        <fgColor indexed="47"/>
      </patternFill>
    </fill>
    <fill>
      <patternFill patternType="solid">
        <fgColor indexed="48"/>
        <bgColor indexed="48"/>
      </patternFill>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25"/>
        <bgColor indexed="25"/>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26"/>
        <bgColor indexed="26"/>
      </patternFill>
    </fill>
    <fill>
      <patternFill patternType="solid">
        <fgColor indexed="47"/>
        <bgColor indexed="47"/>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2"/>
        <bgColor indexed="42"/>
      </patternFill>
    </fill>
    <fill>
      <patternFill patternType="solid">
        <fgColor indexed="43"/>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15"/>
      </patternFill>
    </fill>
    <fill>
      <patternFill patternType="solid">
        <fgColor rgb="FFA500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4506668294322"/>
        <bgColor indexed="64"/>
      </patternFill>
    </fill>
    <fill>
      <patternFill patternType="solid">
        <fgColor rgb="FFD795CA"/>
        <bgColor indexed="64"/>
      </patternFill>
    </fill>
    <fill>
      <patternFill patternType="solid">
        <fgColor rgb="FF31869B"/>
        <bgColor indexed="64"/>
      </patternFill>
    </fill>
    <fill>
      <patternFill patternType="solid">
        <fgColor rgb="FFDA9694"/>
        <bgColor indexed="64"/>
      </patternFill>
    </fill>
    <fill>
      <patternFill patternType="solid">
        <fgColor rgb="FFCCC0DA"/>
        <bgColor indexed="64"/>
      </patternFill>
    </fill>
    <fill>
      <patternFill patternType="solid">
        <fgColor theme="4"/>
        <bgColor theme="4"/>
      </patternFill>
    </fill>
    <fill>
      <patternFill patternType="solid">
        <fgColor rgb="FFFFFF00"/>
        <bgColor indexed="64"/>
      </patternFill>
    </fill>
  </fills>
  <borders count="101">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theme="0"/>
      </left>
      <right style="thick">
        <color theme="0"/>
      </right>
      <top style="thick">
        <color theme="0"/>
      </top>
      <bottom style="thick">
        <color theme="0"/>
      </bottom>
      <diagonal/>
    </border>
    <border>
      <left/>
      <right style="thick">
        <color theme="0"/>
      </right>
      <top/>
      <bottom/>
      <diagonal/>
    </border>
    <border>
      <left/>
      <right style="thick">
        <color theme="0"/>
      </right>
      <top style="thick">
        <color theme="0"/>
      </top>
      <bottom style="thick">
        <color theme="0"/>
      </bottom>
      <diagonal/>
    </border>
    <border>
      <left/>
      <right/>
      <top/>
      <bottom style="thick">
        <color theme="0"/>
      </bottom>
      <diagonal/>
    </border>
    <border>
      <left style="thick">
        <color theme="0"/>
      </left>
      <right/>
      <top style="thick">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bottom style="medium">
        <color theme="4" tint="0.39997558519241921"/>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medium">
        <color indexed="64"/>
      </bottom>
      <diagonal/>
    </border>
    <border>
      <left style="thin">
        <color indexed="64"/>
      </left>
      <right/>
      <top/>
      <bottom style="thin">
        <color indexed="64"/>
      </bottom>
      <diagonal/>
    </border>
    <border>
      <left style="thick">
        <color indexed="64"/>
      </left>
      <right style="thick">
        <color indexed="64"/>
      </right>
      <top/>
      <bottom style="thick">
        <color indexed="64"/>
      </bottom>
      <diagonal/>
    </border>
    <border>
      <left style="medium">
        <color indexed="64"/>
      </left>
      <right/>
      <top style="thin">
        <color indexed="64"/>
      </top>
      <bottom style="thin">
        <color indexed="64"/>
      </bottom>
      <diagonal/>
    </border>
    <border>
      <left/>
      <right style="thick">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thin">
        <color indexed="64"/>
      </left>
      <right/>
      <top style="medium">
        <color indexed="64"/>
      </top>
      <bottom style="thin">
        <color indexed="64"/>
      </bottom>
      <diagonal/>
    </border>
    <border>
      <left style="thin">
        <color auto="1"/>
      </left>
      <right/>
      <top/>
      <bottom style="medium">
        <color indexed="64"/>
      </bottom>
      <diagonal/>
    </border>
    <border>
      <left style="thin">
        <color auto="1"/>
      </left>
      <right/>
      <top style="medium">
        <color indexed="64"/>
      </top>
      <bottom/>
      <diagonal/>
    </border>
    <border>
      <left/>
      <right style="thin">
        <color indexed="64"/>
      </right>
      <top style="medium">
        <color indexed="64"/>
      </top>
      <bottom style="thin">
        <color indexed="64"/>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indexed="64"/>
      </left>
      <right style="thin">
        <color indexed="64"/>
      </right>
      <top style="thin">
        <color indexed="64"/>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8"/>
      </bottom>
      <diagonal/>
    </border>
    <border>
      <left/>
      <right/>
      <top/>
      <bottom style="thick">
        <color indexed="22"/>
      </bottom>
      <diagonal/>
    </border>
    <border>
      <left/>
      <right/>
      <top/>
      <bottom style="medium">
        <color indexed="24"/>
      </bottom>
      <diagonal/>
    </border>
    <border>
      <left/>
      <right/>
      <top/>
      <bottom style="double">
        <color indexed="5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indexed="48"/>
      </top>
      <bottom style="double">
        <color indexed="48"/>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diagonal/>
    </border>
    <border>
      <left style="thin">
        <color auto="1"/>
      </left>
      <right/>
      <top style="medium">
        <color auto="1"/>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theme="0"/>
      </left>
      <right style="thick">
        <color theme="0"/>
      </right>
      <top style="medium">
        <color theme="0"/>
      </top>
      <bottom style="medium">
        <color theme="0"/>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style="medium">
        <color theme="4" tint="0.39997558519241921"/>
      </top>
      <bottom/>
      <diagonal/>
    </border>
    <border>
      <left/>
      <right/>
      <top style="medium">
        <color theme="4" tint="0.39997558519241921"/>
      </top>
      <bottom/>
      <diagonal/>
    </border>
    <border>
      <left/>
      <right style="thin">
        <color theme="4"/>
      </right>
      <top style="medium">
        <color theme="4" tint="0.39997558519241921"/>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right/>
      <top/>
      <bottom style="medium">
        <color auto="1"/>
      </bottom>
      <diagonal/>
    </border>
    <border>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thin">
        <color auto="1"/>
      </right>
      <top style="medium">
        <color auto="1"/>
      </top>
      <bottom/>
      <diagonal/>
    </border>
    <border>
      <left style="thin">
        <color auto="1"/>
      </left>
      <right/>
      <top/>
      <bottom/>
      <diagonal/>
    </border>
    <border>
      <left/>
      <right style="thin">
        <color theme="4"/>
      </right>
      <top/>
      <bottom style="thin">
        <color theme="4"/>
      </bottom>
      <diagonal/>
    </border>
    <border>
      <left/>
      <right style="thin">
        <color theme="4"/>
      </right>
      <top/>
      <bottom/>
      <diagonal/>
    </border>
    <border>
      <left style="medium">
        <color theme="0"/>
      </left>
      <right/>
      <top style="medium">
        <color theme="0"/>
      </top>
      <bottom/>
      <diagonal/>
    </border>
    <border>
      <left style="medium">
        <color theme="0"/>
      </left>
      <right style="medium">
        <color theme="0"/>
      </right>
      <top style="medium">
        <color theme="0"/>
      </top>
      <bottom/>
      <diagonal/>
    </border>
    <border>
      <left/>
      <right style="medium">
        <color theme="0"/>
      </right>
      <top style="medium">
        <color theme="0"/>
      </top>
      <bottom/>
      <diagonal/>
    </border>
    <border>
      <left style="thin">
        <color theme="4"/>
      </left>
      <right/>
      <top/>
      <bottom/>
      <diagonal/>
    </border>
    <border>
      <left style="thin">
        <color theme="4"/>
      </left>
      <right style="thin">
        <color theme="4"/>
      </right>
      <top style="thin">
        <color theme="4"/>
      </top>
      <bottom style="thin">
        <color theme="4"/>
      </bottom>
      <diagonal/>
    </border>
  </borders>
  <cellStyleXfs count="5602">
    <xf numFmtId="0" fontId="0" fillId="0" borderId="0"/>
    <xf numFmtId="0" fontId="18" fillId="0" borderId="0"/>
    <xf numFmtId="0" fontId="22" fillId="0" borderId="34" applyNumberFormat="0" applyFill="0" applyAlignment="0" applyProtection="0"/>
    <xf numFmtId="0" fontId="24" fillId="0" borderId="0" applyNumberFormat="0" applyFill="0" applyBorder="0" applyAlignment="0" applyProtection="0"/>
    <xf numFmtId="0" fontId="24" fillId="0" borderId="0" applyNumberFormat="0" applyFill="0" applyBorder="0" applyAlignment="0" applyProtection="0">
      <alignment vertical="top"/>
      <protection locked="0"/>
    </xf>
    <xf numFmtId="0" fontId="21" fillId="0" borderId="0"/>
    <xf numFmtId="0" fontId="32" fillId="0" borderId="0" applyNumberFormat="0" applyFill="0" applyBorder="0" applyAlignment="0" applyProtection="0">
      <alignment vertical="top"/>
      <protection locked="0"/>
    </xf>
    <xf numFmtId="0" fontId="43" fillId="34" borderId="0" applyNumberFormat="0" applyBorder="0" applyAlignment="0" applyProtection="0"/>
    <xf numFmtId="0" fontId="43" fillId="35" borderId="0" applyNumberFormat="0" applyBorder="0" applyAlignment="0" applyProtection="0"/>
    <xf numFmtId="0" fontId="43" fillId="36" borderId="0" applyNumberFormat="0" applyBorder="0" applyAlignment="0" applyProtection="0"/>
    <xf numFmtId="0" fontId="43" fillId="37" borderId="0" applyNumberFormat="0" applyBorder="0" applyAlignment="0" applyProtection="0"/>
    <xf numFmtId="0" fontId="43" fillId="38" borderId="0" applyNumberFormat="0" applyBorder="0" applyAlignment="0" applyProtection="0"/>
    <xf numFmtId="0" fontId="43" fillId="39" borderId="0" applyNumberFormat="0" applyBorder="0" applyAlignment="0" applyProtection="0"/>
    <xf numFmtId="0" fontId="43" fillId="40" borderId="0" applyNumberFormat="0" applyBorder="0" applyAlignment="0" applyProtection="0"/>
    <xf numFmtId="0" fontId="43" fillId="35" borderId="0" applyNumberFormat="0" applyBorder="0" applyAlignment="0" applyProtection="0"/>
    <xf numFmtId="0" fontId="43" fillId="41" borderId="0" applyNumberFormat="0" applyBorder="0" applyAlignment="0" applyProtection="0"/>
    <xf numFmtId="0" fontId="43" fillId="42" borderId="0" applyNumberFormat="0" applyBorder="0" applyAlignment="0" applyProtection="0"/>
    <xf numFmtId="0" fontId="43" fillId="40" borderId="0" applyNumberFormat="0" applyBorder="0" applyAlignment="0" applyProtection="0"/>
    <xf numFmtId="0" fontId="43" fillId="43" borderId="0" applyNumberFormat="0" applyBorder="0" applyAlignment="0" applyProtection="0"/>
    <xf numFmtId="0" fontId="44" fillId="40" borderId="0" applyNumberFormat="0" applyBorder="0" applyAlignment="0" applyProtection="0"/>
    <xf numFmtId="0" fontId="44" fillId="35" borderId="0" applyNumberFormat="0" applyBorder="0" applyAlignment="0" applyProtection="0"/>
    <xf numFmtId="0" fontId="44" fillId="41" borderId="0" applyNumberFormat="0" applyBorder="0" applyAlignment="0" applyProtection="0"/>
    <xf numFmtId="0" fontId="44" fillId="42" borderId="0" applyNumberFormat="0" applyBorder="0" applyAlignment="0" applyProtection="0"/>
    <xf numFmtId="0" fontId="44" fillId="40" borderId="0" applyNumberFormat="0" applyBorder="0" applyAlignment="0" applyProtection="0"/>
    <xf numFmtId="0" fontId="44" fillId="43" borderId="0" applyNumberFormat="0" applyBorder="0" applyAlignment="0" applyProtection="0"/>
    <xf numFmtId="0" fontId="45" fillId="44" borderId="0" applyNumberFormat="0" applyBorder="0" applyAlignment="0" applyProtection="0"/>
    <xf numFmtId="0" fontId="46" fillId="45" borderId="0" applyNumberFormat="0" applyBorder="0" applyAlignment="0" applyProtection="0"/>
    <xf numFmtId="0" fontId="46" fillId="46" borderId="0" applyNumberFormat="0" applyBorder="0" applyAlignment="0" applyProtection="0"/>
    <xf numFmtId="0" fontId="45" fillId="47" borderId="0" applyNumberFormat="0" applyBorder="0" applyAlignment="0" applyProtection="0"/>
    <xf numFmtId="0" fontId="45" fillId="48" borderId="0" applyNumberFormat="0" applyBorder="0" applyAlignment="0" applyProtection="0"/>
    <xf numFmtId="0" fontId="46" fillId="49" borderId="0" applyNumberFormat="0" applyBorder="0" applyAlignment="0" applyProtection="0"/>
    <xf numFmtId="0" fontId="46" fillId="50" borderId="0" applyNumberFormat="0" applyBorder="0" applyAlignment="0" applyProtection="0"/>
    <xf numFmtId="0" fontId="45" fillId="51" borderId="0" applyNumberFormat="0" applyBorder="0" applyAlignment="0" applyProtection="0"/>
    <xf numFmtId="0" fontId="45" fillId="51" borderId="0" applyNumberFormat="0" applyBorder="0" applyAlignment="0" applyProtection="0"/>
    <xf numFmtId="0" fontId="46" fillId="52" borderId="0" applyNumberFormat="0" applyBorder="0" applyAlignment="0" applyProtection="0"/>
    <xf numFmtId="0" fontId="46" fillId="53" borderId="0" applyNumberFormat="0" applyBorder="0" applyAlignment="0" applyProtection="0"/>
    <xf numFmtId="0" fontId="45" fillId="54" borderId="0" applyNumberFormat="0" applyBorder="0" applyAlignment="0" applyProtection="0"/>
    <xf numFmtId="0" fontId="45" fillId="55" borderId="0" applyNumberFormat="0" applyBorder="0" applyAlignment="0" applyProtection="0"/>
    <xf numFmtId="0" fontId="46" fillId="53" borderId="0" applyNumberFormat="0" applyBorder="0" applyAlignment="0" applyProtection="0"/>
    <xf numFmtId="0" fontId="46" fillId="54" borderId="0" applyNumberFormat="0" applyBorder="0" applyAlignment="0" applyProtection="0"/>
    <xf numFmtId="0" fontId="45" fillId="54" borderId="0" applyNumberFormat="0" applyBorder="0" applyAlignment="0" applyProtection="0"/>
    <xf numFmtId="0" fontId="45" fillId="56" borderId="0" applyNumberFormat="0" applyBorder="0" applyAlignment="0" applyProtection="0"/>
    <xf numFmtId="0" fontId="46" fillId="45" borderId="0" applyNumberFormat="0" applyBorder="0" applyAlignment="0" applyProtection="0"/>
    <xf numFmtId="0" fontId="46" fillId="46" borderId="0" applyNumberFormat="0" applyBorder="0" applyAlignment="0" applyProtection="0"/>
    <xf numFmtId="0" fontId="45" fillId="46" borderId="0" applyNumberFormat="0" applyBorder="0" applyAlignment="0" applyProtection="0"/>
    <xf numFmtId="0" fontId="45" fillId="57" borderId="0" applyNumberFormat="0" applyBorder="0" applyAlignment="0" applyProtection="0"/>
    <xf numFmtId="0" fontId="46" fillId="58" borderId="0" applyNumberFormat="0" applyBorder="0" applyAlignment="0" applyProtection="0"/>
    <xf numFmtId="0" fontId="46" fillId="50" borderId="0" applyNumberFormat="0" applyBorder="0" applyAlignment="0" applyProtection="0"/>
    <xf numFmtId="0" fontId="45" fillId="59" borderId="0" applyNumberFormat="0" applyBorder="0" applyAlignment="0" applyProtection="0"/>
    <xf numFmtId="0" fontId="47" fillId="50" borderId="0" applyNumberFormat="0" applyBorder="0" applyAlignment="0" applyProtection="0"/>
    <xf numFmtId="0" fontId="48" fillId="60" borderId="53" applyNumberFormat="0" applyAlignment="0" applyProtection="0"/>
    <xf numFmtId="0" fontId="49" fillId="51" borderId="54" applyNumberFormat="0" applyAlignment="0" applyProtection="0"/>
    <xf numFmtId="0" fontId="50" fillId="61" borderId="0" applyNumberFormat="0" applyBorder="0" applyAlignment="0" applyProtection="0"/>
    <xf numFmtId="0" fontId="50" fillId="62" borderId="0" applyNumberFormat="0" applyBorder="0" applyAlignment="0" applyProtection="0"/>
    <xf numFmtId="0" fontId="50" fillId="63" borderId="0" applyNumberFormat="0" applyBorder="0" applyAlignment="0" applyProtection="0"/>
    <xf numFmtId="0" fontId="51" fillId="0" borderId="0" applyNumberFormat="0" applyFill="0" applyBorder="0" applyAlignment="0" applyProtection="0"/>
    <xf numFmtId="0" fontId="52" fillId="64" borderId="0" applyNumberFormat="0" applyBorder="0" applyAlignment="0" applyProtection="0"/>
    <xf numFmtId="0" fontId="53" fillId="0" borderId="55" applyNumberFormat="0" applyFill="0" applyAlignment="0" applyProtection="0"/>
    <xf numFmtId="0" fontId="54" fillId="0" borderId="56" applyNumberFormat="0" applyFill="0" applyAlignment="0" applyProtection="0"/>
    <xf numFmtId="0" fontId="55" fillId="0" borderId="57" applyNumberFormat="0" applyFill="0" applyAlignment="0" applyProtection="0"/>
    <xf numFmtId="0" fontId="55" fillId="0" borderId="0" applyNumberFormat="0" applyFill="0" applyBorder="0" applyAlignment="0" applyProtection="0"/>
    <xf numFmtId="0" fontId="56" fillId="59" borderId="53" applyNumberFormat="0" applyAlignment="0" applyProtection="0"/>
    <xf numFmtId="0" fontId="57" fillId="0" borderId="58" applyNumberFormat="0" applyFill="0" applyAlignment="0" applyProtection="0"/>
    <xf numFmtId="0" fontId="58" fillId="59" borderId="0" applyNumberFormat="0" applyBorder="0" applyAlignment="0" applyProtection="0"/>
    <xf numFmtId="0" fontId="21" fillId="58" borderId="59" applyNumberFormat="0" applyFont="0" applyAlignment="0" applyProtection="0"/>
    <xf numFmtId="0" fontId="59" fillId="60" borderId="60" applyNumberFormat="0" applyAlignment="0" applyProtection="0"/>
    <xf numFmtId="4" fontId="60" fillId="65" borderId="61" applyNumberFormat="0" applyProtection="0">
      <alignment vertical="center"/>
    </xf>
    <xf numFmtId="4" fontId="61" fillId="65" borderId="61" applyNumberFormat="0" applyProtection="0">
      <alignment vertical="center"/>
    </xf>
    <xf numFmtId="4" fontId="60" fillId="65" borderId="61" applyNumberFormat="0" applyProtection="0">
      <alignment horizontal="left" vertical="center" indent="1"/>
    </xf>
    <xf numFmtId="0" fontId="60" fillId="65" borderId="61" applyNumberFormat="0" applyProtection="0">
      <alignment horizontal="left" vertical="top" indent="1"/>
    </xf>
    <xf numFmtId="4" fontId="60" fillId="34" borderId="0" applyNumberFormat="0" applyProtection="0">
      <alignment horizontal="left" vertical="center" indent="1"/>
    </xf>
    <xf numFmtId="4" fontId="43" fillId="39" borderId="61" applyNumberFormat="0" applyProtection="0">
      <alignment horizontal="right" vertical="center"/>
    </xf>
    <xf numFmtId="4" fontId="43" fillId="35" borderId="61" applyNumberFormat="0" applyProtection="0">
      <alignment horizontal="right" vertical="center"/>
    </xf>
    <xf numFmtId="4" fontId="43" fillId="66" borderId="61" applyNumberFormat="0" applyProtection="0">
      <alignment horizontal="right" vertical="center"/>
    </xf>
    <xf numFmtId="4" fontId="43" fillId="67" borderId="61" applyNumberFormat="0" applyProtection="0">
      <alignment horizontal="right" vertical="center"/>
    </xf>
    <xf numFmtId="4" fontId="43" fillId="68" borderId="61" applyNumberFormat="0" applyProtection="0">
      <alignment horizontal="right" vertical="center"/>
    </xf>
    <xf numFmtId="4" fontId="43" fillId="69" borderId="61" applyNumberFormat="0" applyProtection="0">
      <alignment horizontal="right" vertical="center"/>
    </xf>
    <xf numFmtId="4" fontId="43" fillId="41" borderId="61" applyNumberFormat="0" applyProtection="0">
      <alignment horizontal="right" vertical="center"/>
    </xf>
    <xf numFmtId="4" fontId="43" fillId="70" borderId="61" applyNumberFormat="0" applyProtection="0">
      <alignment horizontal="right" vertical="center"/>
    </xf>
    <xf numFmtId="4" fontId="43" fillId="71" borderId="61" applyNumberFormat="0" applyProtection="0">
      <alignment horizontal="right" vertical="center"/>
    </xf>
    <xf numFmtId="4" fontId="60" fillId="72" borderId="62" applyNumberFormat="0" applyProtection="0">
      <alignment horizontal="left" vertical="center" indent="1"/>
    </xf>
    <xf numFmtId="4" fontId="43" fillId="73" borderId="0" applyNumberFormat="0" applyProtection="0">
      <alignment horizontal="left" vertical="center" indent="1"/>
    </xf>
    <xf numFmtId="4" fontId="62" fillId="40" borderId="0" applyNumberFormat="0" applyProtection="0">
      <alignment horizontal="left" vertical="center" indent="1"/>
    </xf>
    <xf numFmtId="4" fontId="43" fillId="34" borderId="61" applyNumberFormat="0" applyProtection="0">
      <alignment horizontal="right" vertical="center"/>
    </xf>
    <xf numFmtId="4" fontId="43" fillId="73" borderId="0" applyNumberFormat="0" applyProtection="0">
      <alignment horizontal="left" vertical="center" indent="1"/>
    </xf>
    <xf numFmtId="4" fontId="43" fillId="34" borderId="0" applyNumberFormat="0" applyProtection="0">
      <alignment horizontal="left" vertical="center" indent="1"/>
    </xf>
    <xf numFmtId="0" fontId="21" fillId="40" borderId="61" applyNumberFormat="0" applyProtection="0">
      <alignment horizontal="left" vertical="center" indent="1"/>
    </xf>
    <xf numFmtId="0" fontId="21" fillId="40" borderId="61" applyNumberFormat="0" applyProtection="0">
      <alignment horizontal="left" vertical="top" indent="1"/>
    </xf>
    <xf numFmtId="0" fontId="21" fillId="34" borderId="61" applyNumberFormat="0" applyProtection="0">
      <alignment horizontal="left" vertical="center" indent="1"/>
    </xf>
    <xf numFmtId="0" fontId="21" fillId="34" borderId="61" applyNumberFormat="0" applyProtection="0">
      <alignment horizontal="left" vertical="top" indent="1"/>
    </xf>
    <xf numFmtId="0" fontId="21" fillId="38" borderId="61" applyNumberFormat="0" applyProtection="0">
      <alignment horizontal="left" vertical="center" indent="1"/>
    </xf>
    <xf numFmtId="0" fontId="21" fillId="38" borderId="61" applyNumberFormat="0" applyProtection="0">
      <alignment horizontal="left" vertical="top" indent="1"/>
    </xf>
    <xf numFmtId="0" fontId="21" fillId="73" borderId="61" applyNumberFormat="0" applyProtection="0">
      <alignment horizontal="left" vertical="center" indent="1"/>
    </xf>
    <xf numFmtId="0" fontId="21" fillId="73" borderId="61" applyNumberFormat="0" applyProtection="0">
      <alignment horizontal="left" vertical="top" indent="1"/>
    </xf>
    <xf numFmtId="0" fontId="21" fillId="37" borderId="1" applyNumberFormat="0">
      <protection locked="0"/>
    </xf>
    <xf numFmtId="4" fontId="43" fillId="36" borderId="61" applyNumberFormat="0" applyProtection="0">
      <alignment vertical="center"/>
    </xf>
    <xf numFmtId="4" fontId="63" fillId="36" borderId="61" applyNumberFormat="0" applyProtection="0">
      <alignment vertical="center"/>
    </xf>
    <xf numFmtId="4" fontId="43" fillId="36" borderId="61" applyNumberFormat="0" applyProtection="0">
      <alignment horizontal="left" vertical="center" indent="1"/>
    </xf>
    <xf numFmtId="0" fontId="43" fillId="36" borderId="61" applyNumberFormat="0" applyProtection="0">
      <alignment horizontal="left" vertical="top" indent="1"/>
    </xf>
    <xf numFmtId="4" fontId="43" fillId="73" borderId="61" applyNumberFormat="0" applyProtection="0">
      <alignment horizontal="right" vertical="center"/>
    </xf>
    <xf numFmtId="4" fontId="63" fillId="73" borderId="61" applyNumberFormat="0" applyProtection="0">
      <alignment horizontal="right" vertical="center"/>
    </xf>
    <xf numFmtId="4" fontId="43" fillId="34" borderId="61" applyNumberFormat="0" applyProtection="0">
      <alignment horizontal="left" vertical="center" indent="1"/>
    </xf>
    <xf numFmtId="0" fontId="43" fillId="34" borderId="61" applyNumberFormat="0" applyProtection="0">
      <alignment horizontal="left" vertical="top" indent="1"/>
    </xf>
    <xf numFmtId="4" fontId="64" fillId="74" borderId="0" applyNumberFormat="0" applyProtection="0">
      <alignment horizontal="left" vertical="center" indent="1"/>
    </xf>
    <xf numFmtId="4" fontId="42" fillId="73" borderId="61" applyNumberFormat="0" applyProtection="0">
      <alignment horizontal="right" vertical="center"/>
    </xf>
    <xf numFmtId="0" fontId="65" fillId="0" borderId="0" applyNumberFormat="0" applyFill="0" applyBorder="0" applyAlignment="0" applyProtection="0"/>
    <xf numFmtId="0" fontId="65" fillId="0" borderId="0" applyNumberFormat="0" applyFill="0" applyBorder="0" applyAlignment="0" applyProtection="0"/>
    <xf numFmtId="0" fontId="50" fillId="0" borderId="63" applyNumberFormat="0" applyFill="0" applyAlignment="0" applyProtection="0"/>
    <xf numFmtId="0" fontId="66" fillId="0" borderId="0" applyNumberFormat="0" applyFill="0" applyBorder="0" applyAlignment="0" applyProtection="0"/>
    <xf numFmtId="0" fontId="68" fillId="0" borderId="0" applyNumberFormat="0" applyFill="0" applyBorder="0" applyAlignment="0" applyProtection="0"/>
    <xf numFmtId="0" fontId="69" fillId="0" borderId="65" applyNumberFormat="0" applyFill="0" applyAlignment="0" applyProtection="0"/>
    <xf numFmtId="0" fontId="70" fillId="0" borderId="66" applyNumberFormat="0" applyFill="0" applyAlignment="0" applyProtection="0"/>
    <xf numFmtId="0" fontId="22" fillId="0" borderId="0" applyNumberFormat="0" applyFill="0" applyBorder="0" applyAlignment="0" applyProtection="0"/>
    <xf numFmtId="0" fontId="71" fillId="76" borderId="0" applyNumberFormat="0" applyBorder="0" applyAlignment="0" applyProtection="0"/>
    <xf numFmtId="0" fontId="72" fillId="77" borderId="0" applyNumberFormat="0" applyBorder="0" applyAlignment="0" applyProtection="0"/>
    <xf numFmtId="0" fontId="73" fillId="78" borderId="0" applyNumberFormat="0" applyBorder="0" applyAlignment="0" applyProtection="0"/>
    <xf numFmtId="0" fontId="74" fillId="79" borderId="67" applyNumberFormat="0" applyAlignment="0" applyProtection="0"/>
    <xf numFmtId="0" fontId="75" fillId="80" borderId="68" applyNumberFormat="0" applyAlignment="0" applyProtection="0"/>
    <xf numFmtId="0" fontId="76" fillId="80" borderId="67" applyNumberFormat="0" applyAlignment="0" applyProtection="0"/>
    <xf numFmtId="0" fontId="77" fillId="0" borderId="69" applyNumberFormat="0" applyFill="0" applyAlignment="0" applyProtection="0"/>
    <xf numFmtId="0" fontId="19" fillId="81" borderId="70" applyNumberFormat="0" applyAlignment="0" applyProtection="0"/>
    <xf numFmtId="0" fontId="78" fillId="0" borderId="0" applyNumberFormat="0" applyFill="0" applyBorder="0" applyAlignment="0" applyProtection="0"/>
    <xf numFmtId="0" fontId="79" fillId="0" borderId="0" applyNumberFormat="0" applyFill="0" applyBorder="0" applyAlignment="0" applyProtection="0"/>
    <xf numFmtId="0" fontId="80" fillId="0" borderId="72" applyNumberFormat="0" applyFill="0" applyAlignment="0" applyProtection="0"/>
    <xf numFmtId="0" fontId="81" fillId="83" borderId="0" applyNumberFormat="0" applyBorder="0" applyAlignment="0" applyProtection="0"/>
    <xf numFmtId="0" fontId="18" fillId="84" borderId="0" applyNumberFormat="0" applyBorder="0" applyAlignment="0" applyProtection="0"/>
    <xf numFmtId="0" fontId="18" fillId="85" borderId="0" applyNumberFormat="0" applyBorder="0" applyAlignment="0" applyProtection="0"/>
    <xf numFmtId="0" fontId="81" fillId="86" borderId="0" applyNumberFormat="0" applyBorder="0" applyAlignment="0" applyProtection="0"/>
    <xf numFmtId="0" fontId="81" fillId="87"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81" fillId="90" borderId="0" applyNumberFormat="0" applyBorder="0" applyAlignment="0" applyProtection="0"/>
    <xf numFmtId="0" fontId="81" fillId="91"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81" fillId="94" borderId="0" applyNumberFormat="0" applyBorder="0" applyAlignment="0" applyProtection="0"/>
    <xf numFmtId="0" fontId="81" fillId="95"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81" fillId="98" borderId="0" applyNumberFormat="0" applyBorder="0" applyAlignment="0" applyProtection="0"/>
    <xf numFmtId="0" fontId="81" fillId="99"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81" fillId="102" borderId="0" applyNumberFormat="0" applyBorder="0" applyAlignment="0" applyProtection="0"/>
    <xf numFmtId="0" fontId="81" fillId="103"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81" fillId="106"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0" fontId="81" fillId="86" borderId="0" applyNumberFormat="0" applyBorder="0" applyAlignment="0" applyProtection="0"/>
    <xf numFmtId="0" fontId="81" fillId="90" borderId="0" applyNumberFormat="0" applyBorder="0" applyAlignment="0" applyProtection="0"/>
    <xf numFmtId="0" fontId="81" fillId="94" borderId="0" applyNumberFormat="0" applyBorder="0" applyAlignment="0" applyProtection="0"/>
    <xf numFmtId="0" fontId="81" fillId="98" borderId="0" applyNumberFormat="0" applyBorder="0" applyAlignment="0" applyProtection="0"/>
    <xf numFmtId="0" fontId="81" fillId="102" borderId="0" applyNumberFormat="0" applyBorder="0" applyAlignment="0" applyProtection="0"/>
    <xf numFmtId="0" fontId="81" fillId="106" borderId="0" applyNumberFormat="0" applyBorder="0" applyAlignment="0" applyProtection="0"/>
    <xf numFmtId="0" fontId="81" fillId="83" borderId="0" applyNumberFormat="0" applyBorder="0" applyAlignment="0" applyProtection="0"/>
    <xf numFmtId="0" fontId="81" fillId="87" borderId="0" applyNumberFormat="0" applyBorder="0" applyAlignment="0" applyProtection="0"/>
    <xf numFmtId="0" fontId="81" fillId="91" borderId="0" applyNumberFormat="0" applyBorder="0" applyAlignment="0" applyProtection="0"/>
    <xf numFmtId="0" fontId="81" fillId="95" borderId="0" applyNumberFormat="0" applyBorder="0" applyAlignment="0" applyProtection="0"/>
    <xf numFmtId="0" fontId="81" fillId="99" borderId="0" applyNumberFormat="0" applyBorder="0" applyAlignment="0" applyProtection="0"/>
    <xf numFmtId="0" fontId="81" fillId="103" borderId="0" applyNumberFormat="0" applyBorder="0" applyAlignment="0" applyProtection="0"/>
    <xf numFmtId="0" fontId="72" fillId="77" borderId="0" applyNumberFormat="0" applyBorder="0" applyAlignment="0" applyProtection="0"/>
    <xf numFmtId="0" fontId="76" fillId="80" borderId="67" applyNumberFormat="0" applyAlignment="0" applyProtection="0"/>
    <xf numFmtId="0" fontId="19" fillId="81" borderId="70" applyNumberFormat="0" applyAlignment="0" applyProtection="0"/>
    <xf numFmtId="165" fontId="21" fillId="0" borderId="0" applyFont="0" applyFill="0" applyBorder="0" applyAlignment="0" applyProtection="0"/>
    <xf numFmtId="165" fontId="18" fillId="0" borderId="0" applyFont="0" applyFill="0" applyBorder="0" applyAlignment="0" applyProtection="0"/>
    <xf numFmtId="0" fontId="21" fillId="107" borderId="0"/>
    <xf numFmtId="0" fontId="79" fillId="0" borderId="0" applyNumberFormat="0" applyFill="0" applyBorder="0" applyAlignment="0" applyProtection="0"/>
    <xf numFmtId="0" fontId="71" fillId="76" borderId="0" applyNumberFormat="0" applyBorder="0" applyAlignment="0" applyProtection="0"/>
    <xf numFmtId="0" fontId="69" fillId="0" borderId="65" applyNumberFormat="0" applyFill="0" applyAlignment="0" applyProtection="0"/>
    <xf numFmtId="0" fontId="70" fillId="0" borderId="66" applyNumberFormat="0" applyFill="0" applyAlignment="0" applyProtection="0"/>
    <xf numFmtId="0" fontId="22" fillId="0" borderId="34" applyNumberFormat="0" applyFill="0" applyAlignment="0" applyProtection="0"/>
    <xf numFmtId="0" fontId="22" fillId="0" borderId="0" applyNumberFormat="0" applyFill="0" applyBorder="0" applyAlignment="0" applyProtection="0"/>
    <xf numFmtId="0" fontId="74" fillId="79" borderId="67" applyNumberFormat="0" applyAlignment="0" applyProtection="0"/>
    <xf numFmtId="0" fontId="77" fillId="0" borderId="69" applyNumberFormat="0" applyFill="0" applyAlignment="0" applyProtection="0"/>
    <xf numFmtId="0" fontId="73" fillId="78"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8"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75" fillId="80" borderId="68" applyNumberFormat="0" applyAlignment="0" applyProtection="0"/>
    <xf numFmtId="9" fontId="21" fillId="0" borderId="0" applyFont="0" applyFill="0" applyBorder="0" applyAlignment="0" applyProtection="0"/>
    <xf numFmtId="0" fontId="21" fillId="108" borderId="0">
      <alignment vertical="top" wrapText="1"/>
    </xf>
    <xf numFmtId="0" fontId="80" fillId="0" borderId="72" applyNumberFormat="0" applyFill="0" applyAlignment="0" applyProtection="0"/>
    <xf numFmtId="0" fontId="78" fillId="0" borderId="0" applyNumberFormat="0" applyFill="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24" fillId="0" borderId="0" applyNumberFormat="0" applyFill="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21" fillId="0" borderId="0" applyFont="0" applyFill="0" applyBorder="0" applyAlignment="0" applyProtection="0"/>
    <xf numFmtId="165" fontId="18" fillId="0" borderId="0" applyFont="0" applyFill="0" applyBorder="0" applyAlignment="0" applyProtection="0"/>
    <xf numFmtId="171" fontId="21"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8"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9" fontId="21" fillId="0" borderId="0" applyFont="0" applyFill="0" applyBorder="0" applyAlignment="0" applyProtection="0"/>
    <xf numFmtId="0" fontId="21" fillId="40" borderId="61" applyNumberFormat="0" applyProtection="0">
      <alignment horizontal="left" vertical="center" indent="1"/>
    </xf>
    <xf numFmtId="0" fontId="21" fillId="40" borderId="61" applyNumberFormat="0" applyProtection="0">
      <alignment horizontal="left" vertical="top" indent="1"/>
    </xf>
    <xf numFmtId="0" fontId="21" fillId="34" borderId="61" applyNumberFormat="0" applyProtection="0">
      <alignment horizontal="left" vertical="center" indent="1"/>
    </xf>
    <xf numFmtId="0" fontId="21" fillId="34" borderId="61" applyNumberFormat="0" applyProtection="0">
      <alignment horizontal="left" vertical="top" indent="1"/>
    </xf>
    <xf numFmtId="0" fontId="21" fillId="38" borderId="61" applyNumberFormat="0" applyProtection="0">
      <alignment horizontal="left" vertical="center" indent="1"/>
    </xf>
    <xf numFmtId="0" fontId="21" fillId="38" borderId="61" applyNumberFormat="0" applyProtection="0">
      <alignment horizontal="left" vertical="top" indent="1"/>
    </xf>
    <xf numFmtId="0" fontId="21" fillId="73" borderId="61" applyNumberFormat="0" applyProtection="0">
      <alignment horizontal="left" vertical="center" indent="1"/>
    </xf>
    <xf numFmtId="0" fontId="21" fillId="73" borderId="61" applyNumberFormat="0" applyProtection="0">
      <alignment horizontal="left" vertical="top" indent="1"/>
    </xf>
    <xf numFmtId="0" fontId="21" fillId="37" borderId="1" applyNumberFormat="0">
      <protection locked="0"/>
    </xf>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32" fillId="0" borderId="0" applyNumberFormat="0" applyFill="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21" fillId="0" borderId="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21" fillId="0" borderId="0" applyFont="0" applyFill="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9" fontId="21" fillId="0" borderId="0" applyFont="0" applyFill="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21" fillId="0" borderId="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21" fillId="0" borderId="0"/>
    <xf numFmtId="0" fontId="18" fillId="0" borderId="0"/>
    <xf numFmtId="0" fontId="18" fillId="0" borderId="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0" fontId="18" fillId="105" borderId="0" applyNumberFormat="0" applyBorder="0" applyAlignment="0" applyProtection="0"/>
    <xf numFmtId="165" fontId="21" fillId="0" borderId="0" applyFont="0" applyFill="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9" fontId="21" fillId="0" borderId="0" applyFont="0" applyFill="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32" fillId="0" borderId="0" applyNumberFormat="0" applyFill="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0" borderId="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165" fontId="18" fillId="0" borderId="0" applyFont="0" applyFill="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21" fillId="0" borderId="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21" fillId="0" borderId="0" applyFont="0" applyFill="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9" fontId="21" fillId="0" borderId="0" applyFont="0" applyFill="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0" borderId="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0" borderId="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21" fillId="0" borderId="0"/>
    <xf numFmtId="0" fontId="18" fillId="0" borderId="0"/>
    <xf numFmtId="0" fontId="18" fillId="82" borderId="71" applyNumberFormat="0" applyFont="0" applyAlignment="0" applyProtection="0"/>
    <xf numFmtId="165" fontId="18" fillId="0" borderId="0" applyFont="0" applyFill="0" applyBorder="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21" fillId="0" borderId="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21" fillId="0" borderId="0" applyFont="0" applyFill="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9" fontId="21" fillId="0" borderId="0" applyFont="0" applyFill="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0" borderId="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0" borderId="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165" fontId="18" fillId="0" borderId="0" applyFont="0" applyFill="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0" borderId="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0" borderId="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4" borderId="0" applyNumberFormat="0" applyBorder="0" applyAlignment="0" applyProtection="0"/>
    <xf numFmtId="0" fontId="18" fillId="88" borderId="0" applyNumberFormat="0" applyBorder="0" applyAlignment="0" applyProtection="0"/>
    <xf numFmtId="0" fontId="18" fillId="92" borderId="0" applyNumberFormat="0" applyBorder="0" applyAlignment="0" applyProtection="0"/>
    <xf numFmtId="0" fontId="18" fillId="96" borderId="0" applyNumberFormat="0" applyBorder="0" applyAlignment="0" applyProtection="0"/>
    <xf numFmtId="0" fontId="18" fillId="100" borderId="0" applyNumberFormat="0" applyBorder="0" applyAlignment="0" applyProtection="0"/>
    <xf numFmtId="0" fontId="18" fillId="104" borderId="0" applyNumberFormat="0" applyBorder="0" applyAlignment="0" applyProtection="0"/>
    <xf numFmtId="0" fontId="18" fillId="85" borderId="0" applyNumberFormat="0" applyBorder="0" applyAlignment="0" applyProtection="0"/>
    <xf numFmtId="0" fontId="18" fillId="89" borderId="0" applyNumberFormat="0" applyBorder="0" applyAlignment="0" applyProtection="0"/>
    <xf numFmtId="0" fontId="18" fillId="93" borderId="0" applyNumberFormat="0" applyBorder="0" applyAlignment="0" applyProtection="0"/>
    <xf numFmtId="0" fontId="18" fillId="97" borderId="0" applyNumberFormat="0" applyBorder="0" applyAlignment="0" applyProtection="0"/>
    <xf numFmtId="0" fontId="18" fillId="101" borderId="0" applyNumberFormat="0" applyBorder="0" applyAlignment="0" applyProtection="0"/>
    <xf numFmtId="0" fontId="18" fillId="105" borderId="0" applyNumberFormat="0" applyBorder="0" applyAlignment="0" applyProtection="0"/>
    <xf numFmtId="165"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0" borderId="0"/>
    <xf numFmtId="0" fontId="18" fillId="0" borderId="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xf numFmtId="0" fontId="18" fillId="82" borderId="71" applyNumberFormat="0" applyFont="0" applyAlignment="0" applyProtection="0"/>
    <xf numFmtId="0" fontId="18" fillId="84" borderId="0" applyNumberFormat="0" applyBorder="0" applyAlignment="0" applyProtection="0"/>
    <xf numFmtId="0" fontId="18" fillId="85" borderId="0" applyNumberFormat="0" applyBorder="0" applyAlignment="0" applyProtection="0"/>
    <xf numFmtId="0" fontId="18" fillId="88" borderId="0" applyNumberFormat="0" applyBorder="0" applyAlignment="0" applyProtection="0"/>
    <xf numFmtId="0" fontId="18" fillId="89" borderId="0" applyNumberFormat="0" applyBorder="0" applyAlignment="0" applyProtection="0"/>
    <xf numFmtId="0" fontId="18" fillId="92" borderId="0" applyNumberFormat="0" applyBorder="0" applyAlignment="0" applyProtection="0"/>
    <xf numFmtId="0" fontId="18" fillId="93" borderId="0" applyNumberFormat="0" applyBorder="0" applyAlignment="0" applyProtection="0"/>
    <xf numFmtId="0" fontId="18" fillId="96" borderId="0" applyNumberFormat="0" applyBorder="0" applyAlignment="0" applyProtection="0"/>
    <xf numFmtId="0" fontId="18" fillId="97" borderId="0" applyNumberFormat="0" applyBorder="0" applyAlignment="0" applyProtection="0"/>
    <xf numFmtId="0" fontId="18" fillId="100" borderId="0" applyNumberFormat="0" applyBorder="0" applyAlignment="0" applyProtection="0"/>
    <xf numFmtId="0" fontId="18" fillId="101" borderId="0" applyNumberFormat="0" applyBorder="0" applyAlignment="0" applyProtection="0"/>
    <xf numFmtId="0" fontId="18" fillId="104" borderId="0" applyNumberFormat="0" applyBorder="0" applyAlignment="0" applyProtection="0"/>
    <xf numFmtId="0" fontId="18" fillId="105" borderId="0" applyNumberFormat="0" applyBorder="0" applyAlignment="0" applyProtection="0"/>
  </cellStyleXfs>
  <cellXfs count="453">
    <xf numFmtId="0" fontId="0" fillId="0" borderId="0" xfId="0"/>
    <xf numFmtId="0" fontId="2" fillId="0" borderId="0" xfId="0" applyFont="1"/>
    <xf numFmtId="0" fontId="0" fillId="5" borderId="0" xfId="0" applyFill="1"/>
    <xf numFmtId="0" fontId="3" fillId="0" borderId="0" xfId="0" applyFont="1"/>
    <xf numFmtId="0" fontId="4" fillId="0" borderId="0" xfId="0" applyFont="1" applyBorder="1" applyAlignment="1">
      <alignment horizontal="center" vertical="center" wrapText="1"/>
    </xf>
    <xf numFmtId="0" fontId="0" fillId="6" borderId="0" xfId="0" applyFill="1"/>
    <xf numFmtId="0" fontId="0" fillId="7" borderId="0" xfId="0" applyFill="1"/>
    <xf numFmtId="0" fontId="0" fillId="8" borderId="0" xfId="0" applyFill="1"/>
    <xf numFmtId="0" fontId="6" fillId="0" borderId="0" xfId="0" applyFont="1"/>
    <xf numFmtId="0" fontId="0" fillId="10" borderId="2" xfId="0" applyFill="1" applyBorder="1" applyAlignment="1">
      <alignment wrapText="1"/>
    </xf>
    <xf numFmtId="0" fontId="0" fillId="11" borderId="2" xfId="0" applyFont="1" applyFill="1" applyBorder="1" applyAlignment="1">
      <alignment wrapText="1"/>
    </xf>
    <xf numFmtId="0" fontId="0" fillId="9" borderId="0" xfId="0" applyFill="1"/>
    <xf numFmtId="0" fontId="0" fillId="12" borderId="0" xfId="0" applyFill="1"/>
    <xf numFmtId="0" fontId="10" fillId="13" borderId="0" xfId="0" applyFont="1" applyFill="1" applyAlignment="1">
      <alignment horizontal="center" vertical="center" wrapText="1"/>
    </xf>
    <xf numFmtId="0" fontId="1" fillId="2" borderId="0" xfId="0" applyFont="1" applyFill="1" applyAlignment="1">
      <alignment horizontal="center" vertical="center" wrapText="1"/>
    </xf>
    <xf numFmtId="0" fontId="1" fillId="4" borderId="0" xfId="0" applyFont="1" applyFill="1" applyAlignment="1">
      <alignment horizontal="center" vertical="center" wrapText="1"/>
    </xf>
    <xf numFmtId="0" fontId="2" fillId="4" borderId="0" xfId="0" applyFont="1" applyFill="1" applyAlignment="1">
      <alignment horizontal="center" vertical="center" wrapText="1"/>
    </xf>
    <xf numFmtId="0" fontId="11" fillId="4" borderId="1" xfId="0" applyFont="1" applyFill="1" applyBorder="1" applyAlignment="1">
      <alignment horizontal="center" vertical="center" wrapText="1"/>
    </xf>
    <xf numFmtId="0" fontId="5" fillId="2" borderId="1"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2" fillId="14" borderId="1" xfId="0" applyFont="1" applyFill="1" applyBorder="1" applyAlignment="1">
      <alignment horizontal="center" vertical="center" wrapText="1"/>
    </xf>
    <xf numFmtId="0" fontId="2" fillId="14" borderId="1" xfId="0" applyFont="1" applyFill="1" applyBorder="1" applyAlignment="1" applyProtection="1">
      <alignment horizontal="center" vertical="center" wrapText="1"/>
    </xf>
    <xf numFmtId="0" fontId="1" fillId="14" borderId="0" xfId="0" applyFont="1" applyFill="1" applyBorder="1" applyAlignment="1">
      <alignment horizontal="center" vertical="center" wrapText="1"/>
    </xf>
    <xf numFmtId="0" fontId="6" fillId="0" borderId="6" xfId="0" applyFont="1" applyBorder="1" applyAlignment="1">
      <alignment horizontal="center" vertical="center" wrapText="1"/>
    </xf>
    <xf numFmtId="0" fontId="3" fillId="0" borderId="11" xfId="0" applyFont="1" applyBorder="1"/>
    <xf numFmtId="0" fontId="3" fillId="0" borderId="0" xfId="0" applyFont="1" applyBorder="1"/>
    <xf numFmtId="0" fontId="0" fillId="0" borderId="0" xfId="0" applyAlignment="1">
      <alignment wrapText="1"/>
    </xf>
    <xf numFmtId="0" fontId="3" fillId="0" borderId="0" xfId="0" applyFont="1" applyAlignment="1">
      <alignment wrapText="1"/>
    </xf>
    <xf numFmtId="166" fontId="2" fillId="2" borderId="1" xfId="0" applyNumberFormat="1" applyFont="1" applyFill="1" applyBorder="1" applyAlignment="1">
      <alignment horizontal="center" vertical="center" wrapText="1"/>
    </xf>
    <xf numFmtId="0" fontId="11" fillId="2" borderId="3" xfId="0" applyFont="1" applyFill="1" applyBorder="1" applyAlignment="1">
      <alignment horizontal="left" vertical="top" wrapText="1"/>
    </xf>
    <xf numFmtId="0" fontId="10" fillId="13" borderId="0" xfId="0" applyFont="1" applyFill="1" applyBorder="1" applyAlignment="1">
      <alignment horizontal="center" vertical="center" wrapText="1"/>
    </xf>
    <xf numFmtId="0" fontId="13" fillId="0" borderId="0" xfId="0" applyFont="1" applyBorder="1"/>
    <xf numFmtId="0" fontId="9" fillId="0" borderId="8" xfId="0" applyFont="1" applyBorder="1" applyAlignment="1">
      <alignment horizontal="center" vertical="top" wrapText="1"/>
    </xf>
    <xf numFmtId="0" fontId="9" fillId="0" borderId="10" xfId="0" applyFont="1" applyBorder="1" applyAlignment="1">
      <alignment horizontal="center" vertical="top" wrapText="1"/>
    </xf>
    <xf numFmtId="0" fontId="9" fillId="0" borderId="11" xfId="0" applyFont="1" applyBorder="1" applyAlignment="1">
      <alignment horizontal="center" vertical="top" wrapText="1"/>
    </xf>
    <xf numFmtId="0" fontId="9" fillId="0" borderId="0" xfId="0" applyFont="1" applyBorder="1" applyAlignment="1">
      <alignment horizontal="center" vertical="top" wrapText="1"/>
    </xf>
    <xf numFmtId="0" fontId="4" fillId="0" borderId="0" xfId="0" applyFont="1" applyBorder="1" applyAlignment="1">
      <alignment vertical="top" wrapText="1"/>
    </xf>
    <xf numFmtId="0" fontId="2" fillId="2" borderId="3"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7" fillId="3" borderId="1" xfId="0" applyFont="1" applyFill="1" applyBorder="1" applyAlignment="1">
      <alignment horizontal="center" vertical="center" wrapText="1"/>
    </xf>
    <xf numFmtId="0" fontId="1" fillId="14" borderId="16" xfId="0" applyFont="1" applyFill="1" applyBorder="1" applyAlignment="1">
      <alignment horizontal="center" vertical="center" wrapText="1"/>
    </xf>
    <xf numFmtId="0" fontId="10" fillId="13" borderId="17" xfId="0" applyFont="1" applyFill="1" applyBorder="1" applyAlignment="1">
      <alignment horizontal="center" vertical="center" wrapText="1"/>
    </xf>
    <xf numFmtId="0" fontId="1" fillId="22" borderId="16" xfId="0" applyFont="1" applyFill="1" applyBorder="1" applyAlignment="1">
      <alignment horizontal="center" vertical="center" wrapText="1"/>
    </xf>
    <xf numFmtId="0" fontId="1" fillId="22" borderId="0" xfId="0" applyFont="1" applyFill="1" applyBorder="1" applyAlignment="1">
      <alignment horizontal="center" vertical="center" wrapText="1"/>
    </xf>
    <xf numFmtId="0" fontId="2" fillId="14" borderId="18" xfId="0" applyFont="1" applyFill="1" applyBorder="1" applyAlignment="1">
      <alignment horizontal="center" vertical="center" wrapText="1"/>
    </xf>
    <xf numFmtId="166" fontId="5" fillId="2" borderId="1" xfId="0" applyNumberFormat="1" applyFont="1" applyFill="1" applyBorder="1" applyAlignment="1">
      <alignment horizontal="center" vertical="center" wrapText="1"/>
    </xf>
    <xf numFmtId="0" fontId="11" fillId="14" borderId="16" xfId="0" applyFont="1" applyFill="1" applyBorder="1" applyAlignment="1">
      <alignment horizontal="center" vertical="center" wrapText="1"/>
    </xf>
    <xf numFmtId="0" fontId="11" fillId="14" borderId="0" xfId="0" applyFont="1" applyFill="1" applyBorder="1" applyAlignment="1">
      <alignment horizontal="center" vertical="center" wrapText="1"/>
    </xf>
    <xf numFmtId="0" fontId="1" fillId="4" borderId="16" xfId="0" applyFont="1" applyFill="1" applyBorder="1" applyAlignment="1">
      <alignment horizontal="center" vertical="center" wrapText="1"/>
    </xf>
    <xf numFmtId="0" fontId="1" fillId="4" borderId="0" xfId="0" applyFont="1" applyFill="1" applyBorder="1" applyAlignment="1">
      <alignment horizontal="center" vertical="center" wrapText="1"/>
    </xf>
    <xf numFmtId="0" fontId="1" fillId="4" borderId="17" xfId="0" applyFont="1" applyFill="1" applyBorder="1" applyAlignment="1">
      <alignment horizontal="center" vertical="center" wrapText="1"/>
    </xf>
    <xf numFmtId="15" fontId="2" fillId="2" borderId="18" xfId="0" applyNumberFormat="1" applyFont="1" applyFill="1" applyBorder="1" applyAlignment="1">
      <alignment horizontal="center" vertical="center" wrapText="1"/>
    </xf>
    <xf numFmtId="15" fontId="2" fillId="2" borderId="1" xfId="0" applyNumberFormat="1" applyFont="1" applyFill="1" applyBorder="1" applyAlignment="1">
      <alignment horizontal="center" vertical="center" wrapText="1"/>
    </xf>
    <xf numFmtId="0" fontId="2" fillId="0" borderId="1" xfId="0" applyFont="1" applyBorder="1" applyAlignment="1" applyProtection="1">
      <alignment horizontal="center" vertical="center" wrapText="1"/>
    </xf>
    <xf numFmtId="0" fontId="2" fillId="0" borderId="19" xfId="0" applyFont="1" applyBorder="1" applyAlignment="1" applyProtection="1">
      <alignment horizontal="center" vertical="center" wrapText="1"/>
    </xf>
    <xf numFmtId="15" fontId="5" fillId="2" borderId="18" xfId="0" applyNumberFormat="1" applyFont="1" applyFill="1" applyBorder="1" applyAlignment="1">
      <alignment horizontal="center" vertical="center" wrapText="1"/>
    </xf>
    <xf numFmtId="15" fontId="5" fillId="2" borderId="1" xfId="0" applyNumberFormat="1" applyFont="1" applyFill="1" applyBorder="1" applyAlignment="1">
      <alignment horizontal="center" vertical="center" wrapText="1"/>
    </xf>
    <xf numFmtId="0" fontId="5" fillId="0" borderId="1" xfId="0" applyFont="1" applyBorder="1" applyAlignment="1" applyProtection="1">
      <alignment horizontal="center" vertical="center" wrapText="1"/>
    </xf>
    <xf numFmtId="0" fontId="5" fillId="0" borderId="3" xfId="0" applyFont="1" applyBorder="1" applyAlignment="1" applyProtection="1">
      <alignment horizontal="center" vertical="center" wrapText="1"/>
    </xf>
    <xf numFmtId="167" fontId="2" fillId="3" borderId="18" xfId="0" applyNumberFormat="1" applyFont="1" applyFill="1" applyBorder="1" applyAlignment="1">
      <alignment horizontal="center" vertical="center" wrapText="1"/>
    </xf>
    <xf numFmtId="167" fontId="2" fillId="3" borderId="1" xfId="0" applyNumberFormat="1" applyFont="1" applyFill="1" applyBorder="1" applyAlignment="1">
      <alignment horizontal="center" vertical="center" wrapText="1"/>
    </xf>
    <xf numFmtId="167" fontId="2" fillId="3" borderId="19" xfId="0" applyNumberFormat="1" applyFont="1" applyFill="1" applyBorder="1" applyAlignment="1">
      <alignment horizontal="center" vertical="center" wrapText="1"/>
    </xf>
    <xf numFmtId="167" fontId="2" fillId="3" borderId="5" xfId="0" applyNumberFormat="1" applyFont="1" applyFill="1" applyBorder="1" applyAlignment="1">
      <alignment horizontal="center" vertical="center" wrapText="1"/>
    </xf>
    <xf numFmtId="10" fontId="2" fillId="2" borderId="1" xfId="0" applyNumberFormat="1" applyFont="1" applyFill="1" applyBorder="1" applyAlignment="1">
      <alignment horizontal="center" vertical="center" wrapText="1"/>
    </xf>
    <xf numFmtId="0" fontId="2" fillId="0" borderId="3" xfId="0" applyFont="1" applyBorder="1" applyAlignment="1">
      <alignment horizontal="center" vertical="center" wrapText="1"/>
    </xf>
    <xf numFmtId="0" fontId="2" fillId="0" borderId="1" xfId="0" applyFont="1" applyBorder="1" applyAlignment="1">
      <alignment horizontal="center" vertical="center" wrapText="1"/>
    </xf>
    <xf numFmtId="0" fontId="0" fillId="0" borderId="0" xfId="0" applyAlignment="1">
      <alignment horizontal="center" vertical="center" wrapText="1"/>
    </xf>
    <xf numFmtId="0" fontId="0" fillId="0" borderId="16" xfId="0" applyBorder="1" applyAlignment="1">
      <alignment wrapText="1"/>
    </xf>
    <xf numFmtId="0" fontId="0" fillId="0" borderId="0" xfId="0" applyBorder="1" applyAlignment="1">
      <alignment wrapText="1"/>
    </xf>
    <xf numFmtId="0" fontId="0" fillId="0" borderId="17" xfId="0" applyBorder="1" applyAlignment="1">
      <alignment wrapText="1"/>
    </xf>
    <xf numFmtId="0" fontId="19" fillId="24" borderId="23" xfId="1" applyFont="1" applyFill="1" applyBorder="1" applyAlignment="1">
      <alignment horizontal="center"/>
    </xf>
    <xf numFmtId="0" fontId="19" fillId="24" borderId="24" xfId="1" applyFont="1" applyFill="1" applyBorder="1" applyAlignment="1">
      <alignment horizontal="center"/>
    </xf>
    <xf numFmtId="0" fontId="19" fillId="24" borderId="25" xfId="1" applyFont="1" applyFill="1" applyBorder="1" applyAlignment="1">
      <alignment horizontal="center"/>
    </xf>
    <xf numFmtId="0" fontId="18" fillId="11" borderId="0" xfId="1" applyFill="1"/>
    <xf numFmtId="0" fontId="20" fillId="25" borderId="26" xfId="1" applyFont="1" applyFill="1" applyBorder="1" applyAlignment="1">
      <alignment horizontal="center" vertical="center"/>
    </xf>
    <xf numFmtId="0" fontId="20" fillId="25" borderId="27" xfId="1" applyFont="1" applyFill="1" applyBorder="1" applyAlignment="1">
      <alignment horizontal="center" vertical="center"/>
    </xf>
    <xf numFmtId="0" fontId="20" fillId="25" borderId="28" xfId="1" applyFont="1" applyFill="1" applyBorder="1" applyAlignment="1">
      <alignment horizontal="center" vertical="center"/>
    </xf>
    <xf numFmtId="0" fontId="6" fillId="11" borderId="1" xfId="1" applyFont="1" applyFill="1" applyBorder="1"/>
    <xf numFmtId="0" fontId="6" fillId="11" borderId="19" xfId="1" applyFont="1" applyFill="1" applyBorder="1"/>
    <xf numFmtId="168" fontId="6" fillId="11" borderId="29" xfId="1" applyNumberFormat="1" applyFont="1" applyFill="1" applyBorder="1"/>
    <xf numFmtId="168" fontId="6" fillId="11" borderId="30" xfId="1" applyNumberFormat="1" applyFont="1" applyFill="1" applyBorder="1"/>
    <xf numFmtId="168" fontId="6" fillId="0" borderId="30" xfId="1" applyNumberFormat="1" applyFont="1" applyFill="1" applyBorder="1"/>
    <xf numFmtId="0" fontId="6" fillId="0" borderId="1" xfId="1" applyFont="1" applyFill="1" applyBorder="1"/>
    <xf numFmtId="0" fontId="6" fillId="0" borderId="30" xfId="1" applyFont="1" applyFill="1" applyBorder="1"/>
    <xf numFmtId="0" fontId="6" fillId="0" borderId="31" xfId="1" applyFont="1" applyFill="1" applyBorder="1"/>
    <xf numFmtId="0" fontId="18" fillId="0" borderId="0" xfId="1" applyFill="1"/>
    <xf numFmtId="168" fontId="6" fillId="0" borderId="29" xfId="1" applyNumberFormat="1" applyFont="1" applyFill="1" applyBorder="1"/>
    <xf numFmtId="0" fontId="6" fillId="11" borderId="30" xfId="1" applyFont="1" applyFill="1" applyBorder="1"/>
    <xf numFmtId="0" fontId="6" fillId="11" borderId="31" xfId="1" applyFont="1" applyFill="1" applyBorder="1"/>
    <xf numFmtId="0" fontId="21" fillId="11" borderId="1" xfId="1" applyFont="1" applyFill="1" applyBorder="1"/>
    <xf numFmtId="0" fontId="21" fillId="0" borderId="1" xfId="1" applyFont="1" applyFill="1" applyBorder="1"/>
    <xf numFmtId="0" fontId="21" fillId="11" borderId="32" xfId="1" applyFont="1" applyFill="1" applyBorder="1"/>
    <xf numFmtId="0" fontId="6" fillId="11" borderId="32" xfId="1" applyFont="1" applyFill="1" applyBorder="1"/>
    <xf numFmtId="0" fontId="6" fillId="0" borderId="32" xfId="1" applyFont="1" applyFill="1" applyBorder="1"/>
    <xf numFmtId="0" fontId="6" fillId="11" borderId="33" xfId="1" applyFont="1" applyFill="1" applyBorder="1"/>
    <xf numFmtId="0" fontId="20" fillId="11" borderId="20" xfId="1" applyFont="1" applyFill="1" applyBorder="1"/>
    <xf numFmtId="0" fontId="6" fillId="11" borderId="21" xfId="1" applyFont="1" applyFill="1" applyBorder="1"/>
    <xf numFmtId="0" fontId="6" fillId="11" borderId="22" xfId="1" applyFont="1" applyFill="1" applyBorder="1"/>
    <xf numFmtId="168" fontId="6" fillId="11" borderId="20" xfId="1" applyNumberFormat="1" applyFont="1" applyFill="1" applyBorder="1"/>
    <xf numFmtId="168" fontId="6" fillId="11" borderId="21" xfId="1" applyNumberFormat="1" applyFont="1" applyFill="1" applyBorder="1"/>
    <xf numFmtId="0" fontId="2" fillId="14" borderId="3" xfId="0" applyFont="1" applyFill="1" applyBorder="1" applyAlignment="1">
      <alignment horizontal="center" vertical="center" wrapText="1"/>
    </xf>
    <xf numFmtId="0" fontId="0" fillId="0" borderId="0" xfId="0" applyAlignment="1"/>
    <xf numFmtId="0" fontId="6" fillId="0" borderId="0" xfId="0" applyNumberFormat="1" applyFont="1" applyAlignment="1">
      <alignment horizontal="center" vertical="center"/>
    </xf>
    <xf numFmtId="0" fontId="25" fillId="0" borderId="36" xfId="3" applyFont="1" applyFill="1" applyBorder="1" applyAlignment="1" applyProtection="1">
      <alignment horizontal="center" vertical="center"/>
    </xf>
    <xf numFmtId="0" fontId="25" fillId="0" borderId="38" xfId="3" applyFont="1" applyFill="1" applyBorder="1" applyAlignment="1" applyProtection="1">
      <alignment horizontal="center" vertical="center"/>
    </xf>
    <xf numFmtId="0" fontId="26" fillId="26" borderId="30" xfId="0" applyFont="1" applyFill="1" applyBorder="1" applyAlignment="1" applyProtection="1">
      <alignment horizontal="center" vertical="center" wrapText="1"/>
    </xf>
    <xf numFmtId="0" fontId="26" fillId="26" borderId="1" xfId="0" applyFont="1" applyFill="1" applyBorder="1" applyAlignment="1" applyProtection="1">
      <alignment horizontal="center" vertical="center" wrapText="1"/>
    </xf>
    <xf numFmtId="49" fontId="26" fillId="26" borderId="1" xfId="0" applyNumberFormat="1" applyFont="1" applyFill="1" applyBorder="1" applyAlignment="1" applyProtection="1">
      <alignment horizontal="center" vertical="center" wrapText="1"/>
    </xf>
    <xf numFmtId="0" fontId="25" fillId="0" borderId="37" xfId="3" applyFont="1" applyFill="1" applyBorder="1" applyAlignment="1" applyProtection="1">
      <alignment horizontal="center" vertical="center" wrapText="1"/>
      <protection locked="0"/>
    </xf>
    <xf numFmtId="169" fontId="25" fillId="0" borderId="37" xfId="3" applyNumberFormat="1" applyFont="1" applyFill="1" applyBorder="1" applyAlignment="1" applyProtection="1">
      <alignment horizontal="center" vertical="center" wrapText="1"/>
      <protection locked="0"/>
    </xf>
    <xf numFmtId="164" fontId="25" fillId="0" borderId="37" xfId="3" applyNumberFormat="1" applyFont="1" applyFill="1" applyBorder="1" applyAlignment="1" applyProtection="1">
      <alignment horizontal="center" vertical="center" wrapText="1"/>
    </xf>
    <xf numFmtId="15" fontId="2" fillId="0" borderId="18" xfId="0" applyNumberFormat="1" applyFont="1" applyFill="1" applyBorder="1" applyAlignment="1">
      <alignment horizontal="center" vertical="center" wrapText="1"/>
    </xf>
    <xf numFmtId="15" fontId="2" fillId="0" borderId="1" xfId="0" applyNumberFormat="1" applyFont="1" applyFill="1" applyBorder="1" applyAlignment="1">
      <alignment horizontal="center" vertical="center" wrapText="1"/>
    </xf>
    <xf numFmtId="15" fontId="5" fillId="0" borderId="1" xfId="0" applyNumberFormat="1" applyFont="1" applyFill="1" applyBorder="1" applyAlignment="1">
      <alignment horizontal="center" vertical="center" wrapText="1"/>
    </xf>
    <xf numFmtId="0" fontId="9" fillId="0" borderId="0" xfId="0" applyFont="1" applyAlignment="1">
      <alignment horizontal="center" vertical="center" wrapText="1"/>
    </xf>
    <xf numFmtId="0" fontId="26" fillId="26" borderId="35" xfId="0" applyFont="1" applyFill="1" applyBorder="1" applyAlignment="1" applyProtection="1">
      <alignment horizontal="center" vertical="center" wrapText="1"/>
    </xf>
    <xf numFmtId="0" fontId="25" fillId="27" borderId="1" xfId="3" applyFont="1" applyFill="1" applyBorder="1" applyAlignment="1" applyProtection="1">
      <alignment horizontal="center" vertical="center"/>
    </xf>
    <xf numFmtId="0" fontId="25" fillId="27" borderId="30" xfId="3" applyFont="1" applyFill="1" applyBorder="1" applyAlignment="1" applyProtection="1">
      <alignment horizontal="center" vertical="center"/>
    </xf>
    <xf numFmtId="0" fontId="25" fillId="27" borderId="0" xfId="3" applyFont="1" applyFill="1" applyBorder="1" applyAlignment="1" applyProtection="1">
      <alignment horizontal="center" vertical="center"/>
    </xf>
    <xf numFmtId="0" fontId="0" fillId="0" borderId="0" xfId="0" applyFill="1"/>
    <xf numFmtId="0" fontId="0" fillId="0" borderId="0" xfId="0" applyAlignment="1">
      <alignment horizontal="left" wrapText="1"/>
    </xf>
    <xf numFmtId="0" fontId="11" fillId="2" borderId="3" xfId="0" applyFont="1" applyFill="1" applyBorder="1" applyAlignment="1">
      <alignment horizontal="left" vertical="center" wrapText="1"/>
    </xf>
    <xf numFmtId="0" fontId="5" fillId="2" borderId="1" xfId="0" applyFont="1" applyFill="1" applyBorder="1" applyAlignment="1">
      <alignment horizontal="left" vertical="center" wrapText="1"/>
    </xf>
    <xf numFmtId="0" fontId="27" fillId="0" borderId="0" xfId="0" applyFont="1" applyBorder="1" applyAlignment="1">
      <alignment horizontal="left" vertical="top" wrapText="1"/>
    </xf>
    <xf numFmtId="0" fontId="13" fillId="0" borderId="0" xfId="0" applyFont="1"/>
    <xf numFmtId="0" fontId="3" fillId="29" borderId="0" xfId="0" applyFont="1" applyFill="1"/>
    <xf numFmtId="14" fontId="6" fillId="0" borderId="0" xfId="0" applyNumberFormat="1" applyFont="1" applyAlignment="1">
      <alignment horizontal="left" vertical="center"/>
    </xf>
    <xf numFmtId="0" fontId="6" fillId="0" borderId="0" xfId="0" applyFont="1" applyAlignment="1">
      <alignment horizontal="left" vertical="center"/>
    </xf>
    <xf numFmtId="0" fontId="20" fillId="0" borderId="6" xfId="0" applyFont="1" applyBorder="1" applyAlignment="1">
      <alignment horizontal="center" vertical="center" wrapText="1"/>
    </xf>
    <xf numFmtId="0" fontId="3" fillId="28" borderId="0" xfId="0" applyFont="1" applyFill="1"/>
    <xf numFmtId="0" fontId="3" fillId="0" borderId="0" xfId="0" applyFont="1" applyFill="1" applyAlignment="1">
      <alignment wrapText="1"/>
    </xf>
    <xf numFmtId="0" fontId="3" fillId="0" borderId="0" xfId="0" applyFont="1" applyFill="1"/>
    <xf numFmtId="0" fontId="28" fillId="0" borderId="0" xfId="0" applyFont="1" applyFill="1" applyBorder="1" applyAlignment="1">
      <alignment horizontal="left" vertical="center" wrapText="1"/>
    </xf>
    <xf numFmtId="0" fontId="28" fillId="0" borderId="0" xfId="0" applyFont="1" applyFill="1" applyBorder="1" applyAlignment="1">
      <alignment horizontal="left" vertical="top" wrapText="1"/>
    </xf>
    <xf numFmtId="0" fontId="29" fillId="0" borderId="0" xfId="0" applyFont="1" applyFill="1" applyBorder="1" applyAlignment="1">
      <alignment horizontal="left" vertical="center" wrapText="1"/>
    </xf>
    <xf numFmtId="0" fontId="30" fillId="0" borderId="0" xfId="0" applyFont="1" applyFill="1" applyBorder="1" applyAlignment="1">
      <alignment horizontal="left" vertical="center" wrapText="1"/>
    </xf>
    <xf numFmtId="0" fontId="14" fillId="0" borderId="0" xfId="0" applyFont="1" applyFill="1" applyBorder="1" applyAlignment="1">
      <alignment horizontal="left" vertical="center" wrapText="1"/>
    </xf>
    <xf numFmtId="0" fontId="13" fillId="0" borderId="0" xfId="0" applyFont="1" applyFill="1"/>
    <xf numFmtId="0" fontId="27" fillId="0" borderId="0" xfId="0" applyFont="1" applyAlignment="1">
      <alignment horizontal="right" vertical="center" wrapText="1"/>
    </xf>
    <xf numFmtId="0" fontId="4" fillId="0" borderId="0" xfId="0" applyFont="1" applyAlignment="1">
      <alignment horizontal="center" vertical="top"/>
    </xf>
    <xf numFmtId="15" fontId="2" fillId="2" borderId="5" xfId="0" applyNumberFormat="1" applyFont="1" applyFill="1" applyBorder="1" applyAlignment="1">
      <alignment horizontal="center" vertical="center" wrapText="1"/>
    </xf>
    <xf numFmtId="0" fontId="27" fillId="0" borderId="9" xfId="0" applyFont="1" applyBorder="1" applyAlignment="1">
      <alignment horizontal="center" vertical="top" wrapText="1"/>
    </xf>
    <xf numFmtId="14" fontId="6" fillId="0" borderId="0" xfId="0" applyNumberFormat="1" applyFont="1" applyAlignment="1">
      <alignment horizontal="center" vertical="center"/>
    </xf>
    <xf numFmtId="0" fontId="6" fillId="0" borderId="0" xfId="0" applyFont="1" applyAlignment="1">
      <alignment horizontal="center" vertical="center"/>
    </xf>
    <xf numFmtId="0" fontId="0" fillId="0" borderId="0" xfId="0" applyAlignment="1">
      <alignment horizontal="center"/>
    </xf>
    <xf numFmtId="0" fontId="20" fillId="0" borderId="0" xfId="0" applyFont="1" applyBorder="1" applyAlignment="1">
      <alignment horizontal="center" vertical="center" wrapText="1"/>
    </xf>
    <xf numFmtId="0" fontId="6" fillId="0" borderId="39" xfId="0" applyFont="1" applyBorder="1" applyAlignment="1">
      <alignment horizontal="center" vertical="center" wrapText="1"/>
    </xf>
    <xf numFmtId="0" fontId="6" fillId="0" borderId="7" xfId="0" applyFont="1" applyBorder="1" applyAlignment="1">
      <alignment horizontal="center" vertical="center" wrapText="1"/>
    </xf>
    <xf numFmtId="0" fontId="6" fillId="0" borderId="0" xfId="0" applyFont="1" applyBorder="1" applyAlignment="1">
      <alignment horizontal="center" vertical="center" wrapText="1"/>
    </xf>
    <xf numFmtId="14" fontId="2" fillId="3" borderId="30" xfId="0" applyNumberFormat="1" applyFont="1" applyFill="1" applyBorder="1" applyAlignment="1">
      <alignment horizontal="center" vertical="center" wrapText="1"/>
    </xf>
    <xf numFmtId="14" fontId="2" fillId="3" borderId="1" xfId="0" applyNumberFormat="1" applyFont="1" applyFill="1" applyBorder="1" applyAlignment="1">
      <alignment horizontal="center" vertical="center" wrapText="1"/>
    </xf>
    <xf numFmtId="14" fontId="2" fillId="3" borderId="40" xfId="0" applyNumberFormat="1" applyFont="1" applyFill="1" applyBorder="1" applyAlignment="1">
      <alignment horizontal="center" vertical="center" wrapText="1"/>
    </xf>
    <xf numFmtId="0" fontId="0" fillId="0" borderId="41" xfId="0" applyBorder="1"/>
    <xf numFmtId="0" fontId="2" fillId="3" borderId="5" xfId="0" applyFont="1" applyFill="1" applyBorder="1" applyAlignment="1">
      <alignment horizontal="center" vertical="center" wrapText="1"/>
    </xf>
    <xf numFmtId="14" fontId="2" fillId="3" borderId="5" xfId="0" applyNumberFormat="1" applyFont="1" applyFill="1" applyBorder="1" applyAlignment="1">
      <alignment horizontal="center" vertical="center" wrapText="1"/>
    </xf>
    <xf numFmtId="0" fontId="2" fillId="3" borderId="19" xfId="0" applyFont="1" applyFill="1" applyBorder="1" applyAlignment="1">
      <alignment horizontal="center" vertical="center" wrapText="1"/>
    </xf>
    <xf numFmtId="14" fontId="2" fillId="3" borderId="19" xfId="0" applyNumberFormat="1" applyFont="1" applyFill="1" applyBorder="1" applyAlignment="1">
      <alignment horizontal="center" vertical="center" wrapText="1"/>
    </xf>
    <xf numFmtId="0" fontId="1" fillId="14" borderId="42" xfId="0" applyFont="1" applyFill="1" applyBorder="1" applyAlignment="1">
      <alignment horizontal="center" vertical="center" wrapText="1"/>
    </xf>
    <xf numFmtId="0" fontId="1" fillId="14" borderId="4" xfId="0" applyFont="1" applyFill="1" applyBorder="1" applyAlignment="1">
      <alignment horizontal="center" vertical="center" wrapText="1"/>
    </xf>
    <xf numFmtId="0" fontId="1" fillId="14" borderId="43" xfId="0" applyFont="1" applyFill="1" applyBorder="1" applyAlignment="1">
      <alignment horizontal="center" vertical="center" wrapText="1"/>
    </xf>
    <xf numFmtId="0" fontId="11" fillId="30" borderId="14" xfId="0" applyFont="1" applyFill="1" applyBorder="1" applyAlignment="1">
      <alignment vertical="center" wrapText="1"/>
    </xf>
    <xf numFmtId="0" fontId="11" fillId="30" borderId="15" xfId="0" applyFont="1" applyFill="1" applyBorder="1" applyAlignment="1">
      <alignment vertical="center" wrapText="1"/>
    </xf>
    <xf numFmtId="14" fontId="2" fillId="3" borderId="18" xfId="0" applyNumberFormat="1" applyFont="1" applyFill="1" applyBorder="1" applyAlignment="1">
      <alignment horizontal="center" vertical="center" wrapText="1"/>
    </xf>
    <xf numFmtId="0" fontId="31" fillId="0" borderId="37" xfId="3" applyFont="1" applyFill="1" applyBorder="1" applyAlignment="1">
      <alignment horizontal="center" vertical="center" wrapText="1"/>
    </xf>
    <xf numFmtId="0" fontId="10" fillId="31" borderId="45" xfId="0" applyFont="1" applyFill="1" applyBorder="1" applyAlignment="1" applyProtection="1">
      <alignment horizontal="center" vertical="center" wrapText="1"/>
      <protection locked="0"/>
    </xf>
    <xf numFmtId="164" fontId="10" fillId="31" borderId="45" xfId="0" applyNumberFormat="1" applyFont="1" applyFill="1" applyBorder="1" applyAlignment="1" applyProtection="1">
      <alignment horizontal="center" vertical="center" wrapText="1"/>
      <protection locked="0"/>
    </xf>
    <xf numFmtId="0" fontId="25" fillId="27" borderId="27" xfId="3" applyFont="1" applyFill="1" applyBorder="1" applyAlignment="1" applyProtection="1">
      <alignment horizontal="center" vertical="center"/>
    </xf>
    <xf numFmtId="0" fontId="10" fillId="0" borderId="0" xfId="0" applyFont="1" applyFill="1" applyBorder="1" applyAlignment="1" applyProtection="1">
      <alignment horizontal="center" vertical="center" wrapText="1"/>
      <protection locked="0"/>
    </xf>
    <xf numFmtId="164" fontId="10" fillId="0" borderId="0" xfId="0" applyNumberFormat="1" applyFont="1" applyFill="1" applyBorder="1" applyAlignment="1" applyProtection="1">
      <alignment horizontal="center" vertical="center" wrapText="1"/>
      <protection locked="0"/>
    </xf>
    <xf numFmtId="0" fontId="26" fillId="26" borderId="46" xfId="0" applyFont="1" applyFill="1" applyBorder="1" applyAlignment="1" applyProtection="1">
      <alignment horizontal="center" vertical="center"/>
    </xf>
    <xf numFmtId="0" fontId="26" fillId="26" borderId="38" xfId="0" applyFont="1" applyFill="1" applyBorder="1" applyAlignment="1" applyProtection="1">
      <alignment horizontal="center" vertical="center"/>
    </xf>
    <xf numFmtId="0" fontId="26" fillId="26" borderId="3" xfId="0" applyFont="1" applyFill="1" applyBorder="1" applyAlignment="1" applyProtection="1">
      <alignment horizontal="center" vertical="center"/>
    </xf>
    <xf numFmtId="0" fontId="26" fillId="26" borderId="3" xfId="0" applyFont="1" applyFill="1" applyBorder="1" applyAlignment="1" applyProtection="1">
      <alignment horizontal="center" vertical="center" wrapText="1"/>
    </xf>
    <xf numFmtId="0" fontId="26" fillId="0" borderId="48" xfId="0" applyFont="1" applyFill="1" applyBorder="1" applyAlignment="1" applyProtection="1">
      <alignment horizontal="center" vertical="center" wrapText="1"/>
      <protection locked="0"/>
    </xf>
    <xf numFmtId="0" fontId="25" fillId="0" borderId="47" xfId="3" applyFont="1" applyFill="1" applyBorder="1" applyAlignment="1" applyProtection="1">
      <alignment horizontal="center" vertical="center" wrapText="1"/>
      <protection locked="0"/>
    </xf>
    <xf numFmtId="0" fontId="31" fillId="0" borderId="47" xfId="3" applyFont="1" applyFill="1" applyBorder="1" applyAlignment="1" applyProtection="1">
      <alignment horizontal="center" vertical="center" wrapText="1"/>
      <protection locked="0"/>
    </xf>
    <xf numFmtId="0" fontId="31" fillId="0" borderId="37" xfId="3" applyFont="1" applyFill="1" applyBorder="1" applyAlignment="1" applyProtection="1">
      <alignment horizontal="center" vertical="center" wrapText="1"/>
      <protection locked="0"/>
    </xf>
    <xf numFmtId="164" fontId="31" fillId="0" borderId="37" xfId="3" applyNumberFormat="1" applyFont="1" applyFill="1" applyBorder="1" applyAlignment="1">
      <alignment horizontal="center" vertical="center" wrapText="1"/>
    </xf>
    <xf numFmtId="169" fontId="31" fillId="0" borderId="37" xfId="3" applyNumberFormat="1" applyFont="1" applyFill="1" applyBorder="1" applyAlignment="1" applyProtection="1">
      <alignment horizontal="center" vertical="center" wrapText="1"/>
      <protection locked="0"/>
    </xf>
    <xf numFmtId="0" fontId="26" fillId="26" borderId="46" xfId="0" applyFont="1" applyFill="1" applyBorder="1" applyAlignment="1" applyProtection="1">
      <alignment horizontal="center" vertical="center" wrapText="1"/>
    </xf>
    <xf numFmtId="0" fontId="31" fillId="0" borderId="47" xfId="4" applyFont="1" applyFill="1" applyBorder="1" applyAlignment="1" applyProtection="1">
      <alignment horizontal="center" vertical="center" wrapText="1"/>
      <protection locked="0"/>
    </xf>
    <xf numFmtId="0" fontId="31" fillId="0" borderId="37" xfId="4" applyFont="1" applyFill="1" applyBorder="1" applyAlignment="1" applyProtection="1">
      <alignment horizontal="center" vertical="center" wrapText="1"/>
      <protection locked="0"/>
    </xf>
    <xf numFmtId="164" fontId="31" fillId="0" borderId="37" xfId="4" applyNumberFormat="1" applyFont="1" applyFill="1" applyBorder="1" applyAlignment="1" applyProtection="1">
      <alignment horizontal="center" vertical="center" wrapText="1"/>
    </xf>
    <xf numFmtId="169" fontId="31" fillId="0" borderId="37" xfId="4" applyNumberFormat="1" applyFont="1" applyFill="1" applyBorder="1" applyAlignment="1" applyProtection="1">
      <alignment horizontal="center" vertical="center" wrapText="1"/>
      <protection locked="0"/>
    </xf>
    <xf numFmtId="169" fontId="33" fillId="0" borderId="37" xfId="3" applyNumberFormat="1" applyFont="1" applyFill="1" applyBorder="1" applyAlignment="1" applyProtection="1">
      <alignment horizontal="center" vertical="center" wrapText="1"/>
      <protection locked="0"/>
    </xf>
    <xf numFmtId="0" fontId="26" fillId="26" borderId="49" xfId="0" applyFont="1" applyFill="1" applyBorder="1" applyAlignment="1" applyProtection="1">
      <alignment horizontal="center" vertical="center" wrapText="1"/>
    </xf>
    <xf numFmtId="0" fontId="25" fillId="27" borderId="21" xfId="3" applyFont="1" applyFill="1" applyBorder="1" applyAlignment="1" applyProtection="1">
      <alignment horizontal="center" vertical="center"/>
    </xf>
    <xf numFmtId="0" fontId="10" fillId="32" borderId="45" xfId="0" applyFont="1" applyFill="1" applyBorder="1" applyAlignment="1" applyProtection="1">
      <alignment horizontal="center" vertical="center" wrapText="1"/>
      <protection locked="0"/>
    </xf>
    <xf numFmtId="0" fontId="29" fillId="33" borderId="45" xfId="0" applyNumberFormat="1" applyFont="1" applyFill="1" applyBorder="1" applyAlignment="1" applyProtection="1">
      <alignment horizontal="center" vertical="center" wrapText="1"/>
    </xf>
    <xf numFmtId="0" fontId="29" fillId="33" borderId="45" xfId="0" applyNumberFormat="1" applyFont="1" applyFill="1" applyBorder="1" applyAlignment="1" applyProtection="1">
      <alignment horizontal="left" vertical="center" wrapText="1"/>
    </xf>
    <xf numFmtId="169" fontId="29" fillId="33" borderId="45" xfId="0" applyNumberFormat="1" applyFont="1" applyFill="1" applyBorder="1" applyAlignment="1" applyProtection="1">
      <alignment horizontal="center" vertical="center" wrapText="1"/>
    </xf>
    <xf numFmtId="0" fontId="21" fillId="0" borderId="45" xfId="0" applyNumberFormat="1" applyFont="1" applyFill="1" applyBorder="1" applyAlignment="1" applyProtection="1">
      <alignment horizontal="center" vertical="center" wrapText="1"/>
    </xf>
    <xf numFmtId="0" fontId="21" fillId="0" borderId="45" xfId="0" applyNumberFormat="1" applyFont="1" applyFill="1" applyBorder="1" applyAlignment="1" applyProtection="1">
      <alignment horizontal="left" vertical="center" wrapText="1"/>
    </xf>
    <xf numFmtId="0" fontId="21" fillId="0" borderId="45" xfId="0" applyNumberFormat="1" applyFont="1" applyFill="1" applyBorder="1" applyAlignment="1" applyProtection="1">
      <alignment vertical="center" wrapText="1"/>
    </xf>
    <xf numFmtId="15" fontId="21" fillId="0" borderId="45" xfId="0" applyNumberFormat="1" applyFont="1" applyFill="1" applyBorder="1" applyAlignment="1" applyProtection="1">
      <alignment horizontal="center" vertical="center" wrapText="1"/>
    </xf>
    <xf numFmtId="14" fontId="21" fillId="0" borderId="45" xfId="0" applyNumberFormat="1" applyFont="1" applyFill="1" applyBorder="1" applyAlignment="1" applyProtection="1">
      <alignment horizontal="center" vertical="center" wrapText="1"/>
    </xf>
    <xf numFmtId="169" fontId="21" fillId="0" borderId="45" xfId="0" applyNumberFormat="1" applyFont="1" applyFill="1" applyBorder="1" applyAlignment="1" applyProtection="1">
      <alignment horizontal="center" vertical="center" wrapText="1"/>
    </xf>
    <xf numFmtId="170" fontId="21" fillId="0" borderId="45" xfId="0" applyNumberFormat="1" applyFont="1" applyFill="1" applyBorder="1" applyAlignment="1" applyProtection="1">
      <alignment horizontal="center" vertical="center" wrapText="1"/>
    </xf>
    <xf numFmtId="0" fontId="35" fillId="0" borderId="45" xfId="0" applyNumberFormat="1" applyFont="1" applyFill="1" applyBorder="1" applyAlignment="1" applyProtection="1">
      <alignment horizontal="left" vertical="center" wrapText="1"/>
    </xf>
    <xf numFmtId="0" fontId="30" fillId="0" borderId="45" xfId="0" applyNumberFormat="1" applyFont="1" applyFill="1" applyBorder="1" applyAlignment="1" applyProtection="1">
      <alignment vertical="center" wrapText="1"/>
    </xf>
    <xf numFmtId="0" fontId="5" fillId="0" borderId="0" xfId="0" applyFont="1" applyFill="1" applyBorder="1" applyAlignment="1">
      <alignment horizontal="left" vertical="center" wrapText="1"/>
    </xf>
    <xf numFmtId="0" fontId="39" fillId="0" borderId="37" xfId="0" applyFont="1" applyFill="1" applyBorder="1" applyAlignment="1" applyProtection="1">
      <alignment horizontal="center" vertical="center" wrapText="1"/>
    </xf>
    <xf numFmtId="0" fontId="0" fillId="0" borderId="0" xfId="0"/>
    <xf numFmtId="0" fontId="0" fillId="0" borderId="0" xfId="0" applyAlignment="1">
      <alignment horizontal="center"/>
    </xf>
    <xf numFmtId="0" fontId="0" fillId="0" borderId="0" xfId="0" applyAlignment="1">
      <alignment horizontal="center" vertical="center"/>
    </xf>
    <xf numFmtId="0" fontId="35" fillId="0" borderId="50" xfId="0" applyNumberFormat="1" applyFont="1" applyFill="1" applyBorder="1" applyAlignment="1" applyProtection="1">
      <alignment horizontal="left" vertical="center" wrapText="1"/>
    </xf>
    <xf numFmtId="0" fontId="21" fillId="0" borderId="44" xfId="0" applyNumberFormat="1" applyFont="1" applyFill="1" applyBorder="1" applyAlignment="1" applyProtection="1">
      <alignment vertical="center" wrapText="1"/>
    </xf>
    <xf numFmtId="0" fontId="21" fillId="0" borderId="50" xfId="0" applyNumberFormat="1" applyFont="1" applyFill="1" applyBorder="1" applyAlignment="1" applyProtection="1">
      <alignment horizontal="center" vertical="center" wrapText="1"/>
    </xf>
    <xf numFmtId="0" fontId="40" fillId="11" borderId="18" xfId="1" applyFont="1" applyFill="1" applyBorder="1"/>
    <xf numFmtId="0" fontId="40" fillId="0" borderId="18" xfId="1" applyFont="1" applyFill="1" applyBorder="1"/>
    <xf numFmtId="0" fontId="40" fillId="0" borderId="52" xfId="1" applyFont="1" applyFill="1" applyBorder="1"/>
    <xf numFmtId="0" fontId="11" fillId="0" borderId="1" xfId="0" applyFont="1" applyBorder="1" applyAlignment="1">
      <alignment horizontal="left" vertical="top" wrapText="1"/>
    </xf>
    <xf numFmtId="0" fontId="41" fillId="0" borderId="1" xfId="0" applyFont="1" applyBorder="1" applyAlignment="1">
      <alignment horizontal="left" vertical="center" wrapText="1"/>
    </xf>
    <xf numFmtId="0" fontId="22" fillId="0" borderId="0" xfId="2" applyFill="1" applyBorder="1" applyAlignment="1">
      <alignment horizontal="center" vertical="center" wrapText="1"/>
    </xf>
    <xf numFmtId="14" fontId="27" fillId="0" borderId="0" xfId="0" applyNumberFormat="1" applyFont="1" applyAlignment="1">
      <alignment horizontal="left" vertical="top"/>
    </xf>
    <xf numFmtId="0" fontId="11" fillId="0" borderId="1" xfId="0" applyFont="1" applyFill="1" applyBorder="1" applyAlignment="1">
      <alignment horizontal="left" vertical="top" wrapText="1"/>
    </xf>
    <xf numFmtId="0" fontId="31" fillId="14" borderId="18" xfId="3" applyFont="1" applyFill="1" applyBorder="1" applyAlignment="1">
      <alignment horizontal="center" vertical="center" wrapText="1"/>
    </xf>
    <xf numFmtId="0" fontId="10" fillId="28" borderId="1" xfId="0" applyFont="1" applyFill="1" applyBorder="1" applyAlignment="1">
      <alignment horizontal="left" vertical="top" wrapText="1"/>
    </xf>
    <xf numFmtId="0" fontId="2" fillId="2" borderId="19" xfId="0" applyFont="1" applyFill="1" applyBorder="1" applyAlignment="1">
      <alignment horizontal="center" vertical="center" wrapText="1"/>
    </xf>
    <xf numFmtId="14" fontId="2" fillId="2" borderId="18" xfId="0" applyNumberFormat="1" applyFont="1" applyFill="1" applyBorder="1" applyAlignment="1">
      <alignment horizontal="center" vertical="center" wrapText="1"/>
    </xf>
    <xf numFmtId="14" fontId="2" fillId="2" borderId="1" xfId="0" applyNumberFormat="1" applyFont="1" applyFill="1" applyBorder="1" applyAlignment="1">
      <alignment horizontal="center" vertical="center" wrapText="1"/>
    </xf>
    <xf numFmtId="0" fontId="2" fillId="0" borderId="24" xfId="0" applyFont="1" applyFill="1" applyBorder="1" applyAlignment="1">
      <alignment horizontal="center" vertical="center" wrapText="1"/>
    </xf>
    <xf numFmtId="14" fontId="2" fillId="0" borderId="24" xfId="0" applyNumberFormat="1" applyFont="1" applyFill="1" applyBorder="1" applyAlignment="1">
      <alignment horizontal="center" vertical="center" wrapText="1"/>
    </xf>
    <xf numFmtId="0" fontId="2" fillId="0" borderId="0" xfId="0" applyFont="1" applyFill="1" applyBorder="1" applyAlignment="1">
      <alignment horizontal="center" vertical="center" wrapText="1"/>
    </xf>
    <xf numFmtId="0" fontId="3" fillId="11" borderId="0" xfId="0" applyFont="1" applyFill="1"/>
    <xf numFmtId="167" fontId="2" fillId="0" borderId="24" xfId="0" applyNumberFormat="1" applyFont="1" applyFill="1" applyBorder="1" applyAlignment="1">
      <alignment horizontal="center" vertical="center" wrapText="1"/>
    </xf>
    <xf numFmtId="167" fontId="2" fillId="0" borderId="0" xfId="0" applyNumberFormat="1" applyFont="1" applyFill="1" applyBorder="1" applyAlignment="1">
      <alignment horizontal="center" vertical="center" wrapText="1"/>
    </xf>
    <xf numFmtId="0" fontId="2" fillId="0" borderId="23" xfId="0" applyFont="1" applyFill="1" applyBorder="1" applyAlignment="1">
      <alignment horizontal="center" vertical="center" wrapText="1"/>
    </xf>
    <xf numFmtId="0" fontId="2" fillId="0" borderId="24" xfId="0" applyFont="1" applyFill="1" applyBorder="1" applyAlignment="1" applyProtection="1">
      <alignment horizontal="center" vertical="center" wrapText="1"/>
    </xf>
    <xf numFmtId="0" fontId="2" fillId="0" borderId="64" xfId="0" applyFont="1" applyFill="1" applyBorder="1" applyAlignment="1">
      <alignment horizontal="center" vertical="center" wrapText="1"/>
    </xf>
    <xf numFmtId="0" fontId="2" fillId="0" borderId="37" xfId="0" applyFont="1" applyFill="1" applyBorder="1" applyAlignment="1" applyProtection="1">
      <alignment horizontal="center" vertical="center" wrapText="1"/>
    </xf>
    <xf numFmtId="0" fontId="2" fillId="0" borderId="37" xfId="0" applyFont="1" applyFill="1" applyBorder="1" applyAlignment="1">
      <alignment horizontal="center" vertical="center" wrapText="1"/>
    </xf>
    <xf numFmtId="0" fontId="10" fillId="31" borderId="45" xfId="0" applyNumberFormat="1" applyFont="1" applyFill="1" applyBorder="1" applyAlignment="1" applyProtection="1">
      <alignment horizontal="center" vertical="center" wrapText="1"/>
      <protection locked="0"/>
    </xf>
    <xf numFmtId="0" fontId="10" fillId="0" borderId="0" xfId="0" applyNumberFormat="1" applyFont="1" applyFill="1" applyBorder="1" applyAlignment="1" applyProtection="1">
      <alignment horizontal="center" vertical="center" wrapText="1"/>
      <protection locked="0"/>
    </xf>
    <xf numFmtId="0" fontId="31" fillId="0" borderId="0" xfId="3" applyNumberFormat="1" applyFont="1" applyFill="1" applyBorder="1" applyAlignment="1" applyProtection="1">
      <alignment horizontal="center" vertical="center" wrapText="1"/>
      <protection locked="0"/>
    </xf>
    <xf numFmtId="0" fontId="25" fillId="0" borderId="0" xfId="3" applyNumberFormat="1" applyFont="1" applyFill="1" applyBorder="1" applyAlignment="1" applyProtection="1">
      <alignment horizontal="center" vertical="center" wrapText="1"/>
      <protection locked="0"/>
    </xf>
    <xf numFmtId="0" fontId="33" fillId="0" borderId="0" xfId="3" applyNumberFormat="1" applyFont="1" applyFill="1" applyBorder="1" applyAlignment="1" applyProtection="1">
      <alignment horizontal="center" vertical="center" wrapText="1"/>
      <protection locked="0"/>
    </xf>
    <xf numFmtId="0" fontId="31" fillId="0" borderId="0" xfId="4" applyNumberFormat="1" applyFont="1" applyFill="1" applyBorder="1" applyAlignment="1" applyProtection="1">
      <alignment horizontal="center" vertical="center" wrapText="1"/>
      <protection locked="0"/>
    </xf>
    <xf numFmtId="0" fontId="26" fillId="0" borderId="73" xfId="0" applyNumberFormat="1" applyFont="1" applyFill="1" applyBorder="1" applyAlignment="1" applyProtection="1">
      <alignment horizontal="center" vertical="center" wrapText="1"/>
      <protection locked="0"/>
    </xf>
    <xf numFmtId="0" fontId="26" fillId="0" borderId="74" xfId="0" applyNumberFormat="1" applyFont="1" applyFill="1" applyBorder="1" applyAlignment="1" applyProtection="1">
      <alignment horizontal="center" vertical="center" wrapText="1"/>
      <protection locked="0"/>
    </xf>
    <xf numFmtId="0" fontId="0" fillId="0" borderId="0" xfId="0"/>
    <xf numFmtId="14" fontId="0" fillId="0" borderId="0" xfId="0" applyNumberFormat="1"/>
    <xf numFmtId="167" fontId="2" fillId="0" borderId="76" xfId="0" applyNumberFormat="1" applyFont="1" applyFill="1" applyBorder="1" applyAlignment="1">
      <alignment horizontal="center" vertical="center" wrapText="1"/>
    </xf>
    <xf numFmtId="167" fontId="2" fillId="0" borderId="75" xfId="0" applyNumberFormat="1" applyFont="1" applyFill="1" applyBorder="1" applyAlignment="1">
      <alignment horizontal="center" vertical="center" wrapText="1"/>
    </xf>
    <xf numFmtId="167" fontId="2" fillId="0" borderId="77" xfId="0" applyNumberFormat="1" applyFont="1" applyFill="1" applyBorder="1" applyAlignment="1">
      <alignment horizontal="center" vertical="center" wrapText="1"/>
    </xf>
    <xf numFmtId="14" fontId="1" fillId="14" borderId="42" xfId="0" applyNumberFormat="1" applyFont="1" applyFill="1" applyBorder="1" applyAlignment="1">
      <alignment horizontal="center" vertical="center" wrapText="1"/>
    </xf>
    <xf numFmtId="14" fontId="2" fillId="3" borderId="29" xfId="0" applyNumberFormat="1" applyFont="1" applyFill="1" applyBorder="1" applyAlignment="1">
      <alignment horizontal="center" vertical="center" wrapText="1"/>
    </xf>
    <xf numFmtId="14" fontId="0" fillId="0" borderId="0" xfId="0" applyNumberFormat="1" applyAlignment="1">
      <alignment wrapText="1"/>
    </xf>
    <xf numFmtId="0" fontId="81" fillId="0" borderId="0" xfId="0" applyFont="1" applyFill="1"/>
    <xf numFmtId="166" fontId="2" fillId="2" borderId="30" xfId="0" applyNumberFormat="1" applyFont="1" applyFill="1" applyBorder="1" applyAlignment="1">
      <alignment horizontal="center" vertical="center" wrapText="1"/>
    </xf>
    <xf numFmtId="0" fontId="0" fillId="0" borderId="84" xfId="0" applyFont="1" applyBorder="1" applyAlignment="1">
      <alignment horizontal="center" vertical="center"/>
    </xf>
    <xf numFmtId="0" fontId="5" fillId="0" borderId="19" xfId="0" applyFont="1" applyBorder="1" applyAlignment="1" applyProtection="1">
      <alignment horizontal="center" vertical="center" wrapText="1"/>
    </xf>
    <xf numFmtId="0" fontId="6" fillId="0" borderId="83" xfId="0" applyNumberFormat="1" applyFont="1" applyBorder="1" applyAlignment="1">
      <alignment horizontal="center" vertical="center"/>
    </xf>
    <xf numFmtId="0" fontId="82" fillId="112" borderId="80" xfId="2" applyFont="1" applyFill="1" applyBorder="1" applyAlignment="1">
      <alignment horizontal="center" vertical="center" wrapText="1"/>
    </xf>
    <xf numFmtId="0" fontId="5" fillId="0" borderId="30" xfId="0" applyFont="1" applyBorder="1" applyAlignment="1" applyProtection="1">
      <alignment horizontal="center" vertical="center" wrapText="1"/>
    </xf>
    <xf numFmtId="0" fontId="82" fillId="112" borderId="81" xfId="2" applyFont="1" applyFill="1" applyBorder="1" applyAlignment="1">
      <alignment horizontal="center" vertical="center" wrapText="1"/>
    </xf>
    <xf numFmtId="15" fontId="2" fillId="2" borderId="85" xfId="0" applyNumberFormat="1" applyFont="1" applyFill="1" applyBorder="1" applyAlignment="1">
      <alignment horizontal="center" vertical="center" wrapText="1"/>
    </xf>
    <xf numFmtId="14" fontId="2" fillId="2" borderId="31" xfId="0" applyNumberFormat="1" applyFont="1" applyFill="1" applyBorder="1" applyAlignment="1">
      <alignment horizontal="center" vertical="center" wrapText="1"/>
    </xf>
    <xf numFmtId="0" fontId="2" fillId="14" borderId="30" xfId="0" applyFont="1" applyFill="1" applyBorder="1" applyAlignment="1">
      <alignment horizontal="center" vertical="center" wrapText="1"/>
    </xf>
    <xf numFmtId="14" fontId="6" fillId="0" borderId="82" xfId="0" applyNumberFormat="1" applyFont="1" applyBorder="1" applyAlignment="1">
      <alignment horizontal="left" vertical="center" wrapText="1"/>
    </xf>
    <xf numFmtId="0" fontId="2" fillId="14" borderId="19" xfId="0" applyFont="1" applyFill="1" applyBorder="1" applyAlignment="1">
      <alignment horizontal="center" vertical="center" wrapText="1"/>
    </xf>
    <xf numFmtId="0" fontId="82" fillId="112" borderId="79" xfId="2" applyFont="1" applyFill="1" applyBorder="1" applyAlignment="1">
      <alignment horizontal="center" vertical="center" wrapText="1"/>
    </xf>
    <xf numFmtId="14" fontId="2" fillId="2" borderId="86" xfId="0" applyNumberFormat="1" applyFont="1" applyFill="1" applyBorder="1" applyAlignment="1">
      <alignment horizontal="center" vertical="center" wrapText="1"/>
    </xf>
    <xf numFmtId="15" fontId="2" fillId="0" borderId="30" xfId="0" applyNumberFormat="1" applyFont="1" applyFill="1" applyBorder="1" applyAlignment="1">
      <alignment horizontal="center" vertical="center" wrapText="1"/>
    </xf>
    <xf numFmtId="0" fontId="2" fillId="0" borderId="31" xfId="0" applyFont="1" applyBorder="1" applyAlignment="1" applyProtection="1">
      <alignment horizontal="center" vertical="center" wrapText="1"/>
    </xf>
    <xf numFmtId="0" fontId="6" fillId="0" borderId="82" xfId="0" applyFont="1" applyBorder="1" applyAlignment="1">
      <alignment horizontal="left" vertical="center" wrapText="1"/>
    </xf>
    <xf numFmtId="15" fontId="5" fillId="2" borderId="29" xfId="0" applyNumberFormat="1" applyFont="1" applyFill="1" applyBorder="1" applyAlignment="1">
      <alignment horizontal="center" vertical="center" wrapText="1"/>
    </xf>
    <xf numFmtId="15" fontId="2" fillId="2" borderId="30" xfId="0" applyNumberFormat="1" applyFont="1" applyFill="1" applyBorder="1" applyAlignment="1">
      <alignment horizontal="center" vertical="center" wrapText="1"/>
    </xf>
    <xf numFmtId="0" fontId="2" fillId="14" borderId="31" xfId="0" applyFont="1" applyFill="1" applyBorder="1" applyAlignment="1">
      <alignment horizontal="center" vertical="center" wrapText="1"/>
    </xf>
    <xf numFmtId="14" fontId="2" fillId="2" borderId="4" xfId="0" applyNumberFormat="1" applyFont="1" applyFill="1" applyBorder="1" applyAlignment="1">
      <alignment horizontal="center" vertical="center" wrapText="1"/>
    </xf>
    <xf numFmtId="0" fontId="2" fillId="14" borderId="29" xfId="0" applyFont="1" applyFill="1" applyBorder="1" applyAlignment="1">
      <alignment horizontal="center" vertical="center" wrapText="1"/>
    </xf>
    <xf numFmtId="14" fontId="0" fillId="0" borderId="0" xfId="0" applyNumberFormat="1" applyFont="1" applyFill="1" applyBorder="1"/>
    <xf numFmtId="15" fontId="2" fillId="2" borderId="29" xfId="0" applyNumberFormat="1" applyFont="1" applyFill="1" applyBorder="1" applyAlignment="1">
      <alignment horizontal="center" vertical="center" wrapText="1"/>
    </xf>
    <xf numFmtId="166" fontId="5" fillId="2" borderId="30" xfId="0" applyNumberFormat="1" applyFont="1" applyFill="1" applyBorder="1" applyAlignment="1">
      <alignment horizontal="center" vertical="center" wrapText="1"/>
    </xf>
    <xf numFmtId="0" fontId="6" fillId="0" borderId="80" xfId="0" applyNumberFormat="1" applyFont="1" applyBorder="1" applyAlignment="1">
      <alignment horizontal="center" vertical="center"/>
    </xf>
    <xf numFmtId="0" fontId="5" fillId="0" borderId="38" xfId="0" applyFont="1" applyBorder="1" applyAlignment="1" applyProtection="1">
      <alignment horizontal="center" vertical="center" wrapText="1"/>
    </xf>
    <xf numFmtId="0" fontId="80" fillId="0" borderId="0" xfId="0" applyFont="1" applyFill="1" applyBorder="1"/>
    <xf numFmtId="0" fontId="0" fillId="0" borderId="0" xfId="0" applyFont="1" applyFill="1" applyBorder="1"/>
    <xf numFmtId="14" fontId="6" fillId="0" borderId="0" xfId="0" applyNumberFormat="1" applyFont="1" applyFill="1" applyBorder="1"/>
    <xf numFmtId="14" fontId="2" fillId="2" borderId="5" xfId="0" applyNumberFormat="1" applyFont="1" applyFill="1" applyBorder="1" applyAlignment="1">
      <alignment horizontal="center" vertical="center" wrapText="1"/>
    </xf>
    <xf numFmtId="15" fontId="5" fillId="0" borderId="30" xfId="0" applyNumberFormat="1" applyFont="1" applyFill="1" applyBorder="1" applyAlignment="1">
      <alignment horizontal="center" vertical="center" wrapText="1"/>
    </xf>
    <xf numFmtId="15" fontId="5" fillId="2" borderId="5" xfId="0" applyNumberFormat="1" applyFont="1" applyFill="1" applyBorder="1" applyAlignment="1">
      <alignment horizontal="center" vertical="center" wrapText="1"/>
    </xf>
    <xf numFmtId="0" fontId="2" fillId="0" borderId="30" xfId="0" applyFont="1" applyBorder="1" applyAlignment="1" applyProtection="1">
      <alignment horizontal="center" vertical="center" wrapText="1"/>
    </xf>
    <xf numFmtId="0" fontId="19" fillId="112" borderId="0" xfId="0" applyFont="1" applyFill="1" applyBorder="1"/>
    <xf numFmtId="0" fontId="0" fillId="0" borderId="81" xfId="0" applyFont="1" applyBorder="1" applyAlignment="1">
      <alignment horizontal="center" vertical="center"/>
    </xf>
    <xf numFmtId="14" fontId="2" fillId="3" borderId="85" xfId="0" applyNumberFormat="1" applyFont="1" applyFill="1" applyBorder="1" applyAlignment="1">
      <alignment horizontal="center" vertical="center" wrapText="1"/>
    </xf>
    <xf numFmtId="0" fontId="2" fillId="14" borderId="30" xfId="0" applyFont="1" applyFill="1" applyBorder="1" applyAlignment="1" applyProtection="1">
      <alignment horizontal="center" vertical="center" wrapText="1"/>
    </xf>
    <xf numFmtId="0" fontId="2" fillId="14" borderId="38" xfId="0" applyFont="1" applyFill="1" applyBorder="1" applyAlignment="1">
      <alignment horizontal="center" vertical="center" wrapText="1"/>
    </xf>
    <xf numFmtId="0" fontId="1" fillId="0" borderId="12" xfId="0" applyFont="1" applyBorder="1" applyAlignment="1">
      <alignment horizontal="center" vertical="center" wrapText="1"/>
    </xf>
    <xf numFmtId="14" fontId="11" fillId="0" borderId="78" xfId="0" applyNumberFormat="1" applyFont="1" applyBorder="1" applyAlignment="1" applyProtection="1">
      <alignment horizontal="center" vertical="center" wrapText="1"/>
    </xf>
    <xf numFmtId="0" fontId="9" fillId="0" borderId="0" xfId="0" applyFont="1" applyAlignment="1">
      <alignment vertical="center" wrapText="1"/>
    </xf>
    <xf numFmtId="0" fontId="5" fillId="2" borderId="1"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17" fillId="3" borderId="1" xfId="0" applyFont="1" applyFill="1" applyBorder="1" applyAlignment="1">
      <alignment horizontal="center" vertical="center" wrapText="1"/>
    </xf>
    <xf numFmtId="167" fontId="2" fillId="3" borderId="1" xfId="0" applyNumberFormat="1" applyFont="1" applyFill="1" applyBorder="1" applyAlignment="1">
      <alignment horizontal="center" vertical="center" wrapText="1"/>
    </xf>
    <xf numFmtId="167" fontId="2" fillId="3" borderId="5" xfId="0" applyNumberFormat="1" applyFont="1" applyFill="1" applyBorder="1" applyAlignment="1">
      <alignment horizontal="center" vertical="center" wrapText="1"/>
    </xf>
    <xf numFmtId="10" fontId="2" fillId="2" borderId="1" xfId="0" applyNumberFormat="1" applyFont="1" applyFill="1" applyBorder="1" applyAlignment="1">
      <alignment horizontal="center" vertical="center" wrapText="1"/>
    </xf>
    <xf numFmtId="0" fontId="2" fillId="0" borderId="3" xfId="0" applyFont="1" applyBorder="1" applyAlignment="1">
      <alignment horizontal="center" vertical="center" wrapText="1"/>
    </xf>
    <xf numFmtId="0" fontId="2" fillId="0" borderId="1" xfId="0" applyFont="1" applyBorder="1" applyAlignment="1">
      <alignment horizontal="center" vertical="center" wrapText="1"/>
    </xf>
    <xf numFmtId="14" fontId="2" fillId="3" borderId="5" xfId="0" applyNumberFormat="1" applyFont="1" applyFill="1" applyBorder="1" applyAlignment="1">
      <alignment horizontal="center" vertical="center" wrapText="1"/>
    </xf>
    <xf numFmtId="0" fontId="1" fillId="0" borderId="12" xfId="0" applyFont="1" applyBorder="1" applyAlignment="1">
      <alignment horizontal="center" vertical="center" wrapText="1"/>
    </xf>
    <xf numFmtId="14" fontId="11" fillId="0" borderId="78" xfId="0" applyNumberFormat="1" applyFont="1" applyBorder="1" applyAlignment="1" applyProtection="1">
      <alignment horizontal="center" vertical="center" wrapText="1"/>
    </xf>
    <xf numFmtId="15" fontId="5" fillId="2" borderId="30" xfId="0" applyNumberFormat="1" applyFont="1" applyFill="1" applyBorder="1" applyAlignment="1">
      <alignment horizontal="center" vertical="center" wrapText="1"/>
    </xf>
    <xf numFmtId="0" fontId="6" fillId="0" borderId="80" xfId="0" applyNumberFormat="1" applyFont="1" applyFill="1" applyBorder="1" applyAlignment="1">
      <alignment horizontal="center" vertical="center"/>
    </xf>
    <xf numFmtId="0" fontId="0" fillId="0" borderId="0" xfId="0"/>
    <xf numFmtId="0" fontId="5" fillId="2" borderId="1"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2" fillId="14" borderId="1" xfId="0" applyFont="1" applyFill="1" applyBorder="1" applyAlignment="1">
      <alignment horizontal="center" vertical="center" wrapText="1"/>
    </xf>
    <xf numFmtId="0" fontId="2" fillId="14" borderId="1" xfId="0" applyFont="1" applyFill="1" applyBorder="1" applyAlignment="1" applyProtection="1">
      <alignment horizontal="center" vertical="center" wrapText="1"/>
    </xf>
    <xf numFmtId="166" fontId="2" fillId="2" borderId="1" xfId="0" applyNumberFormat="1" applyFont="1" applyFill="1" applyBorder="1" applyAlignment="1">
      <alignment horizontal="center" vertical="center" wrapText="1"/>
    </xf>
    <xf numFmtId="0" fontId="2" fillId="2" borderId="3" xfId="0" applyFont="1" applyFill="1" applyBorder="1" applyAlignment="1">
      <alignment horizontal="center" vertical="center" wrapText="1"/>
    </xf>
    <xf numFmtId="0" fontId="17" fillId="3" borderId="1" xfId="0" applyFont="1" applyFill="1" applyBorder="1" applyAlignment="1">
      <alignment horizontal="center" vertical="center" wrapText="1"/>
    </xf>
    <xf numFmtId="0" fontId="2" fillId="14" borderId="18" xfId="0" applyFont="1" applyFill="1" applyBorder="1" applyAlignment="1">
      <alignment horizontal="center" vertical="center" wrapText="1"/>
    </xf>
    <xf numFmtId="166" fontId="5" fillId="2" borderId="1" xfId="0" applyNumberFormat="1" applyFont="1" applyFill="1" applyBorder="1" applyAlignment="1">
      <alignment horizontal="center" vertical="center" wrapText="1"/>
    </xf>
    <xf numFmtId="15" fontId="2" fillId="2" borderId="18" xfId="0" applyNumberFormat="1" applyFont="1" applyFill="1" applyBorder="1" applyAlignment="1">
      <alignment horizontal="center" vertical="center" wrapText="1"/>
    </xf>
    <xf numFmtId="15" fontId="2" fillId="2" borderId="1" xfId="0" applyNumberFormat="1" applyFont="1" applyFill="1" applyBorder="1" applyAlignment="1">
      <alignment horizontal="center" vertical="center" wrapText="1"/>
    </xf>
    <xf numFmtId="0" fontId="2" fillId="0" borderId="1" xfId="0" applyFont="1" applyBorder="1" applyAlignment="1" applyProtection="1">
      <alignment horizontal="center" vertical="center" wrapText="1"/>
    </xf>
    <xf numFmtId="0" fontId="2" fillId="0" borderId="19" xfId="0" applyFont="1" applyBorder="1" applyAlignment="1" applyProtection="1">
      <alignment horizontal="center" vertical="center" wrapText="1"/>
    </xf>
    <xf numFmtId="15" fontId="5" fillId="2" borderId="18" xfId="0" applyNumberFormat="1" applyFont="1" applyFill="1" applyBorder="1" applyAlignment="1">
      <alignment horizontal="center" vertical="center" wrapText="1"/>
    </xf>
    <xf numFmtId="15" fontId="5" fillId="2" borderId="1" xfId="0" applyNumberFormat="1" applyFont="1" applyFill="1" applyBorder="1" applyAlignment="1">
      <alignment horizontal="center" vertical="center" wrapText="1"/>
    </xf>
    <xf numFmtId="0" fontId="5" fillId="0" borderId="1" xfId="0" applyFont="1" applyBorder="1" applyAlignment="1" applyProtection="1">
      <alignment horizontal="center" vertical="center" wrapText="1"/>
    </xf>
    <xf numFmtId="0" fontId="5" fillId="0" borderId="3" xfId="0" applyFont="1" applyBorder="1" applyAlignment="1" applyProtection="1">
      <alignment horizontal="center" vertical="center" wrapText="1"/>
    </xf>
    <xf numFmtId="167" fontId="2" fillId="3" borderId="18" xfId="0" applyNumberFormat="1" applyFont="1" applyFill="1" applyBorder="1" applyAlignment="1">
      <alignment horizontal="center" vertical="center" wrapText="1"/>
    </xf>
    <xf numFmtId="167" fontId="2" fillId="3" borderId="1" xfId="0" applyNumberFormat="1" applyFont="1" applyFill="1" applyBorder="1" applyAlignment="1">
      <alignment horizontal="center" vertical="center" wrapText="1"/>
    </xf>
    <xf numFmtId="167" fontId="2" fillId="3" borderId="19" xfId="0" applyNumberFormat="1" applyFont="1" applyFill="1" applyBorder="1" applyAlignment="1">
      <alignment horizontal="center" vertical="center" wrapText="1"/>
    </xf>
    <xf numFmtId="167" fontId="2" fillId="3" borderId="5" xfId="0" applyNumberFormat="1" applyFont="1" applyFill="1" applyBorder="1" applyAlignment="1">
      <alignment horizontal="center" vertical="center" wrapText="1"/>
    </xf>
    <xf numFmtId="10" fontId="2" fillId="2" borderId="1" xfId="0" applyNumberFormat="1" applyFont="1" applyFill="1" applyBorder="1" applyAlignment="1">
      <alignment horizontal="center" vertical="center" wrapText="1"/>
    </xf>
    <xf numFmtId="0" fontId="2" fillId="0" borderId="3" xfId="0" applyFont="1" applyBorder="1" applyAlignment="1">
      <alignment horizontal="center" vertical="center" wrapText="1"/>
    </xf>
    <xf numFmtId="0" fontId="2" fillId="0" borderId="1" xfId="0" applyFont="1" applyBorder="1" applyAlignment="1">
      <alignment horizontal="center" vertical="center" wrapText="1"/>
    </xf>
    <xf numFmtId="0" fontId="6" fillId="0" borderId="0" xfId="0" applyNumberFormat="1" applyFont="1" applyAlignment="1">
      <alignment horizontal="center" vertical="center"/>
    </xf>
    <xf numFmtId="15" fontId="2" fillId="0" borderId="1" xfId="0" applyNumberFormat="1" applyFont="1" applyFill="1" applyBorder="1" applyAlignment="1">
      <alignment horizontal="center" vertical="center" wrapText="1"/>
    </xf>
    <xf numFmtId="15" fontId="5" fillId="0" borderId="1" xfId="0" applyNumberFormat="1" applyFont="1" applyFill="1" applyBorder="1" applyAlignment="1">
      <alignment horizontal="center" vertical="center" wrapText="1"/>
    </xf>
    <xf numFmtId="15" fontId="2" fillId="2" borderId="5" xfId="0" applyNumberFormat="1" applyFont="1" applyFill="1" applyBorder="1" applyAlignment="1">
      <alignment horizontal="center" vertical="center" wrapText="1"/>
    </xf>
    <xf numFmtId="14" fontId="2" fillId="3" borderId="5" xfId="0" applyNumberFormat="1" applyFont="1" applyFill="1" applyBorder="1" applyAlignment="1">
      <alignment horizontal="center" vertical="center" wrapText="1"/>
    </xf>
    <xf numFmtId="14" fontId="2" fillId="2" borderId="30" xfId="0" applyNumberFormat="1" applyFont="1" applyFill="1" applyBorder="1" applyAlignment="1">
      <alignment horizontal="center" vertical="center" wrapText="1"/>
    </xf>
    <xf numFmtId="14" fontId="2" fillId="2" borderId="1" xfId="0" applyNumberFormat="1" applyFont="1" applyFill="1" applyBorder="1" applyAlignment="1">
      <alignment horizontal="center" vertical="center" wrapText="1"/>
    </xf>
    <xf numFmtId="14" fontId="2" fillId="2" borderId="19" xfId="0" applyNumberFormat="1" applyFont="1" applyFill="1" applyBorder="1" applyAlignment="1">
      <alignment horizontal="center" vertical="center" wrapText="1"/>
    </xf>
    <xf numFmtId="167" fontId="1" fillId="4" borderId="16" xfId="0" applyNumberFormat="1" applyFont="1" applyFill="1" applyBorder="1" applyAlignment="1">
      <alignment horizontal="center" vertical="center" wrapText="1"/>
    </xf>
    <xf numFmtId="167" fontId="1" fillId="4" borderId="0" xfId="0" applyNumberFormat="1" applyFont="1" applyFill="1" applyBorder="1" applyAlignment="1">
      <alignment horizontal="center" vertical="center" wrapText="1"/>
    </xf>
    <xf numFmtId="167" fontId="1" fillId="4" borderId="17" xfId="0" applyNumberFormat="1" applyFont="1" applyFill="1" applyBorder="1" applyAlignment="1">
      <alignment horizontal="center" vertical="center" wrapText="1"/>
    </xf>
    <xf numFmtId="167" fontId="0" fillId="0" borderId="16" xfId="0" applyNumberFormat="1" applyBorder="1" applyAlignment="1">
      <alignment wrapText="1"/>
    </xf>
    <xf numFmtId="167" fontId="0" fillId="0" borderId="0" xfId="0" applyNumberFormat="1" applyBorder="1" applyAlignment="1">
      <alignment wrapText="1"/>
    </xf>
    <xf numFmtId="167" fontId="0" fillId="0" borderId="17" xfId="0" applyNumberFormat="1" applyBorder="1" applyAlignment="1">
      <alignment wrapText="1"/>
    </xf>
    <xf numFmtId="0" fontId="13" fillId="0" borderId="1" xfId="0" applyFont="1" applyBorder="1"/>
    <xf numFmtId="0" fontId="2" fillId="0" borderId="25" xfId="0" applyFont="1" applyFill="1" applyBorder="1" applyAlignment="1">
      <alignment horizontal="center" vertical="center" wrapText="1"/>
    </xf>
    <xf numFmtId="167" fontId="2" fillId="0" borderId="87" xfId="0" applyNumberFormat="1" applyFont="1" applyFill="1" applyBorder="1" applyAlignment="1">
      <alignment horizontal="center" vertical="center" wrapText="1"/>
    </xf>
    <xf numFmtId="167" fontId="2" fillId="0" borderId="2" xfId="0" applyNumberFormat="1" applyFont="1" applyFill="1" applyBorder="1" applyAlignment="1">
      <alignment horizontal="center" vertical="center" wrapText="1"/>
    </xf>
    <xf numFmtId="0" fontId="2" fillId="0" borderId="0" xfId="0" applyFont="1" applyFill="1" applyBorder="1" applyAlignment="1" applyProtection="1">
      <alignment horizontal="center" vertical="center" wrapText="1"/>
    </xf>
    <xf numFmtId="14" fontId="2" fillId="0" borderId="0" xfId="0" applyNumberFormat="1" applyFont="1" applyFill="1" applyBorder="1" applyAlignment="1">
      <alignment horizontal="center" vertical="center" wrapText="1"/>
    </xf>
    <xf numFmtId="0" fontId="85" fillId="0" borderId="88" xfId="0" applyFont="1" applyFill="1" applyBorder="1" applyAlignment="1">
      <alignment horizontal="center" vertical="center" wrapText="1"/>
    </xf>
    <xf numFmtId="0" fontId="85" fillId="0" borderId="2" xfId="0" applyFont="1" applyFill="1" applyBorder="1" applyAlignment="1">
      <alignment horizontal="center" vertical="center" wrapText="1"/>
    </xf>
    <xf numFmtId="14" fontId="1" fillId="0" borderId="0" xfId="0" applyNumberFormat="1" applyFont="1" applyFill="1" applyBorder="1" applyAlignment="1">
      <alignment horizontal="center" vertical="center" wrapText="1"/>
    </xf>
    <xf numFmtId="167" fontId="2" fillId="0" borderId="0" xfId="0" applyNumberFormat="1" applyFont="1" applyBorder="1" applyAlignment="1">
      <alignment wrapText="1"/>
    </xf>
    <xf numFmtId="0" fontId="2" fillId="13" borderId="2" xfId="0" applyFont="1" applyFill="1" applyBorder="1" applyAlignment="1">
      <alignment horizontal="center" vertical="center" wrapText="1"/>
    </xf>
    <xf numFmtId="167" fontId="84" fillId="0" borderId="25" xfId="0" applyNumberFormat="1" applyFont="1" applyFill="1" applyBorder="1" applyAlignment="1">
      <alignment horizontal="center" vertical="center" wrapText="1"/>
    </xf>
    <xf numFmtId="14" fontId="20" fillId="0" borderId="23" xfId="0" applyNumberFormat="1" applyFont="1" applyFill="1" applyBorder="1" applyAlignment="1">
      <alignment horizontal="center" vertical="center" wrapText="1"/>
    </xf>
    <xf numFmtId="15" fontId="2" fillId="2" borderId="19" xfId="0" applyNumberFormat="1" applyFont="1" applyFill="1" applyBorder="1" applyAlignment="1">
      <alignment horizontal="center" vertical="center" wrapText="1"/>
    </xf>
    <xf numFmtId="15" fontId="2" fillId="2" borderId="40" xfId="0" applyNumberFormat="1" applyFont="1" applyFill="1" applyBorder="1" applyAlignment="1">
      <alignment horizontal="center" vertical="center" wrapText="1"/>
    </xf>
    <xf numFmtId="15" fontId="2" fillId="2" borderId="86" xfId="0" applyNumberFormat="1" applyFont="1" applyFill="1" applyBorder="1" applyAlignment="1">
      <alignment horizontal="center" vertical="center" wrapText="1"/>
    </xf>
    <xf numFmtId="0" fontId="11" fillId="2" borderId="3" xfId="0" applyFont="1" applyFill="1" applyBorder="1" applyAlignment="1" applyProtection="1">
      <alignment horizontal="left" vertical="top" wrapText="1"/>
    </xf>
    <xf numFmtId="0" fontId="31" fillId="0" borderId="89" xfId="4" applyNumberFormat="1" applyFont="1" applyFill="1" applyBorder="1" applyAlignment="1" applyProtection="1">
      <alignment horizontal="center" vertical="center" wrapText="1"/>
      <protection locked="0"/>
    </xf>
    <xf numFmtId="0" fontId="31" fillId="0" borderId="17" xfId="3" applyNumberFormat="1" applyFont="1" applyFill="1" applyBorder="1" applyAlignment="1" applyProtection="1">
      <alignment horizontal="center" vertical="center" wrapText="1"/>
      <protection locked="0"/>
    </xf>
    <xf numFmtId="0" fontId="25" fillId="0" borderId="17" xfId="3" applyNumberFormat="1" applyFont="1" applyFill="1" applyBorder="1" applyAlignment="1" applyProtection="1">
      <alignment horizontal="center" vertical="center" wrapText="1"/>
      <protection locked="0"/>
    </xf>
    <xf numFmtId="0" fontId="31" fillId="0" borderId="17" xfId="3" applyNumberFormat="1" applyFont="1" applyFill="1" applyBorder="1" applyAlignment="1">
      <alignment horizontal="center" vertical="center" wrapText="1"/>
    </xf>
    <xf numFmtId="0" fontId="33" fillId="0" borderId="17" xfId="3" applyNumberFormat="1" applyFont="1" applyFill="1" applyBorder="1" applyAlignment="1" applyProtection="1">
      <alignment horizontal="center" vertical="center" wrapText="1"/>
      <protection locked="0"/>
    </xf>
    <xf numFmtId="0" fontId="31" fillId="0" borderId="90" xfId="4" applyNumberFormat="1" applyFont="1" applyFill="1" applyBorder="1" applyAlignment="1" applyProtection="1">
      <alignment horizontal="center" vertical="center" wrapText="1"/>
      <protection locked="0"/>
    </xf>
    <xf numFmtId="0" fontId="10" fillId="31" borderId="50" xfId="0" applyNumberFormat="1" applyFont="1" applyFill="1" applyBorder="1" applyAlignment="1" applyProtection="1">
      <alignment horizontal="center" vertical="center" wrapText="1"/>
      <protection locked="0"/>
    </xf>
    <xf numFmtId="0" fontId="31" fillId="0" borderId="90" xfId="3" applyNumberFormat="1" applyFont="1" applyFill="1" applyBorder="1" applyAlignment="1" applyProtection="1">
      <alignment horizontal="center" vertical="center" wrapText="1"/>
      <protection locked="0"/>
    </xf>
    <xf numFmtId="0" fontId="26" fillId="0" borderId="91" xfId="0" applyNumberFormat="1" applyFont="1" applyFill="1" applyBorder="1" applyAlignment="1" applyProtection="1">
      <alignment horizontal="center" vertical="center" wrapText="1"/>
      <protection locked="0"/>
    </xf>
    <xf numFmtId="0" fontId="31" fillId="0" borderId="93" xfId="3" applyNumberFormat="1" applyFont="1" applyFill="1" applyBorder="1" applyAlignment="1" applyProtection="1">
      <alignment horizontal="center" vertical="center" wrapText="1"/>
      <protection locked="0"/>
    </xf>
    <xf numFmtId="0" fontId="26" fillId="0" borderId="92" xfId="0" applyNumberFormat="1" applyFont="1" applyFill="1" applyBorder="1" applyAlignment="1" applyProtection="1">
      <alignment horizontal="center" vertical="center" wrapText="1"/>
      <protection locked="0"/>
    </xf>
    <xf numFmtId="0" fontId="0" fillId="0" borderId="95" xfId="0" applyBorder="1"/>
    <xf numFmtId="0" fontId="0" fillId="0" borderId="94" xfId="0" applyBorder="1"/>
    <xf numFmtId="169" fontId="25" fillId="0" borderId="37" xfId="3" applyNumberFormat="1" applyFont="1" applyFill="1" applyBorder="1" applyAlignment="1" applyProtection="1">
      <alignment horizontal="center" vertical="center" wrapText="1"/>
    </xf>
    <xf numFmtId="169" fontId="26" fillId="0" borderId="37" xfId="0" applyNumberFormat="1" applyFont="1" applyFill="1" applyBorder="1" applyAlignment="1">
      <alignment horizontal="center" vertical="center" wrapText="1"/>
    </xf>
    <xf numFmtId="0" fontId="31" fillId="0" borderId="47" xfId="3" applyFont="1" applyFill="1" applyBorder="1" applyAlignment="1">
      <alignment horizontal="center" vertical="center" wrapText="1"/>
    </xf>
    <xf numFmtId="169" fontId="31" fillId="0" borderId="37" xfId="3" applyNumberFormat="1" applyFont="1" applyFill="1" applyBorder="1" applyAlignment="1">
      <alignment horizontal="center" vertical="center" wrapText="1"/>
    </xf>
    <xf numFmtId="0" fontId="86" fillId="0" borderId="96" xfId="0" applyNumberFormat="1" applyFont="1" applyFill="1" applyBorder="1" applyAlignment="1" applyProtection="1">
      <alignment horizontal="left" vertical="center" wrapText="1"/>
    </xf>
    <xf numFmtId="0" fontId="87" fillId="0" borderId="97" xfId="0" applyNumberFormat="1" applyFont="1" applyFill="1" applyBorder="1" applyAlignment="1" applyProtection="1">
      <alignment vertical="center" wrapText="1"/>
    </xf>
    <xf numFmtId="0" fontId="88" fillId="0" borderId="98" xfId="0" applyNumberFormat="1" applyFont="1" applyFill="1" applyBorder="1" applyAlignment="1" applyProtection="1">
      <alignment vertical="center" wrapText="1"/>
    </xf>
    <xf numFmtId="0" fontId="88" fillId="0" borderId="97" xfId="0" applyNumberFormat="1" applyFont="1" applyFill="1" applyBorder="1" applyAlignment="1" applyProtection="1">
      <alignment horizontal="center" vertical="center" wrapText="1"/>
    </xf>
    <xf numFmtId="169" fontId="88" fillId="0" borderId="97" xfId="0" applyNumberFormat="1" applyFont="1" applyFill="1" applyBorder="1" applyAlignment="1" applyProtection="1">
      <alignment horizontal="center" vertical="center" wrapText="1"/>
    </xf>
    <xf numFmtId="170" fontId="88" fillId="0" borderId="97" xfId="0" applyNumberFormat="1" applyFont="1" applyFill="1" applyBorder="1" applyAlignment="1" applyProtection="1">
      <alignment horizontal="center" vertical="center" wrapText="1"/>
    </xf>
    <xf numFmtId="0" fontId="88" fillId="0" borderId="96" xfId="0" applyNumberFormat="1" applyFont="1" applyFill="1" applyBorder="1" applyAlignment="1" applyProtection="1">
      <alignment horizontal="center" vertical="center" wrapText="1"/>
    </xf>
    <xf numFmtId="0" fontId="6" fillId="0" borderId="99" xfId="0" applyFont="1" applyBorder="1" applyAlignment="1">
      <alignment horizontal="left" vertical="center" wrapText="1"/>
    </xf>
    <xf numFmtId="14" fontId="6" fillId="0" borderId="99" xfId="0" applyNumberFormat="1" applyFont="1" applyBorder="1" applyAlignment="1">
      <alignment horizontal="left" vertical="center" wrapText="1"/>
    </xf>
    <xf numFmtId="0" fontId="6" fillId="0" borderId="0" xfId="0" applyNumberFormat="1" applyFont="1" applyBorder="1" applyAlignment="1">
      <alignment horizontal="center" vertical="center"/>
    </xf>
    <xf numFmtId="0" fontId="0" fillId="0" borderId="95" xfId="0" applyFont="1" applyBorder="1" applyAlignment="1">
      <alignment horizontal="center" vertical="center"/>
    </xf>
    <xf numFmtId="0" fontId="6" fillId="0" borderId="100" xfId="0" applyFont="1" applyBorder="1" applyAlignment="1">
      <alignment horizontal="left" vertical="center" wrapText="1"/>
    </xf>
    <xf numFmtId="14" fontId="6" fillId="0" borderId="100" xfId="0" applyNumberFormat="1" applyFont="1" applyBorder="1" applyAlignment="1">
      <alignment horizontal="left" vertical="center" wrapText="1"/>
    </xf>
    <xf numFmtId="0" fontId="6" fillId="0" borderId="100" xfId="0" applyNumberFormat="1" applyFont="1" applyBorder="1" applyAlignment="1">
      <alignment horizontal="center" vertical="center"/>
    </xf>
    <xf numFmtId="0" fontId="0" fillId="0" borderId="100" xfId="0" applyFont="1" applyBorder="1" applyAlignment="1">
      <alignment horizontal="center" vertical="center"/>
    </xf>
    <xf numFmtId="14" fontId="6" fillId="0" borderId="100" xfId="0" applyNumberFormat="1" applyFont="1" applyBorder="1" applyAlignment="1">
      <alignment horizontal="left" vertical="center"/>
    </xf>
    <xf numFmtId="14" fontId="6" fillId="0" borderId="100" xfId="0" applyNumberFormat="1" applyFont="1" applyBorder="1" applyAlignment="1">
      <alignment horizontal="center" vertical="center"/>
    </xf>
    <xf numFmtId="0" fontId="6" fillId="0" borderId="100" xfId="0" applyNumberFormat="1" applyFont="1" applyFill="1" applyBorder="1" applyAlignment="1">
      <alignment horizontal="center" vertical="center"/>
    </xf>
    <xf numFmtId="0" fontId="41" fillId="0" borderId="1" xfId="0" applyFont="1" applyBorder="1" applyAlignment="1">
      <alignment horizontal="left" vertical="top" wrapText="1"/>
    </xf>
    <xf numFmtId="0" fontId="31" fillId="0" borderId="0" xfId="3" applyNumberFormat="1" applyFont="1" applyFill="1" applyBorder="1" applyAlignment="1">
      <alignment horizontal="center" vertical="center" wrapText="1"/>
    </xf>
    <xf numFmtId="0" fontId="10" fillId="31" borderId="0" xfId="0" applyFont="1" applyFill="1" applyBorder="1" applyAlignment="1" applyProtection="1">
      <alignment horizontal="center" vertical="center"/>
      <protection locked="0"/>
    </xf>
    <xf numFmtId="0" fontId="2" fillId="0" borderId="0" xfId="0" applyFont="1" applyAlignment="1">
      <alignment wrapText="1"/>
    </xf>
    <xf numFmtId="0" fontId="2" fillId="0" borderId="0" xfId="0" applyFont="1" applyFill="1"/>
    <xf numFmtId="0" fontId="2" fillId="0" borderId="0" xfId="0" applyNumberFormat="1" applyFont="1" applyAlignment="1">
      <alignment wrapText="1"/>
    </xf>
    <xf numFmtId="0" fontId="40" fillId="113" borderId="18" xfId="1" applyFont="1" applyFill="1" applyBorder="1"/>
    <xf numFmtId="0" fontId="21" fillId="113" borderId="32" xfId="1" applyFont="1" applyFill="1" applyBorder="1"/>
    <xf numFmtId="0" fontId="6" fillId="113" borderId="32" xfId="1" applyFont="1" applyFill="1" applyBorder="1"/>
    <xf numFmtId="0" fontId="6" fillId="113" borderId="33" xfId="1" applyFont="1" applyFill="1" applyBorder="1"/>
    <xf numFmtId="0" fontId="18" fillId="113" borderId="0" xfId="1" applyFill="1"/>
    <xf numFmtId="168" fontId="6" fillId="113" borderId="29" xfId="1" applyNumberFormat="1" applyFont="1" applyFill="1" applyBorder="1"/>
    <xf numFmtId="168" fontId="6" fillId="113" borderId="30" xfId="1" applyNumberFormat="1" applyFont="1" applyFill="1" applyBorder="1"/>
    <xf numFmtId="0" fontId="0" fillId="113" borderId="0" xfId="0" applyFill="1"/>
    <xf numFmtId="0" fontId="40" fillId="113" borderId="52" xfId="1" applyFont="1" applyFill="1" applyBorder="1"/>
    <xf numFmtId="0" fontId="27" fillId="0" borderId="0" xfId="0" applyFont="1" applyFill="1" applyAlignment="1">
      <alignment horizontal="left"/>
    </xf>
    <xf numFmtId="0" fontId="12" fillId="3" borderId="4" xfId="0" applyFont="1" applyFill="1" applyBorder="1" applyAlignment="1">
      <alignment horizontal="center" wrapText="1"/>
    </xf>
    <xf numFmtId="0" fontId="11" fillId="20" borderId="4" xfId="0" applyFont="1" applyFill="1" applyBorder="1" applyAlignment="1">
      <alignment horizontal="center" vertical="center" wrapText="1"/>
    </xf>
    <xf numFmtId="0" fontId="10" fillId="21" borderId="13" xfId="0" applyFont="1" applyFill="1" applyBorder="1" applyAlignment="1">
      <alignment horizontal="center" vertical="center" wrapText="1"/>
    </xf>
    <xf numFmtId="0" fontId="10" fillId="21" borderId="14" xfId="0" applyFont="1" applyFill="1" applyBorder="1" applyAlignment="1">
      <alignment horizontal="center" vertical="center" wrapText="1"/>
    </xf>
    <xf numFmtId="0" fontId="11" fillId="111" borderId="13" xfId="0" applyFont="1" applyFill="1" applyBorder="1" applyAlignment="1">
      <alignment horizontal="center" vertical="center" wrapText="1"/>
    </xf>
    <xf numFmtId="0" fontId="11" fillId="111" borderId="14" xfId="0" applyFont="1" applyFill="1" applyBorder="1" applyAlignment="1">
      <alignment horizontal="center" vertical="center" wrapText="1"/>
    </xf>
    <xf numFmtId="0" fontId="11" fillId="111" borderId="15" xfId="0" applyFont="1" applyFill="1" applyBorder="1" applyAlignment="1">
      <alignment horizontal="center" vertical="center" wrapText="1"/>
    </xf>
    <xf numFmtId="0" fontId="1" fillId="18" borderId="0" xfId="0" applyFont="1" applyFill="1" applyAlignment="1">
      <alignment horizontal="center" vertical="center" wrapText="1"/>
    </xf>
    <xf numFmtId="0" fontId="11" fillId="19" borderId="4" xfId="0" applyFont="1" applyFill="1" applyBorder="1" applyAlignment="1">
      <alignment horizontal="center" vertical="center" wrapText="1"/>
    </xf>
    <xf numFmtId="0" fontId="11" fillId="19" borderId="4" xfId="0" applyFont="1" applyFill="1" applyBorder="1" applyAlignment="1">
      <alignment horizontal="left" vertical="center" wrapText="1"/>
    </xf>
    <xf numFmtId="0" fontId="1" fillId="110" borderId="13" xfId="0" applyFont="1" applyFill="1" applyBorder="1" applyAlignment="1">
      <alignment horizontal="center" vertical="center" wrapText="1"/>
    </xf>
    <xf numFmtId="0" fontId="1" fillId="110" borderId="14" xfId="0" applyFont="1" applyFill="1" applyBorder="1" applyAlignment="1">
      <alignment horizontal="center" vertical="center" wrapText="1"/>
    </xf>
    <xf numFmtId="0" fontId="1" fillId="110" borderId="15" xfId="0" applyFont="1" applyFill="1" applyBorder="1" applyAlignment="1">
      <alignment horizontal="center" vertical="center" wrapText="1"/>
    </xf>
    <xf numFmtId="0" fontId="1" fillId="15" borderId="14" xfId="0" applyFont="1" applyFill="1" applyBorder="1" applyAlignment="1">
      <alignment horizontal="center" vertical="center" wrapText="1"/>
    </xf>
    <xf numFmtId="0" fontId="1" fillId="15" borderId="15" xfId="0" applyFont="1" applyFill="1" applyBorder="1" applyAlignment="1">
      <alignment horizontal="center" vertical="center" wrapText="1"/>
    </xf>
    <xf numFmtId="0" fontId="1" fillId="23" borderId="13" xfId="0" applyFont="1" applyFill="1" applyBorder="1" applyAlignment="1">
      <alignment horizontal="center" vertical="center" wrapText="1"/>
    </xf>
    <xf numFmtId="0" fontId="1" fillId="23" borderId="14" xfId="0" applyFont="1" applyFill="1" applyBorder="1" applyAlignment="1">
      <alignment horizontal="center" vertical="center" wrapText="1"/>
    </xf>
    <xf numFmtId="0" fontId="1" fillId="23" borderId="15" xfId="0" applyFont="1" applyFill="1" applyBorder="1" applyAlignment="1">
      <alignment horizontal="center" vertical="center" wrapText="1"/>
    </xf>
    <xf numFmtId="0" fontId="11" fillId="109" borderId="13" xfId="0" applyFont="1" applyFill="1" applyBorder="1" applyAlignment="1">
      <alignment horizontal="center" vertical="center" wrapText="1"/>
    </xf>
    <xf numFmtId="0" fontId="11" fillId="109" borderId="14" xfId="0" applyFont="1" applyFill="1" applyBorder="1" applyAlignment="1">
      <alignment horizontal="center" vertical="center" wrapText="1"/>
    </xf>
    <xf numFmtId="0" fontId="11" fillId="109" borderId="15" xfId="0" applyFont="1" applyFill="1" applyBorder="1" applyAlignment="1">
      <alignment horizontal="center" vertical="center" wrapText="1"/>
    </xf>
    <xf numFmtId="0" fontId="10" fillId="31" borderId="16" xfId="0" applyFont="1" applyFill="1" applyBorder="1" applyAlignment="1" applyProtection="1">
      <alignment horizontal="center" vertical="center"/>
      <protection locked="0"/>
    </xf>
    <xf numFmtId="0" fontId="10" fillId="31" borderId="0" xfId="0" applyFont="1" applyFill="1" applyBorder="1" applyAlignment="1" applyProtection="1">
      <alignment horizontal="center" vertical="center"/>
      <protection locked="0"/>
    </xf>
    <xf numFmtId="0" fontId="10" fillId="75" borderId="0" xfId="0" applyFont="1" applyFill="1" applyBorder="1" applyAlignment="1">
      <alignment horizontal="center" vertical="center" wrapText="1"/>
    </xf>
    <xf numFmtId="0" fontId="2" fillId="13" borderId="23" xfId="0" applyFont="1" applyFill="1" applyBorder="1" applyAlignment="1">
      <alignment horizontal="center" vertical="center" wrapText="1"/>
    </xf>
    <xf numFmtId="0" fontId="2" fillId="13" borderId="24" xfId="0" applyFont="1" applyFill="1" applyBorder="1" applyAlignment="1">
      <alignment horizontal="center" vertical="center" wrapText="1"/>
    </xf>
    <xf numFmtId="0" fontId="2" fillId="13" borderId="25" xfId="0" applyFont="1" applyFill="1" applyBorder="1" applyAlignment="1">
      <alignment horizontal="center" vertical="center" wrapText="1"/>
    </xf>
    <xf numFmtId="0" fontId="11" fillId="30" borderId="13" xfId="0" applyFont="1" applyFill="1" applyBorder="1" applyAlignment="1">
      <alignment horizontal="center" vertical="center" wrapText="1"/>
    </xf>
    <xf numFmtId="0" fontId="11" fillId="30" borderId="14" xfId="0" applyFont="1" applyFill="1" applyBorder="1" applyAlignment="1">
      <alignment horizontal="center" vertical="center" wrapText="1"/>
    </xf>
    <xf numFmtId="0" fontId="11" fillId="30" borderId="15" xfId="0" applyFont="1" applyFill="1" applyBorder="1" applyAlignment="1">
      <alignment horizontal="center" vertical="center" wrapText="1"/>
    </xf>
    <xf numFmtId="0" fontId="1" fillId="15" borderId="13" xfId="0" applyFont="1" applyFill="1" applyBorder="1" applyAlignment="1">
      <alignment horizontal="center" vertical="center" wrapText="1"/>
    </xf>
    <xf numFmtId="0" fontId="1" fillId="16" borderId="13" xfId="0" applyFont="1" applyFill="1" applyBorder="1" applyAlignment="1">
      <alignment horizontal="center" vertical="center" wrapText="1"/>
    </xf>
    <xf numFmtId="0" fontId="1" fillId="16" borderId="14" xfId="0" applyFont="1" applyFill="1" applyBorder="1" applyAlignment="1">
      <alignment horizontal="center" vertical="center" wrapText="1"/>
    </xf>
    <xf numFmtId="0" fontId="1" fillId="16" borderId="15" xfId="0" applyFont="1" applyFill="1" applyBorder="1" applyAlignment="1">
      <alignment horizontal="center" vertical="center" wrapText="1"/>
    </xf>
    <xf numFmtId="0" fontId="11" fillId="17" borderId="13" xfId="0" applyFont="1" applyFill="1" applyBorder="1" applyAlignment="1">
      <alignment horizontal="center" vertical="center" wrapText="1"/>
    </xf>
    <xf numFmtId="0" fontId="11" fillId="17" borderId="14" xfId="0" applyFont="1" applyFill="1" applyBorder="1" applyAlignment="1">
      <alignment horizontal="center" vertical="center" wrapText="1"/>
    </xf>
    <xf numFmtId="0" fontId="11" fillId="17" borderId="15" xfId="0" applyFont="1" applyFill="1" applyBorder="1" applyAlignment="1">
      <alignment horizontal="center" vertical="center" wrapText="1"/>
    </xf>
    <xf numFmtId="0" fontId="34" fillId="33" borderId="50" xfId="0" applyNumberFormat="1" applyFont="1" applyFill="1" applyBorder="1" applyAlignment="1" applyProtection="1">
      <alignment horizontal="center" vertical="center"/>
    </xf>
    <xf numFmtId="0" fontId="34" fillId="33" borderId="51" xfId="0" applyNumberFormat="1" applyFont="1" applyFill="1" applyBorder="1" applyAlignment="1" applyProtection="1">
      <alignment horizontal="center" vertical="center"/>
    </xf>
    <xf numFmtId="0" fontId="34" fillId="33" borderId="44" xfId="0" applyNumberFormat="1" applyFont="1" applyFill="1" applyBorder="1" applyAlignment="1" applyProtection="1">
      <alignment horizontal="center" vertical="center"/>
    </xf>
    <xf numFmtId="0" fontId="19" fillId="24" borderId="23" xfId="1" applyFont="1" applyFill="1" applyBorder="1" applyAlignment="1">
      <alignment horizontal="center" vertical="top"/>
    </xf>
    <xf numFmtId="0" fontId="19" fillId="24" borderId="24" xfId="1" applyFont="1" applyFill="1" applyBorder="1" applyAlignment="1">
      <alignment horizontal="center" vertical="top"/>
    </xf>
  </cellXfs>
  <cellStyles count="5602">
    <cellStyle name="20% - Accent1" xfId="125" builtinId="30" customBuiltin="1"/>
    <cellStyle name="20% - Accent1 10" xfId="1009"/>
    <cellStyle name="20% - Accent1 10 2" xfId="2325"/>
    <cellStyle name="20% - Accent1 10 2 2" xfId="4949"/>
    <cellStyle name="20% - Accent1 10 3" xfId="3639"/>
    <cellStyle name="20% - Accent1 11" xfId="1653"/>
    <cellStyle name="20% - Accent1 11 2" xfId="2966"/>
    <cellStyle name="20% - Accent1 11 2 2" xfId="5590"/>
    <cellStyle name="20% - Accent1 11 3" xfId="4280"/>
    <cellStyle name="20% - Accent1 12" xfId="1668"/>
    <cellStyle name="20% - Accent1 12 2" xfId="4295"/>
    <cellStyle name="20% - Accent1 13" xfId="2982"/>
    <cellStyle name="20% - Accent1 2" xfId="7"/>
    <cellStyle name="20% - Accent1 2 2" xfId="401"/>
    <cellStyle name="20% - Accent1 2 2 2" xfId="816"/>
    <cellStyle name="20% - Accent1 2 2 2 2" xfId="1474"/>
    <cellStyle name="20% - Accent1 2 2 2 2 2" xfId="2787"/>
    <cellStyle name="20% - Accent1 2 2 2 2 2 2" xfId="5411"/>
    <cellStyle name="20% - Accent1 2 2 2 2 3" xfId="4101"/>
    <cellStyle name="20% - Accent1 2 2 2 3" xfId="2133"/>
    <cellStyle name="20% - Accent1 2 2 2 3 2" xfId="4757"/>
    <cellStyle name="20% - Accent1 2 2 2 4" xfId="3447"/>
    <cellStyle name="20% - Accent1 2 2 3" xfId="1160"/>
    <cellStyle name="20% - Accent1 2 2 3 2" xfId="2474"/>
    <cellStyle name="20% - Accent1 2 2 3 2 2" xfId="5098"/>
    <cellStyle name="20% - Accent1 2 2 3 3" xfId="3788"/>
    <cellStyle name="20% - Accent1 2 2 4" xfId="1820"/>
    <cellStyle name="20% - Accent1 2 2 4 2" xfId="4444"/>
    <cellStyle name="20% - Accent1 2 2 5" xfId="3134"/>
    <cellStyle name="20% - Accent1 2 3" xfId="676"/>
    <cellStyle name="20% - Accent1 2 3 2" xfId="1337"/>
    <cellStyle name="20% - Accent1 2 3 2 2" xfId="2650"/>
    <cellStyle name="20% - Accent1 2 3 2 2 2" xfId="5274"/>
    <cellStyle name="20% - Accent1 2 3 2 3" xfId="3964"/>
    <cellStyle name="20% - Accent1 2 3 3" xfId="1996"/>
    <cellStyle name="20% - Accent1 2 3 3 2" xfId="4620"/>
    <cellStyle name="20% - Accent1 2 3 4" xfId="3310"/>
    <cellStyle name="20% - Accent1 2 4" xfId="1010"/>
    <cellStyle name="20% - Accent1 2 4 2" xfId="2326"/>
    <cellStyle name="20% - Accent1 2 4 2 2" xfId="4950"/>
    <cellStyle name="20% - Accent1 2 4 3" xfId="3640"/>
    <cellStyle name="20% - Accent1 2 5" xfId="1681"/>
    <cellStyle name="20% - Accent1 2 5 2" xfId="4307"/>
    <cellStyle name="20% - Accent1 2 6" xfId="2995"/>
    <cellStyle name="20% - Accent1 2 7" xfId="148"/>
    <cellStyle name="20% - Accent1 3" xfId="388"/>
    <cellStyle name="20% - Accent1 3 2" xfId="803"/>
    <cellStyle name="20% - Accent1 3 2 2" xfId="1462"/>
    <cellStyle name="20% - Accent1 3 2 2 2" xfId="2775"/>
    <cellStyle name="20% - Accent1 3 2 2 2 2" xfId="5399"/>
    <cellStyle name="20% - Accent1 3 2 2 3" xfId="4089"/>
    <cellStyle name="20% - Accent1 3 2 3" xfId="2121"/>
    <cellStyle name="20% - Accent1 3 2 3 2" xfId="4745"/>
    <cellStyle name="20% - Accent1 3 2 4" xfId="3435"/>
    <cellStyle name="20% - Accent1 3 3" xfId="1148"/>
    <cellStyle name="20% - Accent1 3 3 2" xfId="2462"/>
    <cellStyle name="20% - Accent1 3 3 2 2" xfId="5086"/>
    <cellStyle name="20% - Accent1 3 3 3" xfId="3776"/>
    <cellStyle name="20% - Accent1 3 4" xfId="1808"/>
    <cellStyle name="20% - Accent1 3 4 2" xfId="4432"/>
    <cellStyle name="20% - Accent1 3 5" xfId="3122"/>
    <cellStyle name="20% - Accent1 4" xfId="623"/>
    <cellStyle name="20% - Accent1 4 2" xfId="941"/>
    <cellStyle name="20% - Accent1 4 2 2" xfId="1599"/>
    <cellStyle name="20% - Accent1 4 2 2 2" xfId="2912"/>
    <cellStyle name="20% - Accent1 4 2 2 2 2" xfId="5536"/>
    <cellStyle name="20% - Accent1 4 2 2 3" xfId="4226"/>
    <cellStyle name="20% - Accent1 4 2 3" xfId="2258"/>
    <cellStyle name="20% - Accent1 4 2 3 2" xfId="4882"/>
    <cellStyle name="20% - Accent1 4 2 4" xfId="3572"/>
    <cellStyle name="20% - Accent1 4 3" xfId="1285"/>
    <cellStyle name="20% - Accent1 4 3 2" xfId="2599"/>
    <cellStyle name="20% - Accent1 4 3 2 2" xfId="5223"/>
    <cellStyle name="20% - Accent1 4 3 3" xfId="3913"/>
    <cellStyle name="20% - Accent1 4 4" xfId="1945"/>
    <cellStyle name="20% - Accent1 4 4 2" xfId="4569"/>
    <cellStyle name="20% - Accent1 4 5" xfId="3259"/>
    <cellStyle name="20% - Accent1 5" xfId="636"/>
    <cellStyle name="20% - Accent1 5 2" xfId="954"/>
    <cellStyle name="20% - Accent1 5 2 2" xfId="1612"/>
    <cellStyle name="20% - Accent1 5 2 2 2" xfId="2925"/>
    <cellStyle name="20% - Accent1 5 2 2 2 2" xfId="5549"/>
    <cellStyle name="20% - Accent1 5 2 2 3" xfId="4239"/>
    <cellStyle name="20% - Accent1 5 2 3" xfId="2271"/>
    <cellStyle name="20% - Accent1 5 2 3 2" xfId="4895"/>
    <cellStyle name="20% - Accent1 5 2 4" xfId="3585"/>
    <cellStyle name="20% - Accent1 5 3" xfId="1298"/>
    <cellStyle name="20% - Accent1 5 3 2" xfId="2612"/>
    <cellStyle name="20% - Accent1 5 3 2 2" xfId="5236"/>
    <cellStyle name="20% - Accent1 5 3 3" xfId="3926"/>
    <cellStyle name="20% - Accent1 5 4" xfId="1958"/>
    <cellStyle name="20% - Accent1 5 4 2" xfId="4582"/>
    <cellStyle name="20% - Accent1 5 5" xfId="3272"/>
    <cellStyle name="20% - Accent1 6" xfId="650"/>
    <cellStyle name="20% - Accent1 6 2" xfId="967"/>
    <cellStyle name="20% - Accent1 6 2 2" xfId="1625"/>
    <cellStyle name="20% - Accent1 6 2 2 2" xfId="2938"/>
    <cellStyle name="20% - Accent1 6 2 2 2 2" xfId="5562"/>
    <cellStyle name="20% - Accent1 6 2 2 3" xfId="4252"/>
    <cellStyle name="20% - Accent1 6 2 3" xfId="2284"/>
    <cellStyle name="20% - Accent1 6 2 3 2" xfId="4908"/>
    <cellStyle name="20% - Accent1 6 2 4" xfId="3598"/>
    <cellStyle name="20% - Accent1 6 3" xfId="1312"/>
    <cellStyle name="20% - Accent1 6 3 2" xfId="2625"/>
    <cellStyle name="20% - Accent1 6 3 2 2" xfId="5249"/>
    <cellStyle name="20% - Accent1 6 3 3" xfId="3939"/>
    <cellStyle name="20% - Accent1 6 4" xfId="1971"/>
    <cellStyle name="20% - Accent1 6 4 2" xfId="4595"/>
    <cellStyle name="20% - Accent1 6 5" xfId="3285"/>
    <cellStyle name="20% - Accent1 7" xfId="663"/>
    <cellStyle name="20% - Accent1 7 2" xfId="1325"/>
    <cellStyle name="20% - Accent1 7 2 2" xfId="2638"/>
    <cellStyle name="20% - Accent1 7 2 2 2" xfId="5262"/>
    <cellStyle name="20% - Accent1 7 2 3" xfId="3952"/>
    <cellStyle name="20% - Accent1 7 3" xfId="1984"/>
    <cellStyle name="20% - Accent1 7 3 2" xfId="4608"/>
    <cellStyle name="20% - Accent1 7 4" xfId="3298"/>
    <cellStyle name="20% - Accent1 8" xfId="983"/>
    <cellStyle name="20% - Accent1 8 2" xfId="1640"/>
    <cellStyle name="20% - Accent1 8 2 2" xfId="2953"/>
    <cellStyle name="20% - Accent1 8 2 2 2" xfId="5577"/>
    <cellStyle name="20% - Accent1 8 2 3" xfId="4267"/>
    <cellStyle name="20% - Accent1 8 3" xfId="2299"/>
    <cellStyle name="20% - Accent1 8 3 2" xfId="4923"/>
    <cellStyle name="20% - Accent1 8 4" xfId="3613"/>
    <cellStyle name="20% - Accent1 9" xfId="997"/>
    <cellStyle name="20% - Accent1 9 2" xfId="2313"/>
    <cellStyle name="20% - Accent1 9 2 2" xfId="4937"/>
    <cellStyle name="20% - Accent1 9 3" xfId="3627"/>
    <cellStyle name="20% - Accent2" xfId="129" builtinId="34" customBuiltin="1"/>
    <cellStyle name="20% - Accent2 10" xfId="1011"/>
    <cellStyle name="20% - Accent2 10 2" xfId="2327"/>
    <cellStyle name="20% - Accent2 10 2 2" xfId="4951"/>
    <cellStyle name="20% - Accent2 10 3" xfId="3641"/>
    <cellStyle name="20% - Accent2 11" xfId="1655"/>
    <cellStyle name="20% - Accent2 11 2" xfId="2968"/>
    <cellStyle name="20% - Accent2 11 2 2" xfId="5592"/>
    <cellStyle name="20% - Accent2 11 3" xfId="4282"/>
    <cellStyle name="20% - Accent2 12" xfId="1670"/>
    <cellStyle name="20% - Accent2 12 2" xfId="4297"/>
    <cellStyle name="20% - Accent2 13" xfId="2984"/>
    <cellStyle name="20% - Accent2 2" xfId="8"/>
    <cellStyle name="20% - Accent2 2 2" xfId="402"/>
    <cellStyle name="20% - Accent2 2 2 2" xfId="817"/>
    <cellStyle name="20% - Accent2 2 2 2 2" xfId="1475"/>
    <cellStyle name="20% - Accent2 2 2 2 2 2" xfId="2788"/>
    <cellStyle name="20% - Accent2 2 2 2 2 2 2" xfId="5412"/>
    <cellStyle name="20% - Accent2 2 2 2 2 3" xfId="4102"/>
    <cellStyle name="20% - Accent2 2 2 2 3" xfId="2134"/>
    <cellStyle name="20% - Accent2 2 2 2 3 2" xfId="4758"/>
    <cellStyle name="20% - Accent2 2 2 2 4" xfId="3448"/>
    <cellStyle name="20% - Accent2 2 2 3" xfId="1161"/>
    <cellStyle name="20% - Accent2 2 2 3 2" xfId="2475"/>
    <cellStyle name="20% - Accent2 2 2 3 2 2" xfId="5099"/>
    <cellStyle name="20% - Accent2 2 2 3 3" xfId="3789"/>
    <cellStyle name="20% - Accent2 2 2 4" xfId="1821"/>
    <cellStyle name="20% - Accent2 2 2 4 2" xfId="4445"/>
    <cellStyle name="20% - Accent2 2 2 5" xfId="3135"/>
    <cellStyle name="20% - Accent2 2 3" xfId="677"/>
    <cellStyle name="20% - Accent2 2 3 2" xfId="1338"/>
    <cellStyle name="20% - Accent2 2 3 2 2" xfId="2651"/>
    <cellStyle name="20% - Accent2 2 3 2 2 2" xfId="5275"/>
    <cellStyle name="20% - Accent2 2 3 2 3" xfId="3965"/>
    <cellStyle name="20% - Accent2 2 3 3" xfId="1997"/>
    <cellStyle name="20% - Accent2 2 3 3 2" xfId="4621"/>
    <cellStyle name="20% - Accent2 2 3 4" xfId="3311"/>
    <cellStyle name="20% - Accent2 2 4" xfId="1012"/>
    <cellStyle name="20% - Accent2 2 4 2" xfId="2328"/>
    <cellStyle name="20% - Accent2 2 4 2 2" xfId="4952"/>
    <cellStyle name="20% - Accent2 2 4 3" xfId="3642"/>
    <cellStyle name="20% - Accent2 2 5" xfId="1682"/>
    <cellStyle name="20% - Accent2 2 5 2" xfId="4308"/>
    <cellStyle name="20% - Accent2 2 6" xfId="2996"/>
    <cellStyle name="20% - Accent2 2 7" xfId="149"/>
    <cellStyle name="20% - Accent2 3" xfId="390"/>
    <cellStyle name="20% - Accent2 3 2" xfId="805"/>
    <cellStyle name="20% - Accent2 3 2 2" xfId="1464"/>
    <cellStyle name="20% - Accent2 3 2 2 2" xfId="2777"/>
    <cellStyle name="20% - Accent2 3 2 2 2 2" xfId="5401"/>
    <cellStyle name="20% - Accent2 3 2 2 3" xfId="4091"/>
    <cellStyle name="20% - Accent2 3 2 3" xfId="2123"/>
    <cellStyle name="20% - Accent2 3 2 3 2" xfId="4747"/>
    <cellStyle name="20% - Accent2 3 2 4" xfId="3437"/>
    <cellStyle name="20% - Accent2 3 3" xfId="1150"/>
    <cellStyle name="20% - Accent2 3 3 2" xfId="2464"/>
    <cellStyle name="20% - Accent2 3 3 2 2" xfId="5088"/>
    <cellStyle name="20% - Accent2 3 3 3" xfId="3778"/>
    <cellStyle name="20% - Accent2 3 4" xfId="1810"/>
    <cellStyle name="20% - Accent2 3 4 2" xfId="4434"/>
    <cellStyle name="20% - Accent2 3 5" xfId="3124"/>
    <cellStyle name="20% - Accent2 4" xfId="625"/>
    <cellStyle name="20% - Accent2 4 2" xfId="943"/>
    <cellStyle name="20% - Accent2 4 2 2" xfId="1601"/>
    <cellStyle name="20% - Accent2 4 2 2 2" xfId="2914"/>
    <cellStyle name="20% - Accent2 4 2 2 2 2" xfId="5538"/>
    <cellStyle name="20% - Accent2 4 2 2 3" xfId="4228"/>
    <cellStyle name="20% - Accent2 4 2 3" xfId="2260"/>
    <cellStyle name="20% - Accent2 4 2 3 2" xfId="4884"/>
    <cellStyle name="20% - Accent2 4 2 4" xfId="3574"/>
    <cellStyle name="20% - Accent2 4 3" xfId="1287"/>
    <cellStyle name="20% - Accent2 4 3 2" xfId="2601"/>
    <cellStyle name="20% - Accent2 4 3 2 2" xfId="5225"/>
    <cellStyle name="20% - Accent2 4 3 3" xfId="3915"/>
    <cellStyle name="20% - Accent2 4 4" xfId="1947"/>
    <cellStyle name="20% - Accent2 4 4 2" xfId="4571"/>
    <cellStyle name="20% - Accent2 4 5" xfId="3261"/>
    <cellStyle name="20% - Accent2 5" xfId="638"/>
    <cellStyle name="20% - Accent2 5 2" xfId="956"/>
    <cellStyle name="20% - Accent2 5 2 2" xfId="1614"/>
    <cellStyle name="20% - Accent2 5 2 2 2" xfId="2927"/>
    <cellStyle name="20% - Accent2 5 2 2 2 2" xfId="5551"/>
    <cellStyle name="20% - Accent2 5 2 2 3" xfId="4241"/>
    <cellStyle name="20% - Accent2 5 2 3" xfId="2273"/>
    <cellStyle name="20% - Accent2 5 2 3 2" xfId="4897"/>
    <cellStyle name="20% - Accent2 5 2 4" xfId="3587"/>
    <cellStyle name="20% - Accent2 5 3" xfId="1300"/>
    <cellStyle name="20% - Accent2 5 3 2" xfId="2614"/>
    <cellStyle name="20% - Accent2 5 3 2 2" xfId="5238"/>
    <cellStyle name="20% - Accent2 5 3 3" xfId="3928"/>
    <cellStyle name="20% - Accent2 5 4" xfId="1960"/>
    <cellStyle name="20% - Accent2 5 4 2" xfId="4584"/>
    <cellStyle name="20% - Accent2 5 5" xfId="3274"/>
    <cellStyle name="20% - Accent2 6" xfId="652"/>
    <cellStyle name="20% - Accent2 6 2" xfId="969"/>
    <cellStyle name="20% - Accent2 6 2 2" xfId="1627"/>
    <cellStyle name="20% - Accent2 6 2 2 2" xfId="2940"/>
    <cellStyle name="20% - Accent2 6 2 2 2 2" xfId="5564"/>
    <cellStyle name="20% - Accent2 6 2 2 3" xfId="4254"/>
    <cellStyle name="20% - Accent2 6 2 3" xfId="2286"/>
    <cellStyle name="20% - Accent2 6 2 3 2" xfId="4910"/>
    <cellStyle name="20% - Accent2 6 2 4" xfId="3600"/>
    <cellStyle name="20% - Accent2 6 3" xfId="1314"/>
    <cellStyle name="20% - Accent2 6 3 2" xfId="2627"/>
    <cellStyle name="20% - Accent2 6 3 2 2" xfId="5251"/>
    <cellStyle name="20% - Accent2 6 3 3" xfId="3941"/>
    <cellStyle name="20% - Accent2 6 4" xfId="1973"/>
    <cellStyle name="20% - Accent2 6 4 2" xfId="4597"/>
    <cellStyle name="20% - Accent2 6 5" xfId="3287"/>
    <cellStyle name="20% - Accent2 7" xfId="665"/>
    <cellStyle name="20% - Accent2 7 2" xfId="1327"/>
    <cellStyle name="20% - Accent2 7 2 2" xfId="2640"/>
    <cellStyle name="20% - Accent2 7 2 2 2" xfId="5264"/>
    <cellStyle name="20% - Accent2 7 2 3" xfId="3954"/>
    <cellStyle name="20% - Accent2 7 3" xfId="1986"/>
    <cellStyle name="20% - Accent2 7 3 2" xfId="4610"/>
    <cellStyle name="20% - Accent2 7 4" xfId="3300"/>
    <cellStyle name="20% - Accent2 8" xfId="985"/>
    <cellStyle name="20% - Accent2 8 2" xfId="1642"/>
    <cellStyle name="20% - Accent2 8 2 2" xfId="2955"/>
    <cellStyle name="20% - Accent2 8 2 2 2" xfId="5579"/>
    <cellStyle name="20% - Accent2 8 2 3" xfId="4269"/>
    <cellStyle name="20% - Accent2 8 3" xfId="2301"/>
    <cellStyle name="20% - Accent2 8 3 2" xfId="4925"/>
    <cellStyle name="20% - Accent2 8 4" xfId="3615"/>
    <cellStyle name="20% - Accent2 9" xfId="999"/>
    <cellStyle name="20% - Accent2 9 2" xfId="2315"/>
    <cellStyle name="20% - Accent2 9 2 2" xfId="4939"/>
    <cellStyle name="20% - Accent2 9 3" xfId="3629"/>
    <cellStyle name="20% - Accent3" xfId="133" builtinId="38" customBuiltin="1"/>
    <cellStyle name="20% - Accent3 10" xfId="1013"/>
    <cellStyle name="20% - Accent3 10 2" xfId="2329"/>
    <cellStyle name="20% - Accent3 10 2 2" xfId="4953"/>
    <cellStyle name="20% - Accent3 10 3" xfId="3643"/>
    <cellStyle name="20% - Accent3 11" xfId="1657"/>
    <cellStyle name="20% - Accent3 11 2" xfId="2970"/>
    <cellStyle name="20% - Accent3 11 2 2" xfId="5594"/>
    <cellStyle name="20% - Accent3 11 3" xfId="4284"/>
    <cellStyle name="20% - Accent3 12" xfId="1672"/>
    <cellStyle name="20% - Accent3 12 2" xfId="4299"/>
    <cellStyle name="20% - Accent3 13" xfId="2986"/>
    <cellStyle name="20% - Accent3 2" xfId="9"/>
    <cellStyle name="20% - Accent3 2 2" xfId="403"/>
    <cellStyle name="20% - Accent3 2 2 2" xfId="818"/>
    <cellStyle name="20% - Accent3 2 2 2 2" xfId="1476"/>
    <cellStyle name="20% - Accent3 2 2 2 2 2" xfId="2789"/>
    <cellStyle name="20% - Accent3 2 2 2 2 2 2" xfId="5413"/>
    <cellStyle name="20% - Accent3 2 2 2 2 3" xfId="4103"/>
    <cellStyle name="20% - Accent3 2 2 2 3" xfId="2135"/>
    <cellStyle name="20% - Accent3 2 2 2 3 2" xfId="4759"/>
    <cellStyle name="20% - Accent3 2 2 2 4" xfId="3449"/>
    <cellStyle name="20% - Accent3 2 2 3" xfId="1162"/>
    <cellStyle name="20% - Accent3 2 2 3 2" xfId="2476"/>
    <cellStyle name="20% - Accent3 2 2 3 2 2" xfId="5100"/>
    <cellStyle name="20% - Accent3 2 2 3 3" xfId="3790"/>
    <cellStyle name="20% - Accent3 2 2 4" xfId="1822"/>
    <cellStyle name="20% - Accent3 2 2 4 2" xfId="4446"/>
    <cellStyle name="20% - Accent3 2 2 5" xfId="3136"/>
    <cellStyle name="20% - Accent3 2 3" xfId="678"/>
    <cellStyle name="20% - Accent3 2 3 2" xfId="1339"/>
    <cellStyle name="20% - Accent3 2 3 2 2" xfId="2652"/>
    <cellStyle name="20% - Accent3 2 3 2 2 2" xfId="5276"/>
    <cellStyle name="20% - Accent3 2 3 2 3" xfId="3966"/>
    <cellStyle name="20% - Accent3 2 3 3" xfId="1998"/>
    <cellStyle name="20% - Accent3 2 3 3 2" xfId="4622"/>
    <cellStyle name="20% - Accent3 2 3 4" xfId="3312"/>
    <cellStyle name="20% - Accent3 2 4" xfId="1014"/>
    <cellStyle name="20% - Accent3 2 4 2" xfId="2330"/>
    <cellStyle name="20% - Accent3 2 4 2 2" xfId="4954"/>
    <cellStyle name="20% - Accent3 2 4 3" xfId="3644"/>
    <cellStyle name="20% - Accent3 2 5" xfId="1683"/>
    <cellStyle name="20% - Accent3 2 5 2" xfId="4309"/>
    <cellStyle name="20% - Accent3 2 6" xfId="2997"/>
    <cellStyle name="20% - Accent3 2 7" xfId="150"/>
    <cellStyle name="20% - Accent3 3" xfId="392"/>
    <cellStyle name="20% - Accent3 3 2" xfId="807"/>
    <cellStyle name="20% - Accent3 3 2 2" xfId="1466"/>
    <cellStyle name="20% - Accent3 3 2 2 2" xfId="2779"/>
    <cellStyle name="20% - Accent3 3 2 2 2 2" xfId="5403"/>
    <cellStyle name="20% - Accent3 3 2 2 3" xfId="4093"/>
    <cellStyle name="20% - Accent3 3 2 3" xfId="2125"/>
    <cellStyle name="20% - Accent3 3 2 3 2" xfId="4749"/>
    <cellStyle name="20% - Accent3 3 2 4" xfId="3439"/>
    <cellStyle name="20% - Accent3 3 3" xfId="1152"/>
    <cellStyle name="20% - Accent3 3 3 2" xfId="2466"/>
    <cellStyle name="20% - Accent3 3 3 2 2" xfId="5090"/>
    <cellStyle name="20% - Accent3 3 3 3" xfId="3780"/>
    <cellStyle name="20% - Accent3 3 4" xfId="1812"/>
    <cellStyle name="20% - Accent3 3 4 2" xfId="4436"/>
    <cellStyle name="20% - Accent3 3 5" xfId="3126"/>
    <cellStyle name="20% - Accent3 4" xfId="627"/>
    <cellStyle name="20% - Accent3 4 2" xfId="945"/>
    <cellStyle name="20% - Accent3 4 2 2" xfId="1603"/>
    <cellStyle name="20% - Accent3 4 2 2 2" xfId="2916"/>
    <cellStyle name="20% - Accent3 4 2 2 2 2" xfId="5540"/>
    <cellStyle name="20% - Accent3 4 2 2 3" xfId="4230"/>
    <cellStyle name="20% - Accent3 4 2 3" xfId="2262"/>
    <cellStyle name="20% - Accent3 4 2 3 2" xfId="4886"/>
    <cellStyle name="20% - Accent3 4 2 4" xfId="3576"/>
    <cellStyle name="20% - Accent3 4 3" xfId="1289"/>
    <cellStyle name="20% - Accent3 4 3 2" xfId="2603"/>
    <cellStyle name="20% - Accent3 4 3 2 2" xfId="5227"/>
    <cellStyle name="20% - Accent3 4 3 3" xfId="3917"/>
    <cellStyle name="20% - Accent3 4 4" xfId="1949"/>
    <cellStyle name="20% - Accent3 4 4 2" xfId="4573"/>
    <cellStyle name="20% - Accent3 4 5" xfId="3263"/>
    <cellStyle name="20% - Accent3 5" xfId="640"/>
    <cellStyle name="20% - Accent3 5 2" xfId="958"/>
    <cellStyle name="20% - Accent3 5 2 2" xfId="1616"/>
    <cellStyle name="20% - Accent3 5 2 2 2" xfId="2929"/>
    <cellStyle name="20% - Accent3 5 2 2 2 2" xfId="5553"/>
    <cellStyle name="20% - Accent3 5 2 2 3" xfId="4243"/>
    <cellStyle name="20% - Accent3 5 2 3" xfId="2275"/>
    <cellStyle name="20% - Accent3 5 2 3 2" xfId="4899"/>
    <cellStyle name="20% - Accent3 5 2 4" xfId="3589"/>
    <cellStyle name="20% - Accent3 5 3" xfId="1302"/>
    <cellStyle name="20% - Accent3 5 3 2" xfId="2616"/>
    <cellStyle name="20% - Accent3 5 3 2 2" xfId="5240"/>
    <cellStyle name="20% - Accent3 5 3 3" xfId="3930"/>
    <cellStyle name="20% - Accent3 5 4" xfId="1962"/>
    <cellStyle name="20% - Accent3 5 4 2" xfId="4586"/>
    <cellStyle name="20% - Accent3 5 5" xfId="3276"/>
    <cellStyle name="20% - Accent3 6" xfId="654"/>
    <cellStyle name="20% - Accent3 6 2" xfId="971"/>
    <cellStyle name="20% - Accent3 6 2 2" xfId="1629"/>
    <cellStyle name="20% - Accent3 6 2 2 2" xfId="2942"/>
    <cellStyle name="20% - Accent3 6 2 2 2 2" xfId="5566"/>
    <cellStyle name="20% - Accent3 6 2 2 3" xfId="4256"/>
    <cellStyle name="20% - Accent3 6 2 3" xfId="2288"/>
    <cellStyle name="20% - Accent3 6 2 3 2" xfId="4912"/>
    <cellStyle name="20% - Accent3 6 2 4" xfId="3602"/>
    <cellStyle name="20% - Accent3 6 3" xfId="1316"/>
    <cellStyle name="20% - Accent3 6 3 2" xfId="2629"/>
    <cellStyle name="20% - Accent3 6 3 2 2" xfId="5253"/>
    <cellStyle name="20% - Accent3 6 3 3" xfId="3943"/>
    <cellStyle name="20% - Accent3 6 4" xfId="1975"/>
    <cellStyle name="20% - Accent3 6 4 2" xfId="4599"/>
    <cellStyle name="20% - Accent3 6 5" xfId="3289"/>
    <cellStyle name="20% - Accent3 7" xfId="667"/>
    <cellStyle name="20% - Accent3 7 2" xfId="1329"/>
    <cellStyle name="20% - Accent3 7 2 2" xfId="2642"/>
    <cellStyle name="20% - Accent3 7 2 2 2" xfId="5266"/>
    <cellStyle name="20% - Accent3 7 2 3" xfId="3956"/>
    <cellStyle name="20% - Accent3 7 3" xfId="1988"/>
    <cellStyle name="20% - Accent3 7 3 2" xfId="4612"/>
    <cellStyle name="20% - Accent3 7 4" xfId="3302"/>
    <cellStyle name="20% - Accent3 8" xfId="987"/>
    <cellStyle name="20% - Accent3 8 2" xfId="1644"/>
    <cellStyle name="20% - Accent3 8 2 2" xfId="2957"/>
    <cellStyle name="20% - Accent3 8 2 2 2" xfId="5581"/>
    <cellStyle name="20% - Accent3 8 2 3" xfId="4271"/>
    <cellStyle name="20% - Accent3 8 3" xfId="2303"/>
    <cellStyle name="20% - Accent3 8 3 2" xfId="4927"/>
    <cellStyle name="20% - Accent3 8 4" xfId="3617"/>
    <cellStyle name="20% - Accent3 9" xfId="1001"/>
    <cellStyle name="20% - Accent3 9 2" xfId="2317"/>
    <cellStyle name="20% - Accent3 9 2 2" xfId="4941"/>
    <cellStyle name="20% - Accent3 9 3" xfId="3631"/>
    <cellStyle name="20% - Accent4" xfId="137" builtinId="42" customBuiltin="1"/>
    <cellStyle name="20% - Accent4 10" xfId="1015"/>
    <cellStyle name="20% - Accent4 10 2" xfId="2331"/>
    <cellStyle name="20% - Accent4 10 2 2" xfId="4955"/>
    <cellStyle name="20% - Accent4 10 3" xfId="3645"/>
    <cellStyle name="20% - Accent4 11" xfId="1659"/>
    <cellStyle name="20% - Accent4 11 2" xfId="2972"/>
    <cellStyle name="20% - Accent4 11 2 2" xfId="5596"/>
    <cellStyle name="20% - Accent4 11 3" xfId="4286"/>
    <cellStyle name="20% - Accent4 12" xfId="1674"/>
    <cellStyle name="20% - Accent4 12 2" xfId="4301"/>
    <cellStyle name="20% - Accent4 13" xfId="2988"/>
    <cellStyle name="20% - Accent4 2" xfId="10"/>
    <cellStyle name="20% - Accent4 2 2" xfId="404"/>
    <cellStyle name="20% - Accent4 2 2 2" xfId="819"/>
    <cellStyle name="20% - Accent4 2 2 2 2" xfId="1477"/>
    <cellStyle name="20% - Accent4 2 2 2 2 2" xfId="2790"/>
    <cellStyle name="20% - Accent4 2 2 2 2 2 2" xfId="5414"/>
    <cellStyle name="20% - Accent4 2 2 2 2 3" xfId="4104"/>
    <cellStyle name="20% - Accent4 2 2 2 3" xfId="2136"/>
    <cellStyle name="20% - Accent4 2 2 2 3 2" xfId="4760"/>
    <cellStyle name="20% - Accent4 2 2 2 4" xfId="3450"/>
    <cellStyle name="20% - Accent4 2 2 3" xfId="1163"/>
    <cellStyle name="20% - Accent4 2 2 3 2" xfId="2477"/>
    <cellStyle name="20% - Accent4 2 2 3 2 2" xfId="5101"/>
    <cellStyle name="20% - Accent4 2 2 3 3" xfId="3791"/>
    <cellStyle name="20% - Accent4 2 2 4" xfId="1823"/>
    <cellStyle name="20% - Accent4 2 2 4 2" xfId="4447"/>
    <cellStyle name="20% - Accent4 2 2 5" xfId="3137"/>
    <cellStyle name="20% - Accent4 2 3" xfId="679"/>
    <cellStyle name="20% - Accent4 2 3 2" xfId="1340"/>
    <cellStyle name="20% - Accent4 2 3 2 2" xfId="2653"/>
    <cellStyle name="20% - Accent4 2 3 2 2 2" xfId="5277"/>
    <cellStyle name="20% - Accent4 2 3 2 3" xfId="3967"/>
    <cellStyle name="20% - Accent4 2 3 3" xfId="1999"/>
    <cellStyle name="20% - Accent4 2 3 3 2" xfId="4623"/>
    <cellStyle name="20% - Accent4 2 3 4" xfId="3313"/>
    <cellStyle name="20% - Accent4 2 4" xfId="1016"/>
    <cellStyle name="20% - Accent4 2 4 2" xfId="2332"/>
    <cellStyle name="20% - Accent4 2 4 2 2" xfId="4956"/>
    <cellStyle name="20% - Accent4 2 4 3" xfId="3646"/>
    <cellStyle name="20% - Accent4 2 5" xfId="1684"/>
    <cellStyle name="20% - Accent4 2 5 2" xfId="4310"/>
    <cellStyle name="20% - Accent4 2 6" xfId="2998"/>
    <cellStyle name="20% - Accent4 2 7" xfId="151"/>
    <cellStyle name="20% - Accent4 3" xfId="394"/>
    <cellStyle name="20% - Accent4 3 2" xfId="809"/>
    <cellStyle name="20% - Accent4 3 2 2" xfId="1468"/>
    <cellStyle name="20% - Accent4 3 2 2 2" xfId="2781"/>
    <cellStyle name="20% - Accent4 3 2 2 2 2" xfId="5405"/>
    <cellStyle name="20% - Accent4 3 2 2 3" xfId="4095"/>
    <cellStyle name="20% - Accent4 3 2 3" xfId="2127"/>
    <cellStyle name="20% - Accent4 3 2 3 2" xfId="4751"/>
    <cellStyle name="20% - Accent4 3 2 4" xfId="3441"/>
    <cellStyle name="20% - Accent4 3 3" xfId="1154"/>
    <cellStyle name="20% - Accent4 3 3 2" xfId="2468"/>
    <cellStyle name="20% - Accent4 3 3 2 2" xfId="5092"/>
    <cellStyle name="20% - Accent4 3 3 3" xfId="3782"/>
    <cellStyle name="20% - Accent4 3 4" xfId="1814"/>
    <cellStyle name="20% - Accent4 3 4 2" xfId="4438"/>
    <cellStyle name="20% - Accent4 3 5" xfId="3128"/>
    <cellStyle name="20% - Accent4 4" xfId="629"/>
    <cellStyle name="20% - Accent4 4 2" xfId="947"/>
    <cellStyle name="20% - Accent4 4 2 2" xfId="1605"/>
    <cellStyle name="20% - Accent4 4 2 2 2" xfId="2918"/>
    <cellStyle name="20% - Accent4 4 2 2 2 2" xfId="5542"/>
    <cellStyle name="20% - Accent4 4 2 2 3" xfId="4232"/>
    <cellStyle name="20% - Accent4 4 2 3" xfId="2264"/>
    <cellStyle name="20% - Accent4 4 2 3 2" xfId="4888"/>
    <cellStyle name="20% - Accent4 4 2 4" xfId="3578"/>
    <cellStyle name="20% - Accent4 4 3" xfId="1291"/>
    <cellStyle name="20% - Accent4 4 3 2" xfId="2605"/>
    <cellStyle name="20% - Accent4 4 3 2 2" xfId="5229"/>
    <cellStyle name="20% - Accent4 4 3 3" xfId="3919"/>
    <cellStyle name="20% - Accent4 4 4" xfId="1951"/>
    <cellStyle name="20% - Accent4 4 4 2" xfId="4575"/>
    <cellStyle name="20% - Accent4 4 5" xfId="3265"/>
    <cellStyle name="20% - Accent4 5" xfId="642"/>
    <cellStyle name="20% - Accent4 5 2" xfId="960"/>
    <cellStyle name="20% - Accent4 5 2 2" xfId="1618"/>
    <cellStyle name="20% - Accent4 5 2 2 2" xfId="2931"/>
    <cellStyle name="20% - Accent4 5 2 2 2 2" xfId="5555"/>
    <cellStyle name="20% - Accent4 5 2 2 3" xfId="4245"/>
    <cellStyle name="20% - Accent4 5 2 3" xfId="2277"/>
    <cellStyle name="20% - Accent4 5 2 3 2" xfId="4901"/>
    <cellStyle name="20% - Accent4 5 2 4" xfId="3591"/>
    <cellStyle name="20% - Accent4 5 3" xfId="1304"/>
    <cellStyle name="20% - Accent4 5 3 2" xfId="2618"/>
    <cellStyle name="20% - Accent4 5 3 2 2" xfId="5242"/>
    <cellStyle name="20% - Accent4 5 3 3" xfId="3932"/>
    <cellStyle name="20% - Accent4 5 4" xfId="1964"/>
    <cellStyle name="20% - Accent4 5 4 2" xfId="4588"/>
    <cellStyle name="20% - Accent4 5 5" xfId="3278"/>
    <cellStyle name="20% - Accent4 6" xfId="656"/>
    <cellStyle name="20% - Accent4 6 2" xfId="973"/>
    <cellStyle name="20% - Accent4 6 2 2" xfId="1631"/>
    <cellStyle name="20% - Accent4 6 2 2 2" xfId="2944"/>
    <cellStyle name="20% - Accent4 6 2 2 2 2" xfId="5568"/>
    <cellStyle name="20% - Accent4 6 2 2 3" xfId="4258"/>
    <cellStyle name="20% - Accent4 6 2 3" xfId="2290"/>
    <cellStyle name="20% - Accent4 6 2 3 2" xfId="4914"/>
    <cellStyle name="20% - Accent4 6 2 4" xfId="3604"/>
    <cellStyle name="20% - Accent4 6 3" xfId="1318"/>
    <cellStyle name="20% - Accent4 6 3 2" xfId="2631"/>
    <cellStyle name="20% - Accent4 6 3 2 2" xfId="5255"/>
    <cellStyle name="20% - Accent4 6 3 3" xfId="3945"/>
    <cellStyle name="20% - Accent4 6 4" xfId="1977"/>
    <cellStyle name="20% - Accent4 6 4 2" xfId="4601"/>
    <cellStyle name="20% - Accent4 6 5" xfId="3291"/>
    <cellStyle name="20% - Accent4 7" xfId="669"/>
    <cellStyle name="20% - Accent4 7 2" xfId="1331"/>
    <cellStyle name="20% - Accent4 7 2 2" xfId="2644"/>
    <cellStyle name="20% - Accent4 7 2 2 2" xfId="5268"/>
    <cellStyle name="20% - Accent4 7 2 3" xfId="3958"/>
    <cellStyle name="20% - Accent4 7 3" xfId="1990"/>
    <cellStyle name="20% - Accent4 7 3 2" xfId="4614"/>
    <cellStyle name="20% - Accent4 7 4" xfId="3304"/>
    <cellStyle name="20% - Accent4 8" xfId="989"/>
    <cellStyle name="20% - Accent4 8 2" xfId="1646"/>
    <cellStyle name="20% - Accent4 8 2 2" xfId="2959"/>
    <cellStyle name="20% - Accent4 8 2 2 2" xfId="5583"/>
    <cellStyle name="20% - Accent4 8 2 3" xfId="4273"/>
    <cellStyle name="20% - Accent4 8 3" xfId="2305"/>
    <cellStyle name="20% - Accent4 8 3 2" xfId="4929"/>
    <cellStyle name="20% - Accent4 8 4" xfId="3619"/>
    <cellStyle name="20% - Accent4 9" xfId="1003"/>
    <cellStyle name="20% - Accent4 9 2" xfId="2319"/>
    <cellStyle name="20% - Accent4 9 2 2" xfId="4943"/>
    <cellStyle name="20% - Accent4 9 3" xfId="3633"/>
    <cellStyle name="20% - Accent5" xfId="141" builtinId="46" customBuiltin="1"/>
    <cellStyle name="20% - Accent5 10" xfId="1017"/>
    <cellStyle name="20% - Accent5 10 2" xfId="2333"/>
    <cellStyle name="20% - Accent5 10 2 2" xfId="4957"/>
    <cellStyle name="20% - Accent5 10 3" xfId="3647"/>
    <cellStyle name="20% - Accent5 11" xfId="1661"/>
    <cellStyle name="20% - Accent5 11 2" xfId="2974"/>
    <cellStyle name="20% - Accent5 11 2 2" xfId="5598"/>
    <cellStyle name="20% - Accent5 11 3" xfId="4288"/>
    <cellStyle name="20% - Accent5 12" xfId="1676"/>
    <cellStyle name="20% - Accent5 12 2" xfId="4303"/>
    <cellStyle name="20% - Accent5 13" xfId="2990"/>
    <cellStyle name="20% - Accent5 2" xfId="11"/>
    <cellStyle name="20% - Accent5 2 2" xfId="405"/>
    <cellStyle name="20% - Accent5 2 2 2" xfId="820"/>
    <cellStyle name="20% - Accent5 2 2 2 2" xfId="1478"/>
    <cellStyle name="20% - Accent5 2 2 2 2 2" xfId="2791"/>
    <cellStyle name="20% - Accent5 2 2 2 2 2 2" xfId="5415"/>
    <cellStyle name="20% - Accent5 2 2 2 2 3" xfId="4105"/>
    <cellStyle name="20% - Accent5 2 2 2 3" xfId="2137"/>
    <cellStyle name="20% - Accent5 2 2 2 3 2" xfId="4761"/>
    <cellStyle name="20% - Accent5 2 2 2 4" xfId="3451"/>
    <cellStyle name="20% - Accent5 2 2 3" xfId="1164"/>
    <cellStyle name="20% - Accent5 2 2 3 2" xfId="2478"/>
    <cellStyle name="20% - Accent5 2 2 3 2 2" xfId="5102"/>
    <cellStyle name="20% - Accent5 2 2 3 3" xfId="3792"/>
    <cellStyle name="20% - Accent5 2 2 4" xfId="1824"/>
    <cellStyle name="20% - Accent5 2 2 4 2" xfId="4448"/>
    <cellStyle name="20% - Accent5 2 2 5" xfId="3138"/>
    <cellStyle name="20% - Accent5 2 3" xfId="680"/>
    <cellStyle name="20% - Accent5 2 3 2" xfId="1341"/>
    <cellStyle name="20% - Accent5 2 3 2 2" xfId="2654"/>
    <cellStyle name="20% - Accent5 2 3 2 2 2" xfId="5278"/>
    <cellStyle name="20% - Accent5 2 3 2 3" xfId="3968"/>
    <cellStyle name="20% - Accent5 2 3 3" xfId="2000"/>
    <cellStyle name="20% - Accent5 2 3 3 2" xfId="4624"/>
    <cellStyle name="20% - Accent5 2 3 4" xfId="3314"/>
    <cellStyle name="20% - Accent5 2 4" xfId="1018"/>
    <cellStyle name="20% - Accent5 2 4 2" xfId="2334"/>
    <cellStyle name="20% - Accent5 2 4 2 2" xfId="4958"/>
    <cellStyle name="20% - Accent5 2 4 3" xfId="3648"/>
    <cellStyle name="20% - Accent5 2 5" xfId="1685"/>
    <cellStyle name="20% - Accent5 2 5 2" xfId="4311"/>
    <cellStyle name="20% - Accent5 2 6" xfId="2999"/>
    <cellStyle name="20% - Accent5 2 7" xfId="152"/>
    <cellStyle name="20% - Accent5 3" xfId="396"/>
    <cellStyle name="20% - Accent5 3 2" xfId="811"/>
    <cellStyle name="20% - Accent5 3 2 2" xfId="1470"/>
    <cellStyle name="20% - Accent5 3 2 2 2" xfId="2783"/>
    <cellStyle name="20% - Accent5 3 2 2 2 2" xfId="5407"/>
    <cellStyle name="20% - Accent5 3 2 2 3" xfId="4097"/>
    <cellStyle name="20% - Accent5 3 2 3" xfId="2129"/>
    <cellStyle name="20% - Accent5 3 2 3 2" xfId="4753"/>
    <cellStyle name="20% - Accent5 3 2 4" xfId="3443"/>
    <cellStyle name="20% - Accent5 3 3" xfId="1156"/>
    <cellStyle name="20% - Accent5 3 3 2" xfId="2470"/>
    <cellStyle name="20% - Accent5 3 3 2 2" xfId="5094"/>
    <cellStyle name="20% - Accent5 3 3 3" xfId="3784"/>
    <cellStyle name="20% - Accent5 3 4" xfId="1816"/>
    <cellStyle name="20% - Accent5 3 4 2" xfId="4440"/>
    <cellStyle name="20% - Accent5 3 5" xfId="3130"/>
    <cellStyle name="20% - Accent5 4" xfId="631"/>
    <cellStyle name="20% - Accent5 4 2" xfId="949"/>
    <cellStyle name="20% - Accent5 4 2 2" xfId="1607"/>
    <cellStyle name="20% - Accent5 4 2 2 2" xfId="2920"/>
    <cellStyle name="20% - Accent5 4 2 2 2 2" xfId="5544"/>
    <cellStyle name="20% - Accent5 4 2 2 3" xfId="4234"/>
    <cellStyle name="20% - Accent5 4 2 3" xfId="2266"/>
    <cellStyle name="20% - Accent5 4 2 3 2" xfId="4890"/>
    <cellStyle name="20% - Accent5 4 2 4" xfId="3580"/>
    <cellStyle name="20% - Accent5 4 3" xfId="1293"/>
    <cellStyle name="20% - Accent5 4 3 2" xfId="2607"/>
    <cellStyle name="20% - Accent5 4 3 2 2" xfId="5231"/>
    <cellStyle name="20% - Accent5 4 3 3" xfId="3921"/>
    <cellStyle name="20% - Accent5 4 4" xfId="1953"/>
    <cellStyle name="20% - Accent5 4 4 2" xfId="4577"/>
    <cellStyle name="20% - Accent5 4 5" xfId="3267"/>
    <cellStyle name="20% - Accent5 5" xfId="644"/>
    <cellStyle name="20% - Accent5 5 2" xfId="962"/>
    <cellStyle name="20% - Accent5 5 2 2" xfId="1620"/>
    <cellStyle name="20% - Accent5 5 2 2 2" xfId="2933"/>
    <cellStyle name="20% - Accent5 5 2 2 2 2" xfId="5557"/>
    <cellStyle name="20% - Accent5 5 2 2 3" xfId="4247"/>
    <cellStyle name="20% - Accent5 5 2 3" xfId="2279"/>
    <cellStyle name="20% - Accent5 5 2 3 2" xfId="4903"/>
    <cellStyle name="20% - Accent5 5 2 4" xfId="3593"/>
    <cellStyle name="20% - Accent5 5 3" xfId="1306"/>
    <cellStyle name="20% - Accent5 5 3 2" xfId="2620"/>
    <cellStyle name="20% - Accent5 5 3 2 2" xfId="5244"/>
    <cellStyle name="20% - Accent5 5 3 3" xfId="3934"/>
    <cellStyle name="20% - Accent5 5 4" xfId="1966"/>
    <cellStyle name="20% - Accent5 5 4 2" xfId="4590"/>
    <cellStyle name="20% - Accent5 5 5" xfId="3280"/>
    <cellStyle name="20% - Accent5 6" xfId="658"/>
    <cellStyle name="20% - Accent5 6 2" xfId="975"/>
    <cellStyle name="20% - Accent5 6 2 2" xfId="1633"/>
    <cellStyle name="20% - Accent5 6 2 2 2" xfId="2946"/>
    <cellStyle name="20% - Accent5 6 2 2 2 2" xfId="5570"/>
    <cellStyle name="20% - Accent5 6 2 2 3" xfId="4260"/>
    <cellStyle name="20% - Accent5 6 2 3" xfId="2292"/>
    <cellStyle name="20% - Accent5 6 2 3 2" xfId="4916"/>
    <cellStyle name="20% - Accent5 6 2 4" xfId="3606"/>
    <cellStyle name="20% - Accent5 6 3" xfId="1320"/>
    <cellStyle name="20% - Accent5 6 3 2" xfId="2633"/>
    <cellStyle name="20% - Accent5 6 3 2 2" xfId="5257"/>
    <cellStyle name="20% - Accent5 6 3 3" xfId="3947"/>
    <cellStyle name="20% - Accent5 6 4" xfId="1979"/>
    <cellStyle name="20% - Accent5 6 4 2" xfId="4603"/>
    <cellStyle name="20% - Accent5 6 5" xfId="3293"/>
    <cellStyle name="20% - Accent5 7" xfId="671"/>
    <cellStyle name="20% - Accent5 7 2" xfId="1333"/>
    <cellStyle name="20% - Accent5 7 2 2" xfId="2646"/>
    <cellStyle name="20% - Accent5 7 2 2 2" xfId="5270"/>
    <cellStyle name="20% - Accent5 7 2 3" xfId="3960"/>
    <cellStyle name="20% - Accent5 7 3" xfId="1992"/>
    <cellStyle name="20% - Accent5 7 3 2" xfId="4616"/>
    <cellStyle name="20% - Accent5 7 4" xfId="3306"/>
    <cellStyle name="20% - Accent5 8" xfId="991"/>
    <cellStyle name="20% - Accent5 8 2" xfId="1648"/>
    <cellStyle name="20% - Accent5 8 2 2" xfId="2961"/>
    <cellStyle name="20% - Accent5 8 2 2 2" xfId="5585"/>
    <cellStyle name="20% - Accent5 8 2 3" xfId="4275"/>
    <cellStyle name="20% - Accent5 8 3" xfId="2307"/>
    <cellStyle name="20% - Accent5 8 3 2" xfId="4931"/>
    <cellStyle name="20% - Accent5 8 4" xfId="3621"/>
    <cellStyle name="20% - Accent5 9" xfId="1005"/>
    <cellStyle name="20% - Accent5 9 2" xfId="2321"/>
    <cellStyle name="20% - Accent5 9 2 2" xfId="4945"/>
    <cellStyle name="20% - Accent5 9 3" xfId="3635"/>
    <cellStyle name="20% - Accent6" xfId="145" builtinId="50" customBuiltin="1"/>
    <cellStyle name="20% - Accent6 10" xfId="1019"/>
    <cellStyle name="20% - Accent6 10 2" xfId="2335"/>
    <cellStyle name="20% - Accent6 10 2 2" xfId="4959"/>
    <cellStyle name="20% - Accent6 10 3" xfId="3649"/>
    <cellStyle name="20% - Accent6 11" xfId="1663"/>
    <cellStyle name="20% - Accent6 11 2" xfId="2976"/>
    <cellStyle name="20% - Accent6 11 2 2" xfId="5600"/>
    <cellStyle name="20% - Accent6 11 3" xfId="4290"/>
    <cellStyle name="20% - Accent6 12" xfId="1678"/>
    <cellStyle name="20% - Accent6 12 2" xfId="4305"/>
    <cellStyle name="20% - Accent6 13" xfId="2992"/>
    <cellStyle name="20% - Accent6 2" xfId="12"/>
    <cellStyle name="20% - Accent6 2 2" xfId="406"/>
    <cellStyle name="20% - Accent6 2 2 2" xfId="821"/>
    <cellStyle name="20% - Accent6 2 2 2 2" xfId="1479"/>
    <cellStyle name="20% - Accent6 2 2 2 2 2" xfId="2792"/>
    <cellStyle name="20% - Accent6 2 2 2 2 2 2" xfId="5416"/>
    <cellStyle name="20% - Accent6 2 2 2 2 3" xfId="4106"/>
    <cellStyle name="20% - Accent6 2 2 2 3" xfId="2138"/>
    <cellStyle name="20% - Accent6 2 2 2 3 2" xfId="4762"/>
    <cellStyle name="20% - Accent6 2 2 2 4" xfId="3452"/>
    <cellStyle name="20% - Accent6 2 2 3" xfId="1165"/>
    <cellStyle name="20% - Accent6 2 2 3 2" xfId="2479"/>
    <cellStyle name="20% - Accent6 2 2 3 2 2" xfId="5103"/>
    <cellStyle name="20% - Accent6 2 2 3 3" xfId="3793"/>
    <cellStyle name="20% - Accent6 2 2 4" xfId="1825"/>
    <cellStyle name="20% - Accent6 2 2 4 2" xfId="4449"/>
    <cellStyle name="20% - Accent6 2 2 5" xfId="3139"/>
    <cellStyle name="20% - Accent6 2 3" xfId="681"/>
    <cellStyle name="20% - Accent6 2 3 2" xfId="1342"/>
    <cellStyle name="20% - Accent6 2 3 2 2" xfId="2655"/>
    <cellStyle name="20% - Accent6 2 3 2 2 2" xfId="5279"/>
    <cellStyle name="20% - Accent6 2 3 2 3" xfId="3969"/>
    <cellStyle name="20% - Accent6 2 3 3" xfId="2001"/>
    <cellStyle name="20% - Accent6 2 3 3 2" xfId="4625"/>
    <cellStyle name="20% - Accent6 2 3 4" xfId="3315"/>
    <cellStyle name="20% - Accent6 2 4" xfId="1020"/>
    <cellStyle name="20% - Accent6 2 4 2" xfId="2336"/>
    <cellStyle name="20% - Accent6 2 4 2 2" xfId="4960"/>
    <cellStyle name="20% - Accent6 2 4 3" xfId="3650"/>
    <cellStyle name="20% - Accent6 2 5" xfId="1686"/>
    <cellStyle name="20% - Accent6 2 5 2" xfId="4312"/>
    <cellStyle name="20% - Accent6 2 6" xfId="3000"/>
    <cellStyle name="20% - Accent6 2 7" xfId="153"/>
    <cellStyle name="20% - Accent6 3" xfId="398"/>
    <cellStyle name="20% - Accent6 3 2" xfId="813"/>
    <cellStyle name="20% - Accent6 3 2 2" xfId="1472"/>
    <cellStyle name="20% - Accent6 3 2 2 2" xfId="2785"/>
    <cellStyle name="20% - Accent6 3 2 2 2 2" xfId="5409"/>
    <cellStyle name="20% - Accent6 3 2 2 3" xfId="4099"/>
    <cellStyle name="20% - Accent6 3 2 3" xfId="2131"/>
    <cellStyle name="20% - Accent6 3 2 3 2" xfId="4755"/>
    <cellStyle name="20% - Accent6 3 2 4" xfId="3445"/>
    <cellStyle name="20% - Accent6 3 3" xfId="1158"/>
    <cellStyle name="20% - Accent6 3 3 2" xfId="2472"/>
    <cellStyle name="20% - Accent6 3 3 2 2" xfId="5096"/>
    <cellStyle name="20% - Accent6 3 3 3" xfId="3786"/>
    <cellStyle name="20% - Accent6 3 4" xfId="1818"/>
    <cellStyle name="20% - Accent6 3 4 2" xfId="4442"/>
    <cellStyle name="20% - Accent6 3 5" xfId="3132"/>
    <cellStyle name="20% - Accent6 4" xfId="633"/>
    <cellStyle name="20% - Accent6 4 2" xfId="951"/>
    <cellStyle name="20% - Accent6 4 2 2" xfId="1609"/>
    <cellStyle name="20% - Accent6 4 2 2 2" xfId="2922"/>
    <cellStyle name="20% - Accent6 4 2 2 2 2" xfId="5546"/>
    <cellStyle name="20% - Accent6 4 2 2 3" xfId="4236"/>
    <cellStyle name="20% - Accent6 4 2 3" xfId="2268"/>
    <cellStyle name="20% - Accent6 4 2 3 2" xfId="4892"/>
    <cellStyle name="20% - Accent6 4 2 4" xfId="3582"/>
    <cellStyle name="20% - Accent6 4 3" xfId="1295"/>
    <cellStyle name="20% - Accent6 4 3 2" xfId="2609"/>
    <cellStyle name="20% - Accent6 4 3 2 2" xfId="5233"/>
    <cellStyle name="20% - Accent6 4 3 3" xfId="3923"/>
    <cellStyle name="20% - Accent6 4 4" xfId="1955"/>
    <cellStyle name="20% - Accent6 4 4 2" xfId="4579"/>
    <cellStyle name="20% - Accent6 4 5" xfId="3269"/>
    <cellStyle name="20% - Accent6 5" xfId="646"/>
    <cellStyle name="20% - Accent6 5 2" xfId="964"/>
    <cellStyle name="20% - Accent6 5 2 2" xfId="1622"/>
    <cellStyle name="20% - Accent6 5 2 2 2" xfId="2935"/>
    <cellStyle name="20% - Accent6 5 2 2 2 2" xfId="5559"/>
    <cellStyle name="20% - Accent6 5 2 2 3" xfId="4249"/>
    <cellStyle name="20% - Accent6 5 2 3" xfId="2281"/>
    <cellStyle name="20% - Accent6 5 2 3 2" xfId="4905"/>
    <cellStyle name="20% - Accent6 5 2 4" xfId="3595"/>
    <cellStyle name="20% - Accent6 5 3" xfId="1308"/>
    <cellStyle name="20% - Accent6 5 3 2" xfId="2622"/>
    <cellStyle name="20% - Accent6 5 3 2 2" xfId="5246"/>
    <cellStyle name="20% - Accent6 5 3 3" xfId="3936"/>
    <cellStyle name="20% - Accent6 5 4" xfId="1968"/>
    <cellStyle name="20% - Accent6 5 4 2" xfId="4592"/>
    <cellStyle name="20% - Accent6 5 5" xfId="3282"/>
    <cellStyle name="20% - Accent6 6" xfId="660"/>
    <cellStyle name="20% - Accent6 6 2" xfId="977"/>
    <cellStyle name="20% - Accent6 6 2 2" xfId="1635"/>
    <cellStyle name="20% - Accent6 6 2 2 2" xfId="2948"/>
    <cellStyle name="20% - Accent6 6 2 2 2 2" xfId="5572"/>
    <cellStyle name="20% - Accent6 6 2 2 3" xfId="4262"/>
    <cellStyle name="20% - Accent6 6 2 3" xfId="2294"/>
    <cellStyle name="20% - Accent6 6 2 3 2" xfId="4918"/>
    <cellStyle name="20% - Accent6 6 2 4" xfId="3608"/>
    <cellStyle name="20% - Accent6 6 3" xfId="1322"/>
    <cellStyle name="20% - Accent6 6 3 2" xfId="2635"/>
    <cellStyle name="20% - Accent6 6 3 2 2" xfId="5259"/>
    <cellStyle name="20% - Accent6 6 3 3" xfId="3949"/>
    <cellStyle name="20% - Accent6 6 4" xfId="1981"/>
    <cellStyle name="20% - Accent6 6 4 2" xfId="4605"/>
    <cellStyle name="20% - Accent6 6 5" xfId="3295"/>
    <cellStyle name="20% - Accent6 7" xfId="673"/>
    <cellStyle name="20% - Accent6 7 2" xfId="1335"/>
    <cellStyle name="20% - Accent6 7 2 2" xfId="2648"/>
    <cellStyle name="20% - Accent6 7 2 2 2" xfId="5272"/>
    <cellStyle name="20% - Accent6 7 2 3" xfId="3962"/>
    <cellStyle name="20% - Accent6 7 3" xfId="1994"/>
    <cellStyle name="20% - Accent6 7 3 2" xfId="4618"/>
    <cellStyle name="20% - Accent6 7 4" xfId="3308"/>
    <cellStyle name="20% - Accent6 8" xfId="993"/>
    <cellStyle name="20% - Accent6 8 2" xfId="1650"/>
    <cellStyle name="20% - Accent6 8 2 2" xfId="2963"/>
    <cellStyle name="20% - Accent6 8 2 2 2" xfId="5587"/>
    <cellStyle name="20% - Accent6 8 2 3" xfId="4277"/>
    <cellStyle name="20% - Accent6 8 3" xfId="2309"/>
    <cellStyle name="20% - Accent6 8 3 2" xfId="4933"/>
    <cellStyle name="20% - Accent6 8 4" xfId="3623"/>
    <cellStyle name="20% - Accent6 9" xfId="1007"/>
    <cellStyle name="20% - Accent6 9 2" xfId="2323"/>
    <cellStyle name="20% - Accent6 9 2 2" xfId="4947"/>
    <cellStyle name="20% - Accent6 9 3" xfId="3637"/>
    <cellStyle name="40% - Accent1" xfId="126" builtinId="31" customBuiltin="1"/>
    <cellStyle name="40% - Accent1 10" xfId="1021"/>
    <cellStyle name="40% - Accent1 10 2" xfId="2337"/>
    <cellStyle name="40% - Accent1 10 2 2" xfId="4961"/>
    <cellStyle name="40% - Accent1 10 3" xfId="3651"/>
    <cellStyle name="40% - Accent1 11" xfId="1654"/>
    <cellStyle name="40% - Accent1 11 2" xfId="2967"/>
    <cellStyle name="40% - Accent1 11 2 2" xfId="5591"/>
    <cellStyle name="40% - Accent1 11 3" xfId="4281"/>
    <cellStyle name="40% - Accent1 12" xfId="1669"/>
    <cellStyle name="40% - Accent1 12 2" xfId="4296"/>
    <cellStyle name="40% - Accent1 13" xfId="2983"/>
    <cellStyle name="40% - Accent1 2" xfId="13"/>
    <cellStyle name="40% - Accent1 2 2" xfId="407"/>
    <cellStyle name="40% - Accent1 2 2 2" xfId="822"/>
    <cellStyle name="40% - Accent1 2 2 2 2" xfId="1480"/>
    <cellStyle name="40% - Accent1 2 2 2 2 2" xfId="2793"/>
    <cellStyle name="40% - Accent1 2 2 2 2 2 2" xfId="5417"/>
    <cellStyle name="40% - Accent1 2 2 2 2 3" xfId="4107"/>
    <cellStyle name="40% - Accent1 2 2 2 3" xfId="2139"/>
    <cellStyle name="40% - Accent1 2 2 2 3 2" xfId="4763"/>
    <cellStyle name="40% - Accent1 2 2 2 4" xfId="3453"/>
    <cellStyle name="40% - Accent1 2 2 3" xfId="1166"/>
    <cellStyle name="40% - Accent1 2 2 3 2" xfId="2480"/>
    <cellStyle name="40% - Accent1 2 2 3 2 2" xfId="5104"/>
    <cellStyle name="40% - Accent1 2 2 3 3" xfId="3794"/>
    <cellStyle name="40% - Accent1 2 2 4" xfId="1826"/>
    <cellStyle name="40% - Accent1 2 2 4 2" xfId="4450"/>
    <cellStyle name="40% - Accent1 2 2 5" xfId="3140"/>
    <cellStyle name="40% - Accent1 2 3" xfId="682"/>
    <cellStyle name="40% - Accent1 2 3 2" xfId="1343"/>
    <cellStyle name="40% - Accent1 2 3 2 2" xfId="2656"/>
    <cellStyle name="40% - Accent1 2 3 2 2 2" xfId="5280"/>
    <cellStyle name="40% - Accent1 2 3 2 3" xfId="3970"/>
    <cellStyle name="40% - Accent1 2 3 3" xfId="2002"/>
    <cellStyle name="40% - Accent1 2 3 3 2" xfId="4626"/>
    <cellStyle name="40% - Accent1 2 3 4" xfId="3316"/>
    <cellStyle name="40% - Accent1 2 4" xfId="1022"/>
    <cellStyle name="40% - Accent1 2 4 2" xfId="2338"/>
    <cellStyle name="40% - Accent1 2 4 2 2" xfId="4962"/>
    <cellStyle name="40% - Accent1 2 4 3" xfId="3652"/>
    <cellStyle name="40% - Accent1 2 5" xfId="1687"/>
    <cellStyle name="40% - Accent1 2 5 2" xfId="4313"/>
    <cellStyle name="40% - Accent1 2 6" xfId="3001"/>
    <cellStyle name="40% - Accent1 2 7" xfId="154"/>
    <cellStyle name="40% - Accent1 3" xfId="389"/>
    <cellStyle name="40% - Accent1 3 2" xfId="804"/>
    <cellStyle name="40% - Accent1 3 2 2" xfId="1463"/>
    <cellStyle name="40% - Accent1 3 2 2 2" xfId="2776"/>
    <cellStyle name="40% - Accent1 3 2 2 2 2" xfId="5400"/>
    <cellStyle name="40% - Accent1 3 2 2 3" xfId="4090"/>
    <cellStyle name="40% - Accent1 3 2 3" xfId="2122"/>
    <cellStyle name="40% - Accent1 3 2 3 2" xfId="4746"/>
    <cellStyle name="40% - Accent1 3 2 4" xfId="3436"/>
    <cellStyle name="40% - Accent1 3 3" xfId="1149"/>
    <cellStyle name="40% - Accent1 3 3 2" xfId="2463"/>
    <cellStyle name="40% - Accent1 3 3 2 2" xfId="5087"/>
    <cellStyle name="40% - Accent1 3 3 3" xfId="3777"/>
    <cellStyle name="40% - Accent1 3 4" xfId="1809"/>
    <cellStyle name="40% - Accent1 3 4 2" xfId="4433"/>
    <cellStyle name="40% - Accent1 3 5" xfId="3123"/>
    <cellStyle name="40% - Accent1 4" xfId="624"/>
    <cellStyle name="40% - Accent1 4 2" xfId="942"/>
    <cellStyle name="40% - Accent1 4 2 2" xfId="1600"/>
    <cellStyle name="40% - Accent1 4 2 2 2" xfId="2913"/>
    <cellStyle name="40% - Accent1 4 2 2 2 2" xfId="5537"/>
    <cellStyle name="40% - Accent1 4 2 2 3" xfId="4227"/>
    <cellStyle name="40% - Accent1 4 2 3" xfId="2259"/>
    <cellStyle name="40% - Accent1 4 2 3 2" xfId="4883"/>
    <cellStyle name="40% - Accent1 4 2 4" xfId="3573"/>
    <cellStyle name="40% - Accent1 4 3" xfId="1286"/>
    <cellStyle name="40% - Accent1 4 3 2" xfId="2600"/>
    <cellStyle name="40% - Accent1 4 3 2 2" xfId="5224"/>
    <cellStyle name="40% - Accent1 4 3 3" xfId="3914"/>
    <cellStyle name="40% - Accent1 4 4" xfId="1946"/>
    <cellStyle name="40% - Accent1 4 4 2" xfId="4570"/>
    <cellStyle name="40% - Accent1 4 5" xfId="3260"/>
    <cellStyle name="40% - Accent1 5" xfId="637"/>
    <cellStyle name="40% - Accent1 5 2" xfId="955"/>
    <cellStyle name="40% - Accent1 5 2 2" xfId="1613"/>
    <cellStyle name="40% - Accent1 5 2 2 2" xfId="2926"/>
    <cellStyle name="40% - Accent1 5 2 2 2 2" xfId="5550"/>
    <cellStyle name="40% - Accent1 5 2 2 3" xfId="4240"/>
    <cellStyle name="40% - Accent1 5 2 3" xfId="2272"/>
    <cellStyle name="40% - Accent1 5 2 3 2" xfId="4896"/>
    <cellStyle name="40% - Accent1 5 2 4" xfId="3586"/>
    <cellStyle name="40% - Accent1 5 3" xfId="1299"/>
    <cellStyle name="40% - Accent1 5 3 2" xfId="2613"/>
    <cellStyle name="40% - Accent1 5 3 2 2" xfId="5237"/>
    <cellStyle name="40% - Accent1 5 3 3" xfId="3927"/>
    <cellStyle name="40% - Accent1 5 4" xfId="1959"/>
    <cellStyle name="40% - Accent1 5 4 2" xfId="4583"/>
    <cellStyle name="40% - Accent1 5 5" xfId="3273"/>
    <cellStyle name="40% - Accent1 6" xfId="651"/>
    <cellStyle name="40% - Accent1 6 2" xfId="968"/>
    <cellStyle name="40% - Accent1 6 2 2" xfId="1626"/>
    <cellStyle name="40% - Accent1 6 2 2 2" xfId="2939"/>
    <cellStyle name="40% - Accent1 6 2 2 2 2" xfId="5563"/>
    <cellStyle name="40% - Accent1 6 2 2 3" xfId="4253"/>
    <cellStyle name="40% - Accent1 6 2 3" xfId="2285"/>
    <cellStyle name="40% - Accent1 6 2 3 2" xfId="4909"/>
    <cellStyle name="40% - Accent1 6 2 4" xfId="3599"/>
    <cellStyle name="40% - Accent1 6 3" xfId="1313"/>
    <cellStyle name="40% - Accent1 6 3 2" xfId="2626"/>
    <cellStyle name="40% - Accent1 6 3 2 2" xfId="5250"/>
    <cellStyle name="40% - Accent1 6 3 3" xfId="3940"/>
    <cellStyle name="40% - Accent1 6 4" xfId="1972"/>
    <cellStyle name="40% - Accent1 6 4 2" xfId="4596"/>
    <cellStyle name="40% - Accent1 6 5" xfId="3286"/>
    <cellStyle name="40% - Accent1 7" xfId="664"/>
    <cellStyle name="40% - Accent1 7 2" xfId="1326"/>
    <cellStyle name="40% - Accent1 7 2 2" xfId="2639"/>
    <cellStyle name="40% - Accent1 7 2 2 2" xfId="5263"/>
    <cellStyle name="40% - Accent1 7 2 3" xfId="3953"/>
    <cellStyle name="40% - Accent1 7 3" xfId="1985"/>
    <cellStyle name="40% - Accent1 7 3 2" xfId="4609"/>
    <cellStyle name="40% - Accent1 7 4" xfId="3299"/>
    <cellStyle name="40% - Accent1 8" xfId="984"/>
    <cellStyle name="40% - Accent1 8 2" xfId="1641"/>
    <cellStyle name="40% - Accent1 8 2 2" xfId="2954"/>
    <cellStyle name="40% - Accent1 8 2 2 2" xfId="5578"/>
    <cellStyle name="40% - Accent1 8 2 3" xfId="4268"/>
    <cellStyle name="40% - Accent1 8 3" xfId="2300"/>
    <cellStyle name="40% - Accent1 8 3 2" xfId="4924"/>
    <cellStyle name="40% - Accent1 8 4" xfId="3614"/>
    <cellStyle name="40% - Accent1 9" xfId="998"/>
    <cellStyle name="40% - Accent1 9 2" xfId="2314"/>
    <cellStyle name="40% - Accent1 9 2 2" xfId="4938"/>
    <cellStyle name="40% - Accent1 9 3" xfId="3628"/>
    <cellStyle name="40% - Accent2" xfId="130" builtinId="35" customBuiltin="1"/>
    <cellStyle name="40% - Accent2 10" xfId="1023"/>
    <cellStyle name="40% - Accent2 10 2" xfId="2339"/>
    <cellStyle name="40% - Accent2 10 2 2" xfId="4963"/>
    <cellStyle name="40% - Accent2 10 3" xfId="3653"/>
    <cellStyle name="40% - Accent2 11" xfId="1656"/>
    <cellStyle name="40% - Accent2 11 2" xfId="2969"/>
    <cellStyle name="40% - Accent2 11 2 2" xfId="5593"/>
    <cellStyle name="40% - Accent2 11 3" xfId="4283"/>
    <cellStyle name="40% - Accent2 12" xfId="1671"/>
    <cellStyle name="40% - Accent2 12 2" xfId="4298"/>
    <cellStyle name="40% - Accent2 13" xfId="2985"/>
    <cellStyle name="40% - Accent2 2" xfId="14"/>
    <cellStyle name="40% - Accent2 2 2" xfId="408"/>
    <cellStyle name="40% - Accent2 2 2 2" xfId="823"/>
    <cellStyle name="40% - Accent2 2 2 2 2" xfId="1481"/>
    <cellStyle name="40% - Accent2 2 2 2 2 2" xfId="2794"/>
    <cellStyle name="40% - Accent2 2 2 2 2 2 2" xfId="5418"/>
    <cellStyle name="40% - Accent2 2 2 2 2 3" xfId="4108"/>
    <cellStyle name="40% - Accent2 2 2 2 3" xfId="2140"/>
    <cellStyle name="40% - Accent2 2 2 2 3 2" xfId="4764"/>
    <cellStyle name="40% - Accent2 2 2 2 4" xfId="3454"/>
    <cellStyle name="40% - Accent2 2 2 3" xfId="1167"/>
    <cellStyle name="40% - Accent2 2 2 3 2" xfId="2481"/>
    <cellStyle name="40% - Accent2 2 2 3 2 2" xfId="5105"/>
    <cellStyle name="40% - Accent2 2 2 3 3" xfId="3795"/>
    <cellStyle name="40% - Accent2 2 2 4" xfId="1827"/>
    <cellStyle name="40% - Accent2 2 2 4 2" xfId="4451"/>
    <cellStyle name="40% - Accent2 2 2 5" xfId="3141"/>
    <cellStyle name="40% - Accent2 2 3" xfId="683"/>
    <cellStyle name="40% - Accent2 2 3 2" xfId="1344"/>
    <cellStyle name="40% - Accent2 2 3 2 2" xfId="2657"/>
    <cellStyle name="40% - Accent2 2 3 2 2 2" xfId="5281"/>
    <cellStyle name="40% - Accent2 2 3 2 3" xfId="3971"/>
    <cellStyle name="40% - Accent2 2 3 3" xfId="2003"/>
    <cellStyle name="40% - Accent2 2 3 3 2" xfId="4627"/>
    <cellStyle name="40% - Accent2 2 3 4" xfId="3317"/>
    <cellStyle name="40% - Accent2 2 4" xfId="1024"/>
    <cellStyle name="40% - Accent2 2 4 2" xfId="2340"/>
    <cellStyle name="40% - Accent2 2 4 2 2" xfId="4964"/>
    <cellStyle name="40% - Accent2 2 4 3" xfId="3654"/>
    <cellStyle name="40% - Accent2 2 5" xfId="1688"/>
    <cellStyle name="40% - Accent2 2 5 2" xfId="4314"/>
    <cellStyle name="40% - Accent2 2 6" xfId="3002"/>
    <cellStyle name="40% - Accent2 2 7" xfId="155"/>
    <cellStyle name="40% - Accent2 3" xfId="391"/>
    <cellStyle name="40% - Accent2 3 2" xfId="806"/>
    <cellStyle name="40% - Accent2 3 2 2" xfId="1465"/>
    <cellStyle name="40% - Accent2 3 2 2 2" xfId="2778"/>
    <cellStyle name="40% - Accent2 3 2 2 2 2" xfId="5402"/>
    <cellStyle name="40% - Accent2 3 2 2 3" xfId="4092"/>
    <cellStyle name="40% - Accent2 3 2 3" xfId="2124"/>
    <cellStyle name="40% - Accent2 3 2 3 2" xfId="4748"/>
    <cellStyle name="40% - Accent2 3 2 4" xfId="3438"/>
    <cellStyle name="40% - Accent2 3 3" xfId="1151"/>
    <cellStyle name="40% - Accent2 3 3 2" xfId="2465"/>
    <cellStyle name="40% - Accent2 3 3 2 2" xfId="5089"/>
    <cellStyle name="40% - Accent2 3 3 3" xfId="3779"/>
    <cellStyle name="40% - Accent2 3 4" xfId="1811"/>
    <cellStyle name="40% - Accent2 3 4 2" xfId="4435"/>
    <cellStyle name="40% - Accent2 3 5" xfId="3125"/>
    <cellStyle name="40% - Accent2 4" xfId="626"/>
    <cellStyle name="40% - Accent2 4 2" xfId="944"/>
    <cellStyle name="40% - Accent2 4 2 2" xfId="1602"/>
    <cellStyle name="40% - Accent2 4 2 2 2" xfId="2915"/>
    <cellStyle name="40% - Accent2 4 2 2 2 2" xfId="5539"/>
    <cellStyle name="40% - Accent2 4 2 2 3" xfId="4229"/>
    <cellStyle name="40% - Accent2 4 2 3" xfId="2261"/>
    <cellStyle name="40% - Accent2 4 2 3 2" xfId="4885"/>
    <cellStyle name="40% - Accent2 4 2 4" xfId="3575"/>
    <cellStyle name="40% - Accent2 4 3" xfId="1288"/>
    <cellStyle name="40% - Accent2 4 3 2" xfId="2602"/>
    <cellStyle name="40% - Accent2 4 3 2 2" xfId="5226"/>
    <cellStyle name="40% - Accent2 4 3 3" xfId="3916"/>
    <cellStyle name="40% - Accent2 4 4" xfId="1948"/>
    <cellStyle name="40% - Accent2 4 4 2" xfId="4572"/>
    <cellStyle name="40% - Accent2 4 5" xfId="3262"/>
    <cellStyle name="40% - Accent2 5" xfId="639"/>
    <cellStyle name="40% - Accent2 5 2" xfId="957"/>
    <cellStyle name="40% - Accent2 5 2 2" xfId="1615"/>
    <cellStyle name="40% - Accent2 5 2 2 2" xfId="2928"/>
    <cellStyle name="40% - Accent2 5 2 2 2 2" xfId="5552"/>
    <cellStyle name="40% - Accent2 5 2 2 3" xfId="4242"/>
    <cellStyle name="40% - Accent2 5 2 3" xfId="2274"/>
    <cellStyle name="40% - Accent2 5 2 3 2" xfId="4898"/>
    <cellStyle name="40% - Accent2 5 2 4" xfId="3588"/>
    <cellStyle name="40% - Accent2 5 3" xfId="1301"/>
    <cellStyle name="40% - Accent2 5 3 2" xfId="2615"/>
    <cellStyle name="40% - Accent2 5 3 2 2" xfId="5239"/>
    <cellStyle name="40% - Accent2 5 3 3" xfId="3929"/>
    <cellStyle name="40% - Accent2 5 4" xfId="1961"/>
    <cellStyle name="40% - Accent2 5 4 2" xfId="4585"/>
    <cellStyle name="40% - Accent2 5 5" xfId="3275"/>
    <cellStyle name="40% - Accent2 6" xfId="653"/>
    <cellStyle name="40% - Accent2 6 2" xfId="970"/>
    <cellStyle name="40% - Accent2 6 2 2" xfId="1628"/>
    <cellStyle name="40% - Accent2 6 2 2 2" xfId="2941"/>
    <cellStyle name="40% - Accent2 6 2 2 2 2" xfId="5565"/>
    <cellStyle name="40% - Accent2 6 2 2 3" xfId="4255"/>
    <cellStyle name="40% - Accent2 6 2 3" xfId="2287"/>
    <cellStyle name="40% - Accent2 6 2 3 2" xfId="4911"/>
    <cellStyle name="40% - Accent2 6 2 4" xfId="3601"/>
    <cellStyle name="40% - Accent2 6 3" xfId="1315"/>
    <cellStyle name="40% - Accent2 6 3 2" xfId="2628"/>
    <cellStyle name="40% - Accent2 6 3 2 2" xfId="5252"/>
    <cellStyle name="40% - Accent2 6 3 3" xfId="3942"/>
    <cellStyle name="40% - Accent2 6 4" xfId="1974"/>
    <cellStyle name="40% - Accent2 6 4 2" xfId="4598"/>
    <cellStyle name="40% - Accent2 6 5" xfId="3288"/>
    <cellStyle name="40% - Accent2 7" xfId="666"/>
    <cellStyle name="40% - Accent2 7 2" xfId="1328"/>
    <cellStyle name="40% - Accent2 7 2 2" xfId="2641"/>
    <cellStyle name="40% - Accent2 7 2 2 2" xfId="5265"/>
    <cellStyle name="40% - Accent2 7 2 3" xfId="3955"/>
    <cellStyle name="40% - Accent2 7 3" xfId="1987"/>
    <cellStyle name="40% - Accent2 7 3 2" xfId="4611"/>
    <cellStyle name="40% - Accent2 7 4" xfId="3301"/>
    <cellStyle name="40% - Accent2 8" xfId="986"/>
    <cellStyle name="40% - Accent2 8 2" xfId="1643"/>
    <cellStyle name="40% - Accent2 8 2 2" xfId="2956"/>
    <cellStyle name="40% - Accent2 8 2 2 2" xfId="5580"/>
    <cellStyle name="40% - Accent2 8 2 3" xfId="4270"/>
    <cellStyle name="40% - Accent2 8 3" xfId="2302"/>
    <cellStyle name="40% - Accent2 8 3 2" xfId="4926"/>
    <cellStyle name="40% - Accent2 8 4" xfId="3616"/>
    <cellStyle name="40% - Accent2 9" xfId="1000"/>
    <cellStyle name="40% - Accent2 9 2" xfId="2316"/>
    <cellStyle name="40% - Accent2 9 2 2" xfId="4940"/>
    <cellStyle name="40% - Accent2 9 3" xfId="3630"/>
    <cellStyle name="40% - Accent3" xfId="134" builtinId="39" customBuiltin="1"/>
    <cellStyle name="40% - Accent3 10" xfId="1025"/>
    <cellStyle name="40% - Accent3 10 2" xfId="2341"/>
    <cellStyle name="40% - Accent3 10 2 2" xfId="4965"/>
    <cellStyle name="40% - Accent3 10 3" xfId="3655"/>
    <cellStyle name="40% - Accent3 11" xfId="1658"/>
    <cellStyle name="40% - Accent3 11 2" xfId="2971"/>
    <cellStyle name="40% - Accent3 11 2 2" xfId="5595"/>
    <cellStyle name="40% - Accent3 11 3" xfId="4285"/>
    <cellStyle name="40% - Accent3 12" xfId="1673"/>
    <cellStyle name="40% - Accent3 12 2" xfId="4300"/>
    <cellStyle name="40% - Accent3 13" xfId="2987"/>
    <cellStyle name="40% - Accent3 2" xfId="15"/>
    <cellStyle name="40% - Accent3 2 2" xfId="409"/>
    <cellStyle name="40% - Accent3 2 2 2" xfId="824"/>
    <cellStyle name="40% - Accent3 2 2 2 2" xfId="1482"/>
    <cellStyle name="40% - Accent3 2 2 2 2 2" xfId="2795"/>
    <cellStyle name="40% - Accent3 2 2 2 2 2 2" xfId="5419"/>
    <cellStyle name="40% - Accent3 2 2 2 2 3" xfId="4109"/>
    <cellStyle name="40% - Accent3 2 2 2 3" xfId="2141"/>
    <cellStyle name="40% - Accent3 2 2 2 3 2" xfId="4765"/>
    <cellStyle name="40% - Accent3 2 2 2 4" xfId="3455"/>
    <cellStyle name="40% - Accent3 2 2 3" xfId="1168"/>
    <cellStyle name="40% - Accent3 2 2 3 2" xfId="2482"/>
    <cellStyle name="40% - Accent3 2 2 3 2 2" xfId="5106"/>
    <cellStyle name="40% - Accent3 2 2 3 3" xfId="3796"/>
    <cellStyle name="40% - Accent3 2 2 4" xfId="1828"/>
    <cellStyle name="40% - Accent3 2 2 4 2" xfId="4452"/>
    <cellStyle name="40% - Accent3 2 2 5" xfId="3142"/>
    <cellStyle name="40% - Accent3 2 3" xfId="684"/>
    <cellStyle name="40% - Accent3 2 3 2" xfId="1345"/>
    <cellStyle name="40% - Accent3 2 3 2 2" xfId="2658"/>
    <cellStyle name="40% - Accent3 2 3 2 2 2" xfId="5282"/>
    <cellStyle name="40% - Accent3 2 3 2 3" xfId="3972"/>
    <cellStyle name="40% - Accent3 2 3 3" xfId="2004"/>
    <cellStyle name="40% - Accent3 2 3 3 2" xfId="4628"/>
    <cellStyle name="40% - Accent3 2 3 4" xfId="3318"/>
    <cellStyle name="40% - Accent3 2 4" xfId="1026"/>
    <cellStyle name="40% - Accent3 2 4 2" xfId="2342"/>
    <cellStyle name="40% - Accent3 2 4 2 2" xfId="4966"/>
    <cellStyle name="40% - Accent3 2 4 3" xfId="3656"/>
    <cellStyle name="40% - Accent3 2 5" xfId="1689"/>
    <cellStyle name="40% - Accent3 2 5 2" xfId="4315"/>
    <cellStyle name="40% - Accent3 2 6" xfId="3003"/>
    <cellStyle name="40% - Accent3 2 7" xfId="156"/>
    <cellStyle name="40% - Accent3 3" xfId="393"/>
    <cellStyle name="40% - Accent3 3 2" xfId="808"/>
    <cellStyle name="40% - Accent3 3 2 2" xfId="1467"/>
    <cellStyle name="40% - Accent3 3 2 2 2" xfId="2780"/>
    <cellStyle name="40% - Accent3 3 2 2 2 2" xfId="5404"/>
    <cellStyle name="40% - Accent3 3 2 2 3" xfId="4094"/>
    <cellStyle name="40% - Accent3 3 2 3" xfId="2126"/>
    <cellStyle name="40% - Accent3 3 2 3 2" xfId="4750"/>
    <cellStyle name="40% - Accent3 3 2 4" xfId="3440"/>
    <cellStyle name="40% - Accent3 3 3" xfId="1153"/>
    <cellStyle name="40% - Accent3 3 3 2" xfId="2467"/>
    <cellStyle name="40% - Accent3 3 3 2 2" xfId="5091"/>
    <cellStyle name="40% - Accent3 3 3 3" xfId="3781"/>
    <cellStyle name="40% - Accent3 3 4" xfId="1813"/>
    <cellStyle name="40% - Accent3 3 4 2" xfId="4437"/>
    <cellStyle name="40% - Accent3 3 5" xfId="3127"/>
    <cellStyle name="40% - Accent3 4" xfId="628"/>
    <cellStyle name="40% - Accent3 4 2" xfId="946"/>
    <cellStyle name="40% - Accent3 4 2 2" xfId="1604"/>
    <cellStyle name="40% - Accent3 4 2 2 2" xfId="2917"/>
    <cellStyle name="40% - Accent3 4 2 2 2 2" xfId="5541"/>
    <cellStyle name="40% - Accent3 4 2 2 3" xfId="4231"/>
    <cellStyle name="40% - Accent3 4 2 3" xfId="2263"/>
    <cellStyle name="40% - Accent3 4 2 3 2" xfId="4887"/>
    <cellStyle name="40% - Accent3 4 2 4" xfId="3577"/>
    <cellStyle name="40% - Accent3 4 3" xfId="1290"/>
    <cellStyle name="40% - Accent3 4 3 2" xfId="2604"/>
    <cellStyle name="40% - Accent3 4 3 2 2" xfId="5228"/>
    <cellStyle name="40% - Accent3 4 3 3" xfId="3918"/>
    <cellStyle name="40% - Accent3 4 4" xfId="1950"/>
    <cellStyle name="40% - Accent3 4 4 2" xfId="4574"/>
    <cellStyle name="40% - Accent3 4 5" xfId="3264"/>
    <cellStyle name="40% - Accent3 5" xfId="641"/>
    <cellStyle name="40% - Accent3 5 2" xfId="959"/>
    <cellStyle name="40% - Accent3 5 2 2" xfId="1617"/>
    <cellStyle name="40% - Accent3 5 2 2 2" xfId="2930"/>
    <cellStyle name="40% - Accent3 5 2 2 2 2" xfId="5554"/>
    <cellStyle name="40% - Accent3 5 2 2 3" xfId="4244"/>
    <cellStyle name="40% - Accent3 5 2 3" xfId="2276"/>
    <cellStyle name="40% - Accent3 5 2 3 2" xfId="4900"/>
    <cellStyle name="40% - Accent3 5 2 4" xfId="3590"/>
    <cellStyle name="40% - Accent3 5 3" xfId="1303"/>
    <cellStyle name="40% - Accent3 5 3 2" xfId="2617"/>
    <cellStyle name="40% - Accent3 5 3 2 2" xfId="5241"/>
    <cellStyle name="40% - Accent3 5 3 3" xfId="3931"/>
    <cellStyle name="40% - Accent3 5 4" xfId="1963"/>
    <cellStyle name="40% - Accent3 5 4 2" xfId="4587"/>
    <cellStyle name="40% - Accent3 5 5" xfId="3277"/>
    <cellStyle name="40% - Accent3 6" xfId="655"/>
    <cellStyle name="40% - Accent3 6 2" xfId="972"/>
    <cellStyle name="40% - Accent3 6 2 2" xfId="1630"/>
    <cellStyle name="40% - Accent3 6 2 2 2" xfId="2943"/>
    <cellStyle name="40% - Accent3 6 2 2 2 2" xfId="5567"/>
    <cellStyle name="40% - Accent3 6 2 2 3" xfId="4257"/>
    <cellStyle name="40% - Accent3 6 2 3" xfId="2289"/>
    <cellStyle name="40% - Accent3 6 2 3 2" xfId="4913"/>
    <cellStyle name="40% - Accent3 6 2 4" xfId="3603"/>
    <cellStyle name="40% - Accent3 6 3" xfId="1317"/>
    <cellStyle name="40% - Accent3 6 3 2" xfId="2630"/>
    <cellStyle name="40% - Accent3 6 3 2 2" xfId="5254"/>
    <cellStyle name="40% - Accent3 6 3 3" xfId="3944"/>
    <cellStyle name="40% - Accent3 6 4" xfId="1976"/>
    <cellStyle name="40% - Accent3 6 4 2" xfId="4600"/>
    <cellStyle name="40% - Accent3 6 5" xfId="3290"/>
    <cellStyle name="40% - Accent3 7" xfId="668"/>
    <cellStyle name="40% - Accent3 7 2" xfId="1330"/>
    <cellStyle name="40% - Accent3 7 2 2" xfId="2643"/>
    <cellStyle name="40% - Accent3 7 2 2 2" xfId="5267"/>
    <cellStyle name="40% - Accent3 7 2 3" xfId="3957"/>
    <cellStyle name="40% - Accent3 7 3" xfId="1989"/>
    <cellStyle name="40% - Accent3 7 3 2" xfId="4613"/>
    <cellStyle name="40% - Accent3 7 4" xfId="3303"/>
    <cellStyle name="40% - Accent3 8" xfId="988"/>
    <cellStyle name="40% - Accent3 8 2" xfId="1645"/>
    <cellStyle name="40% - Accent3 8 2 2" xfId="2958"/>
    <cellStyle name="40% - Accent3 8 2 2 2" xfId="5582"/>
    <cellStyle name="40% - Accent3 8 2 3" xfId="4272"/>
    <cellStyle name="40% - Accent3 8 3" xfId="2304"/>
    <cellStyle name="40% - Accent3 8 3 2" xfId="4928"/>
    <cellStyle name="40% - Accent3 8 4" xfId="3618"/>
    <cellStyle name="40% - Accent3 9" xfId="1002"/>
    <cellStyle name="40% - Accent3 9 2" xfId="2318"/>
    <cellStyle name="40% - Accent3 9 2 2" xfId="4942"/>
    <cellStyle name="40% - Accent3 9 3" xfId="3632"/>
    <cellStyle name="40% - Accent4" xfId="138" builtinId="43" customBuiltin="1"/>
    <cellStyle name="40% - Accent4 10" xfId="1027"/>
    <cellStyle name="40% - Accent4 10 2" xfId="2343"/>
    <cellStyle name="40% - Accent4 10 2 2" xfId="4967"/>
    <cellStyle name="40% - Accent4 10 3" xfId="3657"/>
    <cellStyle name="40% - Accent4 11" xfId="1660"/>
    <cellStyle name="40% - Accent4 11 2" xfId="2973"/>
    <cellStyle name="40% - Accent4 11 2 2" xfId="5597"/>
    <cellStyle name="40% - Accent4 11 3" xfId="4287"/>
    <cellStyle name="40% - Accent4 12" xfId="1675"/>
    <cellStyle name="40% - Accent4 12 2" xfId="4302"/>
    <cellStyle name="40% - Accent4 13" xfId="2989"/>
    <cellStyle name="40% - Accent4 2" xfId="16"/>
    <cellStyle name="40% - Accent4 2 2" xfId="410"/>
    <cellStyle name="40% - Accent4 2 2 2" xfId="825"/>
    <cellStyle name="40% - Accent4 2 2 2 2" xfId="1483"/>
    <cellStyle name="40% - Accent4 2 2 2 2 2" xfId="2796"/>
    <cellStyle name="40% - Accent4 2 2 2 2 2 2" xfId="5420"/>
    <cellStyle name="40% - Accent4 2 2 2 2 3" xfId="4110"/>
    <cellStyle name="40% - Accent4 2 2 2 3" xfId="2142"/>
    <cellStyle name="40% - Accent4 2 2 2 3 2" xfId="4766"/>
    <cellStyle name="40% - Accent4 2 2 2 4" xfId="3456"/>
    <cellStyle name="40% - Accent4 2 2 3" xfId="1169"/>
    <cellStyle name="40% - Accent4 2 2 3 2" xfId="2483"/>
    <cellStyle name="40% - Accent4 2 2 3 2 2" xfId="5107"/>
    <cellStyle name="40% - Accent4 2 2 3 3" xfId="3797"/>
    <cellStyle name="40% - Accent4 2 2 4" xfId="1829"/>
    <cellStyle name="40% - Accent4 2 2 4 2" xfId="4453"/>
    <cellStyle name="40% - Accent4 2 2 5" xfId="3143"/>
    <cellStyle name="40% - Accent4 2 3" xfId="685"/>
    <cellStyle name="40% - Accent4 2 3 2" xfId="1346"/>
    <cellStyle name="40% - Accent4 2 3 2 2" xfId="2659"/>
    <cellStyle name="40% - Accent4 2 3 2 2 2" xfId="5283"/>
    <cellStyle name="40% - Accent4 2 3 2 3" xfId="3973"/>
    <cellStyle name="40% - Accent4 2 3 3" xfId="2005"/>
    <cellStyle name="40% - Accent4 2 3 3 2" xfId="4629"/>
    <cellStyle name="40% - Accent4 2 3 4" xfId="3319"/>
    <cellStyle name="40% - Accent4 2 4" xfId="1028"/>
    <cellStyle name="40% - Accent4 2 4 2" xfId="2344"/>
    <cellStyle name="40% - Accent4 2 4 2 2" xfId="4968"/>
    <cellStyle name="40% - Accent4 2 4 3" xfId="3658"/>
    <cellStyle name="40% - Accent4 2 5" xfId="1690"/>
    <cellStyle name="40% - Accent4 2 5 2" xfId="4316"/>
    <cellStyle name="40% - Accent4 2 6" xfId="3004"/>
    <cellStyle name="40% - Accent4 2 7" xfId="157"/>
    <cellStyle name="40% - Accent4 3" xfId="395"/>
    <cellStyle name="40% - Accent4 3 2" xfId="810"/>
    <cellStyle name="40% - Accent4 3 2 2" xfId="1469"/>
    <cellStyle name="40% - Accent4 3 2 2 2" xfId="2782"/>
    <cellStyle name="40% - Accent4 3 2 2 2 2" xfId="5406"/>
    <cellStyle name="40% - Accent4 3 2 2 3" xfId="4096"/>
    <cellStyle name="40% - Accent4 3 2 3" xfId="2128"/>
    <cellStyle name="40% - Accent4 3 2 3 2" xfId="4752"/>
    <cellStyle name="40% - Accent4 3 2 4" xfId="3442"/>
    <cellStyle name="40% - Accent4 3 3" xfId="1155"/>
    <cellStyle name="40% - Accent4 3 3 2" xfId="2469"/>
    <cellStyle name="40% - Accent4 3 3 2 2" xfId="5093"/>
    <cellStyle name="40% - Accent4 3 3 3" xfId="3783"/>
    <cellStyle name="40% - Accent4 3 4" xfId="1815"/>
    <cellStyle name="40% - Accent4 3 4 2" xfId="4439"/>
    <cellStyle name="40% - Accent4 3 5" xfId="3129"/>
    <cellStyle name="40% - Accent4 4" xfId="630"/>
    <cellStyle name="40% - Accent4 4 2" xfId="948"/>
    <cellStyle name="40% - Accent4 4 2 2" xfId="1606"/>
    <cellStyle name="40% - Accent4 4 2 2 2" xfId="2919"/>
    <cellStyle name="40% - Accent4 4 2 2 2 2" xfId="5543"/>
    <cellStyle name="40% - Accent4 4 2 2 3" xfId="4233"/>
    <cellStyle name="40% - Accent4 4 2 3" xfId="2265"/>
    <cellStyle name="40% - Accent4 4 2 3 2" xfId="4889"/>
    <cellStyle name="40% - Accent4 4 2 4" xfId="3579"/>
    <cellStyle name="40% - Accent4 4 3" xfId="1292"/>
    <cellStyle name="40% - Accent4 4 3 2" xfId="2606"/>
    <cellStyle name="40% - Accent4 4 3 2 2" xfId="5230"/>
    <cellStyle name="40% - Accent4 4 3 3" xfId="3920"/>
    <cellStyle name="40% - Accent4 4 4" xfId="1952"/>
    <cellStyle name="40% - Accent4 4 4 2" xfId="4576"/>
    <cellStyle name="40% - Accent4 4 5" xfId="3266"/>
    <cellStyle name="40% - Accent4 5" xfId="643"/>
    <cellStyle name="40% - Accent4 5 2" xfId="961"/>
    <cellStyle name="40% - Accent4 5 2 2" xfId="1619"/>
    <cellStyle name="40% - Accent4 5 2 2 2" xfId="2932"/>
    <cellStyle name="40% - Accent4 5 2 2 2 2" xfId="5556"/>
    <cellStyle name="40% - Accent4 5 2 2 3" xfId="4246"/>
    <cellStyle name="40% - Accent4 5 2 3" xfId="2278"/>
    <cellStyle name="40% - Accent4 5 2 3 2" xfId="4902"/>
    <cellStyle name="40% - Accent4 5 2 4" xfId="3592"/>
    <cellStyle name="40% - Accent4 5 3" xfId="1305"/>
    <cellStyle name="40% - Accent4 5 3 2" xfId="2619"/>
    <cellStyle name="40% - Accent4 5 3 2 2" xfId="5243"/>
    <cellStyle name="40% - Accent4 5 3 3" xfId="3933"/>
    <cellStyle name="40% - Accent4 5 4" xfId="1965"/>
    <cellStyle name="40% - Accent4 5 4 2" xfId="4589"/>
    <cellStyle name="40% - Accent4 5 5" xfId="3279"/>
    <cellStyle name="40% - Accent4 6" xfId="657"/>
    <cellStyle name="40% - Accent4 6 2" xfId="974"/>
    <cellStyle name="40% - Accent4 6 2 2" xfId="1632"/>
    <cellStyle name="40% - Accent4 6 2 2 2" xfId="2945"/>
    <cellStyle name="40% - Accent4 6 2 2 2 2" xfId="5569"/>
    <cellStyle name="40% - Accent4 6 2 2 3" xfId="4259"/>
    <cellStyle name="40% - Accent4 6 2 3" xfId="2291"/>
    <cellStyle name="40% - Accent4 6 2 3 2" xfId="4915"/>
    <cellStyle name="40% - Accent4 6 2 4" xfId="3605"/>
    <cellStyle name="40% - Accent4 6 3" xfId="1319"/>
    <cellStyle name="40% - Accent4 6 3 2" xfId="2632"/>
    <cellStyle name="40% - Accent4 6 3 2 2" xfId="5256"/>
    <cellStyle name="40% - Accent4 6 3 3" xfId="3946"/>
    <cellStyle name="40% - Accent4 6 4" xfId="1978"/>
    <cellStyle name="40% - Accent4 6 4 2" xfId="4602"/>
    <cellStyle name="40% - Accent4 6 5" xfId="3292"/>
    <cellStyle name="40% - Accent4 7" xfId="670"/>
    <cellStyle name="40% - Accent4 7 2" xfId="1332"/>
    <cellStyle name="40% - Accent4 7 2 2" xfId="2645"/>
    <cellStyle name="40% - Accent4 7 2 2 2" xfId="5269"/>
    <cellStyle name="40% - Accent4 7 2 3" xfId="3959"/>
    <cellStyle name="40% - Accent4 7 3" xfId="1991"/>
    <cellStyle name="40% - Accent4 7 3 2" xfId="4615"/>
    <cellStyle name="40% - Accent4 7 4" xfId="3305"/>
    <cellStyle name="40% - Accent4 8" xfId="990"/>
    <cellStyle name="40% - Accent4 8 2" xfId="1647"/>
    <cellStyle name="40% - Accent4 8 2 2" xfId="2960"/>
    <cellStyle name="40% - Accent4 8 2 2 2" xfId="5584"/>
    <cellStyle name="40% - Accent4 8 2 3" xfId="4274"/>
    <cellStyle name="40% - Accent4 8 3" xfId="2306"/>
    <cellStyle name="40% - Accent4 8 3 2" xfId="4930"/>
    <cellStyle name="40% - Accent4 8 4" xfId="3620"/>
    <cellStyle name="40% - Accent4 9" xfId="1004"/>
    <cellStyle name="40% - Accent4 9 2" xfId="2320"/>
    <cellStyle name="40% - Accent4 9 2 2" xfId="4944"/>
    <cellStyle name="40% - Accent4 9 3" xfId="3634"/>
    <cellStyle name="40% - Accent5" xfId="142" builtinId="47" customBuiltin="1"/>
    <cellStyle name="40% - Accent5 10" xfId="1029"/>
    <cellStyle name="40% - Accent5 10 2" xfId="2345"/>
    <cellStyle name="40% - Accent5 10 2 2" xfId="4969"/>
    <cellStyle name="40% - Accent5 10 3" xfId="3659"/>
    <cellStyle name="40% - Accent5 11" xfId="1662"/>
    <cellStyle name="40% - Accent5 11 2" xfId="2975"/>
    <cellStyle name="40% - Accent5 11 2 2" xfId="5599"/>
    <cellStyle name="40% - Accent5 11 3" xfId="4289"/>
    <cellStyle name="40% - Accent5 12" xfId="1677"/>
    <cellStyle name="40% - Accent5 12 2" xfId="4304"/>
    <cellStyle name="40% - Accent5 13" xfId="2991"/>
    <cellStyle name="40% - Accent5 2" xfId="17"/>
    <cellStyle name="40% - Accent5 2 2" xfId="411"/>
    <cellStyle name="40% - Accent5 2 2 2" xfId="826"/>
    <cellStyle name="40% - Accent5 2 2 2 2" xfId="1484"/>
    <cellStyle name="40% - Accent5 2 2 2 2 2" xfId="2797"/>
    <cellStyle name="40% - Accent5 2 2 2 2 2 2" xfId="5421"/>
    <cellStyle name="40% - Accent5 2 2 2 2 3" xfId="4111"/>
    <cellStyle name="40% - Accent5 2 2 2 3" xfId="2143"/>
    <cellStyle name="40% - Accent5 2 2 2 3 2" xfId="4767"/>
    <cellStyle name="40% - Accent5 2 2 2 4" xfId="3457"/>
    <cellStyle name="40% - Accent5 2 2 3" xfId="1170"/>
    <cellStyle name="40% - Accent5 2 2 3 2" xfId="2484"/>
    <cellStyle name="40% - Accent5 2 2 3 2 2" xfId="5108"/>
    <cellStyle name="40% - Accent5 2 2 3 3" xfId="3798"/>
    <cellStyle name="40% - Accent5 2 2 4" xfId="1830"/>
    <cellStyle name="40% - Accent5 2 2 4 2" xfId="4454"/>
    <cellStyle name="40% - Accent5 2 2 5" xfId="3144"/>
    <cellStyle name="40% - Accent5 2 3" xfId="686"/>
    <cellStyle name="40% - Accent5 2 3 2" xfId="1347"/>
    <cellStyle name="40% - Accent5 2 3 2 2" xfId="2660"/>
    <cellStyle name="40% - Accent5 2 3 2 2 2" xfId="5284"/>
    <cellStyle name="40% - Accent5 2 3 2 3" xfId="3974"/>
    <cellStyle name="40% - Accent5 2 3 3" xfId="2006"/>
    <cellStyle name="40% - Accent5 2 3 3 2" xfId="4630"/>
    <cellStyle name="40% - Accent5 2 3 4" xfId="3320"/>
    <cellStyle name="40% - Accent5 2 4" xfId="1030"/>
    <cellStyle name="40% - Accent5 2 4 2" xfId="2346"/>
    <cellStyle name="40% - Accent5 2 4 2 2" xfId="4970"/>
    <cellStyle name="40% - Accent5 2 4 3" xfId="3660"/>
    <cellStyle name="40% - Accent5 2 5" xfId="1691"/>
    <cellStyle name="40% - Accent5 2 5 2" xfId="4317"/>
    <cellStyle name="40% - Accent5 2 6" xfId="3005"/>
    <cellStyle name="40% - Accent5 2 7" xfId="158"/>
    <cellStyle name="40% - Accent5 3" xfId="397"/>
    <cellStyle name="40% - Accent5 3 2" xfId="812"/>
    <cellStyle name="40% - Accent5 3 2 2" xfId="1471"/>
    <cellStyle name="40% - Accent5 3 2 2 2" xfId="2784"/>
    <cellStyle name="40% - Accent5 3 2 2 2 2" xfId="5408"/>
    <cellStyle name="40% - Accent5 3 2 2 3" xfId="4098"/>
    <cellStyle name="40% - Accent5 3 2 3" xfId="2130"/>
    <cellStyle name="40% - Accent5 3 2 3 2" xfId="4754"/>
    <cellStyle name="40% - Accent5 3 2 4" xfId="3444"/>
    <cellStyle name="40% - Accent5 3 3" xfId="1157"/>
    <cellStyle name="40% - Accent5 3 3 2" xfId="2471"/>
    <cellStyle name="40% - Accent5 3 3 2 2" xfId="5095"/>
    <cellStyle name="40% - Accent5 3 3 3" xfId="3785"/>
    <cellStyle name="40% - Accent5 3 4" xfId="1817"/>
    <cellStyle name="40% - Accent5 3 4 2" xfId="4441"/>
    <cellStyle name="40% - Accent5 3 5" xfId="3131"/>
    <cellStyle name="40% - Accent5 4" xfId="632"/>
    <cellStyle name="40% - Accent5 4 2" xfId="950"/>
    <cellStyle name="40% - Accent5 4 2 2" xfId="1608"/>
    <cellStyle name="40% - Accent5 4 2 2 2" xfId="2921"/>
    <cellStyle name="40% - Accent5 4 2 2 2 2" xfId="5545"/>
    <cellStyle name="40% - Accent5 4 2 2 3" xfId="4235"/>
    <cellStyle name="40% - Accent5 4 2 3" xfId="2267"/>
    <cellStyle name="40% - Accent5 4 2 3 2" xfId="4891"/>
    <cellStyle name="40% - Accent5 4 2 4" xfId="3581"/>
    <cellStyle name="40% - Accent5 4 3" xfId="1294"/>
    <cellStyle name="40% - Accent5 4 3 2" xfId="2608"/>
    <cellStyle name="40% - Accent5 4 3 2 2" xfId="5232"/>
    <cellStyle name="40% - Accent5 4 3 3" xfId="3922"/>
    <cellStyle name="40% - Accent5 4 4" xfId="1954"/>
    <cellStyle name="40% - Accent5 4 4 2" xfId="4578"/>
    <cellStyle name="40% - Accent5 4 5" xfId="3268"/>
    <cellStyle name="40% - Accent5 5" xfId="645"/>
    <cellStyle name="40% - Accent5 5 2" xfId="963"/>
    <cellStyle name="40% - Accent5 5 2 2" xfId="1621"/>
    <cellStyle name="40% - Accent5 5 2 2 2" xfId="2934"/>
    <cellStyle name="40% - Accent5 5 2 2 2 2" xfId="5558"/>
    <cellStyle name="40% - Accent5 5 2 2 3" xfId="4248"/>
    <cellStyle name="40% - Accent5 5 2 3" xfId="2280"/>
    <cellStyle name="40% - Accent5 5 2 3 2" xfId="4904"/>
    <cellStyle name="40% - Accent5 5 2 4" xfId="3594"/>
    <cellStyle name="40% - Accent5 5 3" xfId="1307"/>
    <cellStyle name="40% - Accent5 5 3 2" xfId="2621"/>
    <cellStyle name="40% - Accent5 5 3 2 2" xfId="5245"/>
    <cellStyle name="40% - Accent5 5 3 3" xfId="3935"/>
    <cellStyle name="40% - Accent5 5 4" xfId="1967"/>
    <cellStyle name="40% - Accent5 5 4 2" xfId="4591"/>
    <cellStyle name="40% - Accent5 5 5" xfId="3281"/>
    <cellStyle name="40% - Accent5 6" xfId="659"/>
    <cellStyle name="40% - Accent5 6 2" xfId="976"/>
    <cellStyle name="40% - Accent5 6 2 2" xfId="1634"/>
    <cellStyle name="40% - Accent5 6 2 2 2" xfId="2947"/>
    <cellStyle name="40% - Accent5 6 2 2 2 2" xfId="5571"/>
    <cellStyle name="40% - Accent5 6 2 2 3" xfId="4261"/>
    <cellStyle name="40% - Accent5 6 2 3" xfId="2293"/>
    <cellStyle name="40% - Accent5 6 2 3 2" xfId="4917"/>
    <cellStyle name="40% - Accent5 6 2 4" xfId="3607"/>
    <cellStyle name="40% - Accent5 6 3" xfId="1321"/>
    <cellStyle name="40% - Accent5 6 3 2" xfId="2634"/>
    <cellStyle name="40% - Accent5 6 3 2 2" xfId="5258"/>
    <cellStyle name="40% - Accent5 6 3 3" xfId="3948"/>
    <cellStyle name="40% - Accent5 6 4" xfId="1980"/>
    <cellStyle name="40% - Accent5 6 4 2" xfId="4604"/>
    <cellStyle name="40% - Accent5 6 5" xfId="3294"/>
    <cellStyle name="40% - Accent5 7" xfId="672"/>
    <cellStyle name="40% - Accent5 7 2" xfId="1334"/>
    <cellStyle name="40% - Accent5 7 2 2" xfId="2647"/>
    <cellStyle name="40% - Accent5 7 2 2 2" xfId="5271"/>
    <cellStyle name="40% - Accent5 7 2 3" xfId="3961"/>
    <cellStyle name="40% - Accent5 7 3" xfId="1993"/>
    <cellStyle name="40% - Accent5 7 3 2" xfId="4617"/>
    <cellStyle name="40% - Accent5 7 4" xfId="3307"/>
    <cellStyle name="40% - Accent5 8" xfId="992"/>
    <cellStyle name="40% - Accent5 8 2" xfId="1649"/>
    <cellStyle name="40% - Accent5 8 2 2" xfId="2962"/>
    <cellStyle name="40% - Accent5 8 2 2 2" xfId="5586"/>
    <cellStyle name="40% - Accent5 8 2 3" xfId="4276"/>
    <cellStyle name="40% - Accent5 8 3" xfId="2308"/>
    <cellStyle name="40% - Accent5 8 3 2" xfId="4932"/>
    <cellStyle name="40% - Accent5 8 4" xfId="3622"/>
    <cellStyle name="40% - Accent5 9" xfId="1006"/>
    <cellStyle name="40% - Accent5 9 2" xfId="2322"/>
    <cellStyle name="40% - Accent5 9 2 2" xfId="4946"/>
    <cellStyle name="40% - Accent5 9 3" xfId="3636"/>
    <cellStyle name="40% - Accent6" xfId="146" builtinId="51" customBuiltin="1"/>
    <cellStyle name="40% - Accent6 10" xfId="1031"/>
    <cellStyle name="40% - Accent6 10 2" xfId="2347"/>
    <cellStyle name="40% - Accent6 10 2 2" xfId="4971"/>
    <cellStyle name="40% - Accent6 10 3" xfId="3661"/>
    <cellStyle name="40% - Accent6 11" xfId="1664"/>
    <cellStyle name="40% - Accent6 11 2" xfId="2977"/>
    <cellStyle name="40% - Accent6 11 2 2" xfId="5601"/>
    <cellStyle name="40% - Accent6 11 3" xfId="4291"/>
    <cellStyle name="40% - Accent6 12" xfId="1679"/>
    <cellStyle name="40% - Accent6 12 2" xfId="4306"/>
    <cellStyle name="40% - Accent6 13" xfId="2993"/>
    <cellStyle name="40% - Accent6 2" xfId="18"/>
    <cellStyle name="40% - Accent6 2 2" xfId="412"/>
    <cellStyle name="40% - Accent6 2 2 2" xfId="827"/>
    <cellStyle name="40% - Accent6 2 2 2 2" xfId="1485"/>
    <cellStyle name="40% - Accent6 2 2 2 2 2" xfId="2798"/>
    <cellStyle name="40% - Accent6 2 2 2 2 2 2" xfId="5422"/>
    <cellStyle name="40% - Accent6 2 2 2 2 3" xfId="4112"/>
    <cellStyle name="40% - Accent6 2 2 2 3" xfId="2144"/>
    <cellStyle name="40% - Accent6 2 2 2 3 2" xfId="4768"/>
    <cellStyle name="40% - Accent6 2 2 2 4" xfId="3458"/>
    <cellStyle name="40% - Accent6 2 2 3" xfId="1171"/>
    <cellStyle name="40% - Accent6 2 2 3 2" xfId="2485"/>
    <cellStyle name="40% - Accent6 2 2 3 2 2" xfId="5109"/>
    <cellStyle name="40% - Accent6 2 2 3 3" xfId="3799"/>
    <cellStyle name="40% - Accent6 2 2 4" xfId="1831"/>
    <cellStyle name="40% - Accent6 2 2 4 2" xfId="4455"/>
    <cellStyle name="40% - Accent6 2 2 5" xfId="3145"/>
    <cellStyle name="40% - Accent6 2 3" xfId="687"/>
    <cellStyle name="40% - Accent6 2 3 2" xfId="1348"/>
    <cellStyle name="40% - Accent6 2 3 2 2" xfId="2661"/>
    <cellStyle name="40% - Accent6 2 3 2 2 2" xfId="5285"/>
    <cellStyle name="40% - Accent6 2 3 2 3" xfId="3975"/>
    <cellStyle name="40% - Accent6 2 3 3" xfId="2007"/>
    <cellStyle name="40% - Accent6 2 3 3 2" xfId="4631"/>
    <cellStyle name="40% - Accent6 2 3 4" xfId="3321"/>
    <cellStyle name="40% - Accent6 2 4" xfId="1032"/>
    <cellStyle name="40% - Accent6 2 4 2" xfId="2348"/>
    <cellStyle name="40% - Accent6 2 4 2 2" xfId="4972"/>
    <cellStyle name="40% - Accent6 2 4 3" xfId="3662"/>
    <cellStyle name="40% - Accent6 2 5" xfId="1692"/>
    <cellStyle name="40% - Accent6 2 5 2" xfId="4318"/>
    <cellStyle name="40% - Accent6 2 6" xfId="3006"/>
    <cellStyle name="40% - Accent6 2 7" xfId="159"/>
    <cellStyle name="40% - Accent6 3" xfId="399"/>
    <cellStyle name="40% - Accent6 3 2" xfId="814"/>
    <cellStyle name="40% - Accent6 3 2 2" xfId="1473"/>
    <cellStyle name="40% - Accent6 3 2 2 2" xfId="2786"/>
    <cellStyle name="40% - Accent6 3 2 2 2 2" xfId="5410"/>
    <cellStyle name="40% - Accent6 3 2 2 3" xfId="4100"/>
    <cellStyle name="40% - Accent6 3 2 3" xfId="2132"/>
    <cellStyle name="40% - Accent6 3 2 3 2" xfId="4756"/>
    <cellStyle name="40% - Accent6 3 2 4" xfId="3446"/>
    <cellStyle name="40% - Accent6 3 3" xfId="1159"/>
    <cellStyle name="40% - Accent6 3 3 2" xfId="2473"/>
    <cellStyle name="40% - Accent6 3 3 2 2" xfId="5097"/>
    <cellStyle name="40% - Accent6 3 3 3" xfId="3787"/>
    <cellStyle name="40% - Accent6 3 4" xfId="1819"/>
    <cellStyle name="40% - Accent6 3 4 2" xfId="4443"/>
    <cellStyle name="40% - Accent6 3 5" xfId="3133"/>
    <cellStyle name="40% - Accent6 4" xfId="634"/>
    <cellStyle name="40% - Accent6 4 2" xfId="952"/>
    <cellStyle name="40% - Accent6 4 2 2" xfId="1610"/>
    <cellStyle name="40% - Accent6 4 2 2 2" xfId="2923"/>
    <cellStyle name="40% - Accent6 4 2 2 2 2" xfId="5547"/>
    <cellStyle name="40% - Accent6 4 2 2 3" xfId="4237"/>
    <cellStyle name="40% - Accent6 4 2 3" xfId="2269"/>
    <cellStyle name="40% - Accent6 4 2 3 2" xfId="4893"/>
    <cellStyle name="40% - Accent6 4 2 4" xfId="3583"/>
    <cellStyle name="40% - Accent6 4 3" xfId="1296"/>
    <cellStyle name="40% - Accent6 4 3 2" xfId="2610"/>
    <cellStyle name="40% - Accent6 4 3 2 2" xfId="5234"/>
    <cellStyle name="40% - Accent6 4 3 3" xfId="3924"/>
    <cellStyle name="40% - Accent6 4 4" xfId="1956"/>
    <cellStyle name="40% - Accent6 4 4 2" xfId="4580"/>
    <cellStyle name="40% - Accent6 4 5" xfId="3270"/>
    <cellStyle name="40% - Accent6 5" xfId="647"/>
    <cellStyle name="40% - Accent6 5 2" xfId="965"/>
    <cellStyle name="40% - Accent6 5 2 2" xfId="1623"/>
    <cellStyle name="40% - Accent6 5 2 2 2" xfId="2936"/>
    <cellStyle name="40% - Accent6 5 2 2 2 2" xfId="5560"/>
    <cellStyle name="40% - Accent6 5 2 2 3" xfId="4250"/>
    <cellStyle name="40% - Accent6 5 2 3" xfId="2282"/>
    <cellStyle name="40% - Accent6 5 2 3 2" xfId="4906"/>
    <cellStyle name="40% - Accent6 5 2 4" xfId="3596"/>
    <cellStyle name="40% - Accent6 5 3" xfId="1309"/>
    <cellStyle name="40% - Accent6 5 3 2" xfId="2623"/>
    <cellStyle name="40% - Accent6 5 3 2 2" xfId="5247"/>
    <cellStyle name="40% - Accent6 5 3 3" xfId="3937"/>
    <cellStyle name="40% - Accent6 5 4" xfId="1969"/>
    <cellStyle name="40% - Accent6 5 4 2" xfId="4593"/>
    <cellStyle name="40% - Accent6 5 5" xfId="3283"/>
    <cellStyle name="40% - Accent6 6" xfId="661"/>
    <cellStyle name="40% - Accent6 6 2" xfId="978"/>
    <cellStyle name="40% - Accent6 6 2 2" xfId="1636"/>
    <cellStyle name="40% - Accent6 6 2 2 2" xfId="2949"/>
    <cellStyle name="40% - Accent6 6 2 2 2 2" xfId="5573"/>
    <cellStyle name="40% - Accent6 6 2 2 3" xfId="4263"/>
    <cellStyle name="40% - Accent6 6 2 3" xfId="2295"/>
    <cellStyle name="40% - Accent6 6 2 3 2" xfId="4919"/>
    <cellStyle name="40% - Accent6 6 2 4" xfId="3609"/>
    <cellStyle name="40% - Accent6 6 3" xfId="1323"/>
    <cellStyle name="40% - Accent6 6 3 2" xfId="2636"/>
    <cellStyle name="40% - Accent6 6 3 2 2" xfId="5260"/>
    <cellStyle name="40% - Accent6 6 3 3" xfId="3950"/>
    <cellStyle name="40% - Accent6 6 4" xfId="1982"/>
    <cellStyle name="40% - Accent6 6 4 2" xfId="4606"/>
    <cellStyle name="40% - Accent6 6 5" xfId="3296"/>
    <cellStyle name="40% - Accent6 7" xfId="674"/>
    <cellStyle name="40% - Accent6 7 2" xfId="1336"/>
    <cellStyle name="40% - Accent6 7 2 2" xfId="2649"/>
    <cellStyle name="40% - Accent6 7 2 2 2" xfId="5273"/>
    <cellStyle name="40% - Accent6 7 2 3" xfId="3963"/>
    <cellStyle name="40% - Accent6 7 3" xfId="1995"/>
    <cellStyle name="40% - Accent6 7 3 2" xfId="4619"/>
    <cellStyle name="40% - Accent6 7 4" xfId="3309"/>
    <cellStyle name="40% - Accent6 8" xfId="994"/>
    <cellStyle name="40% - Accent6 8 2" xfId="1651"/>
    <cellStyle name="40% - Accent6 8 2 2" xfId="2964"/>
    <cellStyle name="40% - Accent6 8 2 2 2" xfId="5588"/>
    <cellStyle name="40% - Accent6 8 2 3" xfId="4278"/>
    <cellStyle name="40% - Accent6 8 3" xfId="2310"/>
    <cellStyle name="40% - Accent6 8 3 2" xfId="4934"/>
    <cellStyle name="40% - Accent6 8 4" xfId="3624"/>
    <cellStyle name="40% - Accent6 9" xfId="1008"/>
    <cellStyle name="40% - Accent6 9 2" xfId="2324"/>
    <cellStyle name="40% - Accent6 9 2 2" xfId="4948"/>
    <cellStyle name="40% - Accent6 9 3" xfId="3638"/>
    <cellStyle name="60% - Accent1" xfId="127" builtinId="32" customBuiltin="1"/>
    <cellStyle name="60% - Accent1 2" xfId="19"/>
    <cellStyle name="60% - Accent1 2 2" xfId="160"/>
    <cellStyle name="60% - Accent2" xfId="131" builtinId="36" customBuiltin="1"/>
    <cellStyle name="60% - Accent2 2" xfId="20"/>
    <cellStyle name="60% - Accent2 2 2" xfId="161"/>
    <cellStyle name="60% - Accent3" xfId="135" builtinId="40" customBuiltin="1"/>
    <cellStyle name="60% - Accent3 2" xfId="21"/>
    <cellStyle name="60% - Accent3 2 2" xfId="162"/>
    <cellStyle name="60% - Accent4" xfId="139" builtinId="44" customBuiltin="1"/>
    <cellStyle name="60% - Accent4 2" xfId="22"/>
    <cellStyle name="60% - Accent4 2 2" xfId="163"/>
    <cellStyle name="60% - Accent5" xfId="143" builtinId="48" customBuiltin="1"/>
    <cellStyle name="60% - Accent5 2" xfId="23"/>
    <cellStyle name="60% - Accent5 2 2" xfId="164"/>
    <cellStyle name="60% - Accent6" xfId="147" builtinId="52" customBuiltin="1"/>
    <cellStyle name="60% - Accent6 2" xfId="24"/>
    <cellStyle name="60% - Accent6 2 2" xfId="165"/>
    <cellStyle name="Accent1" xfId="124" builtinId="29" customBuiltin="1"/>
    <cellStyle name="Accent1 - 20%" xfId="26"/>
    <cellStyle name="Accent1 - 40%" xfId="27"/>
    <cellStyle name="Accent1 - 60%" xfId="28"/>
    <cellStyle name="Accent1 2" xfId="25"/>
    <cellStyle name="Accent1 2 2" xfId="166"/>
    <cellStyle name="Accent2" xfId="128" builtinId="33" customBuiltin="1"/>
    <cellStyle name="Accent2 - 20%" xfId="30"/>
    <cellStyle name="Accent2 - 40%" xfId="31"/>
    <cellStyle name="Accent2 - 60%" xfId="32"/>
    <cellStyle name="Accent2 2" xfId="29"/>
    <cellStyle name="Accent2 2 2" xfId="167"/>
    <cellStyle name="Accent3" xfId="132" builtinId="37" customBuiltin="1"/>
    <cellStyle name="Accent3 - 20%" xfId="34"/>
    <cellStyle name="Accent3 - 40%" xfId="35"/>
    <cellStyle name="Accent3 - 60%" xfId="36"/>
    <cellStyle name="Accent3 2" xfId="33"/>
    <cellStyle name="Accent3 2 2" xfId="168"/>
    <cellStyle name="Accent4" xfId="136" builtinId="41" customBuiltin="1"/>
    <cellStyle name="Accent4 - 20%" xfId="38"/>
    <cellStyle name="Accent4 - 40%" xfId="39"/>
    <cellStyle name="Accent4 - 60%" xfId="40"/>
    <cellStyle name="Accent4 2" xfId="37"/>
    <cellStyle name="Accent4 2 2" xfId="169"/>
    <cellStyle name="Accent5" xfId="140" builtinId="45" customBuiltin="1"/>
    <cellStyle name="Accent5 - 20%" xfId="42"/>
    <cellStyle name="Accent5 - 40%" xfId="43"/>
    <cellStyle name="Accent5 - 60%" xfId="44"/>
    <cellStyle name="Accent5 2" xfId="41"/>
    <cellStyle name="Accent5 2 2" xfId="170"/>
    <cellStyle name="Accent6" xfId="144" builtinId="49" customBuiltin="1"/>
    <cellStyle name="Accent6 - 20%" xfId="46"/>
    <cellStyle name="Accent6 - 40%" xfId="47"/>
    <cellStyle name="Accent6 - 60%" xfId="48"/>
    <cellStyle name="Accent6 2" xfId="45"/>
    <cellStyle name="Accent6 2 2" xfId="171"/>
    <cellStyle name="Bad" xfId="114" builtinId="27" customBuiltin="1"/>
    <cellStyle name="Bad 2" xfId="49"/>
    <cellStyle name="Bad 2 2" xfId="172"/>
    <cellStyle name="Calculation" xfId="118" builtinId="22" customBuiltin="1"/>
    <cellStyle name="Calculation 2" xfId="50"/>
    <cellStyle name="Calculation 2 2" xfId="173"/>
    <cellStyle name="Check Cell" xfId="120" builtinId="23" customBuiltin="1"/>
    <cellStyle name="Check Cell 2" xfId="51"/>
    <cellStyle name="Check Cell 2 2" xfId="174"/>
    <cellStyle name="Comma 2" xfId="413"/>
    <cellStyle name="Comma 3" xfId="688"/>
    <cellStyle name="Comma 4" xfId="1033"/>
    <cellStyle name="Comma 5" xfId="1693"/>
    <cellStyle name="Comma 6" xfId="1666"/>
    <cellStyle name="Comma 6 2" xfId="4293"/>
    <cellStyle name="Comma 64" xfId="176"/>
    <cellStyle name="Comma 64 2" xfId="414"/>
    <cellStyle name="Comma 64 2 2" xfId="828"/>
    <cellStyle name="Comma 64 2 2 2" xfId="1486"/>
    <cellStyle name="Comma 64 2 2 2 2" xfId="2799"/>
    <cellStyle name="Comma 64 2 2 2 2 2" xfId="5423"/>
    <cellStyle name="Comma 64 2 2 2 3" xfId="4113"/>
    <cellStyle name="Comma 64 2 2 3" xfId="2145"/>
    <cellStyle name="Comma 64 2 2 3 2" xfId="4769"/>
    <cellStyle name="Comma 64 2 2 4" xfId="3459"/>
    <cellStyle name="Comma 64 2 3" xfId="1172"/>
    <cellStyle name="Comma 64 2 3 2" xfId="2486"/>
    <cellStyle name="Comma 64 2 3 2 2" xfId="5110"/>
    <cellStyle name="Comma 64 2 3 3" xfId="3800"/>
    <cellStyle name="Comma 64 2 4" xfId="1832"/>
    <cellStyle name="Comma 64 2 4 2" xfId="4456"/>
    <cellStyle name="Comma 64 2 5" xfId="3146"/>
    <cellStyle name="Comma 64 3" xfId="689"/>
    <cellStyle name="Comma 64 3 2" xfId="1349"/>
    <cellStyle name="Comma 64 3 2 2" xfId="2662"/>
    <cellStyle name="Comma 64 3 2 2 2" xfId="5286"/>
    <cellStyle name="Comma 64 3 2 3" xfId="3976"/>
    <cellStyle name="Comma 64 3 3" xfId="2008"/>
    <cellStyle name="Comma 64 3 3 2" xfId="4632"/>
    <cellStyle name="Comma 64 3 4" xfId="3322"/>
    <cellStyle name="Comma 64 4" xfId="1034"/>
    <cellStyle name="Comma 64 4 2" xfId="2349"/>
    <cellStyle name="Comma 64 4 2 2" xfId="4973"/>
    <cellStyle name="Comma 64 4 3" xfId="3663"/>
    <cellStyle name="Comma 64 5" xfId="1694"/>
    <cellStyle name="Comma 64 5 2" xfId="4319"/>
    <cellStyle name="Comma 64 6" xfId="3008"/>
    <cellStyle name="Comma 7" xfId="3007"/>
    <cellStyle name="Comma 8" xfId="2981"/>
    <cellStyle name="Comma 9" xfId="175"/>
    <cellStyle name="Completed Project" xfId="177"/>
    <cellStyle name="Currency 2" xfId="415"/>
    <cellStyle name="Emphasis 1" xfId="52"/>
    <cellStyle name="Emphasis 2" xfId="53"/>
    <cellStyle name="Emphasis 3" xfId="54"/>
    <cellStyle name="Explanatory Text" xfId="122" builtinId="53" customBuiltin="1"/>
    <cellStyle name="Explanatory Text 2" xfId="55"/>
    <cellStyle name="Explanatory Text 2 2" xfId="178"/>
    <cellStyle name="Good" xfId="113" builtinId="26" customBuiltin="1"/>
    <cellStyle name="Good 2" xfId="56"/>
    <cellStyle name="Good 2 2" xfId="179"/>
    <cellStyle name="Heading 1" xfId="110" builtinId="16" customBuiltin="1"/>
    <cellStyle name="Heading 1 2" xfId="57"/>
    <cellStyle name="Heading 1 2 2" xfId="180"/>
    <cellStyle name="Heading 2" xfId="111" builtinId="17" customBuiltin="1"/>
    <cellStyle name="Heading 2 2" xfId="58"/>
    <cellStyle name="Heading 2 2 2" xfId="181"/>
    <cellStyle name="Heading 3" xfId="2" builtinId="18" customBuiltin="1"/>
    <cellStyle name="Heading 3 2" xfId="59"/>
    <cellStyle name="Heading 3 2 2" xfId="182"/>
    <cellStyle name="Heading 4" xfId="112" builtinId="19" customBuiltin="1"/>
    <cellStyle name="Heading 4 2" xfId="60"/>
    <cellStyle name="Heading 4 2 2" xfId="183"/>
    <cellStyle name="Hyperlink" xfId="3" builtinId="8"/>
    <cellStyle name="Hyperlink 2" xfId="4"/>
    <cellStyle name="Hyperlink 3" xfId="6"/>
    <cellStyle name="Hyperlink 3 2" xfId="400"/>
    <cellStyle name="Hyperlink 4" xfId="1310"/>
    <cellStyle name="Hyperlink 5" xfId="648"/>
    <cellStyle name="Input" xfId="116" builtinId="20" customBuiltin="1"/>
    <cellStyle name="Input 2" xfId="61"/>
    <cellStyle name="Input 2 2" xfId="184"/>
    <cellStyle name="Linked Cell" xfId="119" builtinId="24" customBuiltin="1"/>
    <cellStyle name="Linked Cell 2" xfId="62"/>
    <cellStyle name="Linked Cell 2 2" xfId="185"/>
    <cellStyle name="Neutral" xfId="115" builtinId="28" customBuiltin="1"/>
    <cellStyle name="Neutral 2" xfId="63"/>
    <cellStyle name="Neutral 2 2" xfId="186"/>
    <cellStyle name="Normal" xfId="0" builtinId="0"/>
    <cellStyle name="Normal 10" xfId="187"/>
    <cellStyle name="Normal 10 10" xfId="188"/>
    <cellStyle name="Normal 10 10 2" xfId="417"/>
    <cellStyle name="Normal 10 10 2 2" xfId="830"/>
    <cellStyle name="Normal 10 10 2 2 2" xfId="1488"/>
    <cellStyle name="Normal 10 10 2 2 2 2" xfId="2801"/>
    <cellStyle name="Normal 10 10 2 2 2 2 2" xfId="5425"/>
    <cellStyle name="Normal 10 10 2 2 2 3" xfId="4115"/>
    <cellStyle name="Normal 10 10 2 2 3" xfId="2147"/>
    <cellStyle name="Normal 10 10 2 2 3 2" xfId="4771"/>
    <cellStyle name="Normal 10 10 2 2 4" xfId="3461"/>
    <cellStyle name="Normal 10 10 2 3" xfId="1174"/>
    <cellStyle name="Normal 10 10 2 3 2" xfId="2488"/>
    <cellStyle name="Normal 10 10 2 3 2 2" xfId="5112"/>
    <cellStyle name="Normal 10 10 2 3 3" xfId="3802"/>
    <cellStyle name="Normal 10 10 2 4" xfId="1834"/>
    <cellStyle name="Normal 10 10 2 4 2" xfId="4458"/>
    <cellStyle name="Normal 10 10 2 5" xfId="3148"/>
    <cellStyle name="Normal 10 10 3" xfId="691"/>
    <cellStyle name="Normal 10 10 3 2" xfId="1351"/>
    <cellStyle name="Normal 10 10 3 2 2" xfId="2664"/>
    <cellStyle name="Normal 10 10 3 2 2 2" xfId="5288"/>
    <cellStyle name="Normal 10 10 3 2 3" xfId="3978"/>
    <cellStyle name="Normal 10 10 3 3" xfId="2010"/>
    <cellStyle name="Normal 10 10 3 3 2" xfId="4634"/>
    <cellStyle name="Normal 10 10 3 4" xfId="3324"/>
    <cellStyle name="Normal 10 10 4" xfId="1036"/>
    <cellStyle name="Normal 10 10 4 2" xfId="2351"/>
    <cellStyle name="Normal 10 10 4 2 2" xfId="4975"/>
    <cellStyle name="Normal 10 10 4 3" xfId="3665"/>
    <cellStyle name="Normal 10 10 5" xfId="1696"/>
    <cellStyle name="Normal 10 10 5 2" xfId="4321"/>
    <cellStyle name="Normal 10 10 6" xfId="3010"/>
    <cellStyle name="Normal 10 11" xfId="189"/>
    <cellStyle name="Normal 10 11 2" xfId="418"/>
    <cellStyle name="Normal 10 11 2 2" xfId="831"/>
    <cellStyle name="Normal 10 11 2 2 2" xfId="1489"/>
    <cellStyle name="Normal 10 11 2 2 2 2" xfId="2802"/>
    <cellStyle name="Normal 10 11 2 2 2 2 2" xfId="5426"/>
    <cellStyle name="Normal 10 11 2 2 2 3" xfId="4116"/>
    <cellStyle name="Normal 10 11 2 2 3" xfId="2148"/>
    <cellStyle name="Normal 10 11 2 2 3 2" xfId="4772"/>
    <cellStyle name="Normal 10 11 2 2 4" xfId="3462"/>
    <cellStyle name="Normal 10 11 2 3" xfId="1175"/>
    <cellStyle name="Normal 10 11 2 3 2" xfId="2489"/>
    <cellStyle name="Normal 10 11 2 3 2 2" xfId="5113"/>
    <cellStyle name="Normal 10 11 2 3 3" xfId="3803"/>
    <cellStyle name="Normal 10 11 2 4" xfId="1835"/>
    <cellStyle name="Normal 10 11 2 4 2" xfId="4459"/>
    <cellStyle name="Normal 10 11 2 5" xfId="3149"/>
    <cellStyle name="Normal 10 11 3" xfId="692"/>
    <cellStyle name="Normal 10 11 3 2" xfId="1352"/>
    <cellStyle name="Normal 10 11 3 2 2" xfId="2665"/>
    <cellStyle name="Normal 10 11 3 2 2 2" xfId="5289"/>
    <cellStyle name="Normal 10 11 3 2 3" xfId="3979"/>
    <cellStyle name="Normal 10 11 3 3" xfId="2011"/>
    <cellStyle name="Normal 10 11 3 3 2" xfId="4635"/>
    <cellStyle name="Normal 10 11 3 4" xfId="3325"/>
    <cellStyle name="Normal 10 11 4" xfId="1037"/>
    <cellStyle name="Normal 10 11 4 2" xfId="2352"/>
    <cellStyle name="Normal 10 11 4 2 2" xfId="4976"/>
    <cellStyle name="Normal 10 11 4 3" xfId="3666"/>
    <cellStyle name="Normal 10 11 5" xfId="1697"/>
    <cellStyle name="Normal 10 11 5 2" xfId="4322"/>
    <cellStyle name="Normal 10 11 6" xfId="3011"/>
    <cellStyle name="Normal 10 12" xfId="190"/>
    <cellStyle name="Normal 10 12 2" xfId="419"/>
    <cellStyle name="Normal 10 12 2 2" xfId="832"/>
    <cellStyle name="Normal 10 12 2 2 2" xfId="1490"/>
    <cellStyle name="Normal 10 12 2 2 2 2" xfId="2803"/>
    <cellStyle name="Normal 10 12 2 2 2 2 2" xfId="5427"/>
    <cellStyle name="Normal 10 12 2 2 2 3" xfId="4117"/>
    <cellStyle name="Normal 10 12 2 2 3" xfId="2149"/>
    <cellStyle name="Normal 10 12 2 2 3 2" xfId="4773"/>
    <cellStyle name="Normal 10 12 2 2 4" xfId="3463"/>
    <cellStyle name="Normal 10 12 2 3" xfId="1176"/>
    <cellStyle name="Normal 10 12 2 3 2" xfId="2490"/>
    <cellStyle name="Normal 10 12 2 3 2 2" xfId="5114"/>
    <cellStyle name="Normal 10 12 2 3 3" xfId="3804"/>
    <cellStyle name="Normal 10 12 2 4" xfId="1836"/>
    <cellStyle name="Normal 10 12 2 4 2" xfId="4460"/>
    <cellStyle name="Normal 10 12 2 5" xfId="3150"/>
    <cellStyle name="Normal 10 12 3" xfId="693"/>
    <cellStyle name="Normal 10 12 3 2" xfId="1353"/>
    <cellStyle name="Normal 10 12 3 2 2" xfId="2666"/>
    <cellStyle name="Normal 10 12 3 2 2 2" xfId="5290"/>
    <cellStyle name="Normal 10 12 3 2 3" xfId="3980"/>
    <cellStyle name="Normal 10 12 3 3" xfId="2012"/>
    <cellStyle name="Normal 10 12 3 3 2" xfId="4636"/>
    <cellStyle name="Normal 10 12 3 4" xfId="3326"/>
    <cellStyle name="Normal 10 12 4" xfId="1038"/>
    <cellStyle name="Normal 10 12 4 2" xfId="2353"/>
    <cellStyle name="Normal 10 12 4 2 2" xfId="4977"/>
    <cellStyle name="Normal 10 12 4 3" xfId="3667"/>
    <cellStyle name="Normal 10 12 5" xfId="1698"/>
    <cellStyle name="Normal 10 12 5 2" xfId="4323"/>
    <cellStyle name="Normal 10 12 6" xfId="3012"/>
    <cellStyle name="Normal 10 13" xfId="191"/>
    <cellStyle name="Normal 10 13 2" xfId="420"/>
    <cellStyle name="Normal 10 13 2 2" xfId="833"/>
    <cellStyle name="Normal 10 13 2 2 2" xfId="1491"/>
    <cellStyle name="Normal 10 13 2 2 2 2" xfId="2804"/>
    <cellStyle name="Normal 10 13 2 2 2 2 2" xfId="5428"/>
    <cellStyle name="Normal 10 13 2 2 2 3" xfId="4118"/>
    <cellStyle name="Normal 10 13 2 2 3" xfId="2150"/>
    <cellStyle name="Normal 10 13 2 2 3 2" xfId="4774"/>
    <cellStyle name="Normal 10 13 2 2 4" xfId="3464"/>
    <cellStyle name="Normal 10 13 2 3" xfId="1177"/>
    <cellStyle name="Normal 10 13 2 3 2" xfId="2491"/>
    <cellStyle name="Normal 10 13 2 3 2 2" xfId="5115"/>
    <cellStyle name="Normal 10 13 2 3 3" xfId="3805"/>
    <cellStyle name="Normal 10 13 2 4" xfId="1837"/>
    <cellStyle name="Normal 10 13 2 4 2" xfId="4461"/>
    <cellStyle name="Normal 10 13 2 5" xfId="3151"/>
    <cellStyle name="Normal 10 13 3" xfId="694"/>
    <cellStyle name="Normal 10 13 3 2" xfId="1354"/>
    <cellStyle name="Normal 10 13 3 2 2" xfId="2667"/>
    <cellStyle name="Normal 10 13 3 2 2 2" xfId="5291"/>
    <cellStyle name="Normal 10 13 3 2 3" xfId="3981"/>
    <cellStyle name="Normal 10 13 3 3" xfId="2013"/>
    <cellStyle name="Normal 10 13 3 3 2" xfId="4637"/>
    <cellStyle name="Normal 10 13 3 4" xfId="3327"/>
    <cellStyle name="Normal 10 13 4" xfId="1039"/>
    <cellStyle name="Normal 10 13 4 2" xfId="2354"/>
    <cellStyle name="Normal 10 13 4 2 2" xfId="4978"/>
    <cellStyle name="Normal 10 13 4 3" xfId="3668"/>
    <cellStyle name="Normal 10 13 5" xfId="1699"/>
    <cellStyle name="Normal 10 13 5 2" xfId="4324"/>
    <cellStyle name="Normal 10 13 6" xfId="3013"/>
    <cellStyle name="Normal 10 14" xfId="192"/>
    <cellStyle name="Normal 10 14 2" xfId="421"/>
    <cellStyle name="Normal 10 14 2 2" xfId="834"/>
    <cellStyle name="Normal 10 14 2 2 2" xfId="1492"/>
    <cellStyle name="Normal 10 14 2 2 2 2" xfId="2805"/>
    <cellStyle name="Normal 10 14 2 2 2 2 2" xfId="5429"/>
    <cellStyle name="Normal 10 14 2 2 2 3" xfId="4119"/>
    <cellStyle name="Normal 10 14 2 2 3" xfId="2151"/>
    <cellStyle name="Normal 10 14 2 2 3 2" xfId="4775"/>
    <cellStyle name="Normal 10 14 2 2 4" xfId="3465"/>
    <cellStyle name="Normal 10 14 2 3" xfId="1178"/>
    <cellStyle name="Normal 10 14 2 3 2" xfId="2492"/>
    <cellStyle name="Normal 10 14 2 3 2 2" xfId="5116"/>
    <cellStyle name="Normal 10 14 2 3 3" xfId="3806"/>
    <cellStyle name="Normal 10 14 2 4" xfId="1838"/>
    <cellStyle name="Normal 10 14 2 4 2" xfId="4462"/>
    <cellStyle name="Normal 10 14 2 5" xfId="3152"/>
    <cellStyle name="Normal 10 14 3" xfId="695"/>
    <cellStyle name="Normal 10 14 3 2" xfId="1355"/>
    <cellStyle name="Normal 10 14 3 2 2" xfId="2668"/>
    <cellStyle name="Normal 10 14 3 2 2 2" xfId="5292"/>
    <cellStyle name="Normal 10 14 3 2 3" xfId="3982"/>
    <cellStyle name="Normal 10 14 3 3" xfId="2014"/>
    <cellStyle name="Normal 10 14 3 3 2" xfId="4638"/>
    <cellStyle name="Normal 10 14 3 4" xfId="3328"/>
    <cellStyle name="Normal 10 14 4" xfId="1040"/>
    <cellStyle name="Normal 10 14 4 2" xfId="2355"/>
    <cellStyle name="Normal 10 14 4 2 2" xfId="4979"/>
    <cellStyle name="Normal 10 14 4 3" xfId="3669"/>
    <cellStyle name="Normal 10 14 5" xfId="1700"/>
    <cellStyle name="Normal 10 14 5 2" xfId="4325"/>
    <cellStyle name="Normal 10 14 6" xfId="3014"/>
    <cellStyle name="Normal 10 15" xfId="193"/>
    <cellStyle name="Normal 10 15 2" xfId="422"/>
    <cellStyle name="Normal 10 15 2 2" xfId="835"/>
    <cellStyle name="Normal 10 15 2 2 2" xfId="1493"/>
    <cellStyle name="Normal 10 15 2 2 2 2" xfId="2806"/>
    <cellStyle name="Normal 10 15 2 2 2 2 2" xfId="5430"/>
    <cellStyle name="Normal 10 15 2 2 2 3" xfId="4120"/>
    <cellStyle name="Normal 10 15 2 2 3" xfId="2152"/>
    <cellStyle name="Normal 10 15 2 2 3 2" xfId="4776"/>
    <cellStyle name="Normal 10 15 2 2 4" xfId="3466"/>
    <cellStyle name="Normal 10 15 2 3" xfId="1179"/>
    <cellStyle name="Normal 10 15 2 3 2" xfId="2493"/>
    <cellStyle name="Normal 10 15 2 3 2 2" xfId="5117"/>
    <cellStyle name="Normal 10 15 2 3 3" xfId="3807"/>
    <cellStyle name="Normal 10 15 2 4" xfId="1839"/>
    <cellStyle name="Normal 10 15 2 4 2" xfId="4463"/>
    <cellStyle name="Normal 10 15 2 5" xfId="3153"/>
    <cellStyle name="Normal 10 15 3" xfId="696"/>
    <cellStyle name="Normal 10 15 3 2" xfId="1356"/>
    <cellStyle name="Normal 10 15 3 2 2" xfId="2669"/>
    <cellStyle name="Normal 10 15 3 2 2 2" xfId="5293"/>
    <cellStyle name="Normal 10 15 3 2 3" xfId="3983"/>
    <cellStyle name="Normal 10 15 3 3" xfId="2015"/>
    <cellStyle name="Normal 10 15 3 3 2" xfId="4639"/>
    <cellStyle name="Normal 10 15 3 4" xfId="3329"/>
    <cellStyle name="Normal 10 15 4" xfId="1041"/>
    <cellStyle name="Normal 10 15 4 2" xfId="2356"/>
    <cellStyle name="Normal 10 15 4 2 2" xfId="4980"/>
    <cellStyle name="Normal 10 15 4 3" xfId="3670"/>
    <cellStyle name="Normal 10 15 5" xfId="1701"/>
    <cellStyle name="Normal 10 15 5 2" xfId="4326"/>
    <cellStyle name="Normal 10 15 6" xfId="3015"/>
    <cellStyle name="Normal 10 16" xfId="194"/>
    <cellStyle name="Normal 10 16 2" xfId="423"/>
    <cellStyle name="Normal 10 16 2 2" xfId="836"/>
    <cellStyle name="Normal 10 16 2 2 2" xfId="1494"/>
    <cellStyle name="Normal 10 16 2 2 2 2" xfId="2807"/>
    <cellStyle name="Normal 10 16 2 2 2 2 2" xfId="5431"/>
    <cellStyle name="Normal 10 16 2 2 2 3" xfId="4121"/>
    <cellStyle name="Normal 10 16 2 2 3" xfId="2153"/>
    <cellStyle name="Normal 10 16 2 2 3 2" xfId="4777"/>
    <cellStyle name="Normal 10 16 2 2 4" xfId="3467"/>
    <cellStyle name="Normal 10 16 2 3" xfId="1180"/>
    <cellStyle name="Normal 10 16 2 3 2" xfId="2494"/>
    <cellStyle name="Normal 10 16 2 3 2 2" xfId="5118"/>
    <cellStyle name="Normal 10 16 2 3 3" xfId="3808"/>
    <cellStyle name="Normal 10 16 2 4" xfId="1840"/>
    <cellStyle name="Normal 10 16 2 4 2" xfId="4464"/>
    <cellStyle name="Normal 10 16 2 5" xfId="3154"/>
    <cellStyle name="Normal 10 16 3" xfId="697"/>
    <cellStyle name="Normal 10 16 3 2" xfId="1357"/>
    <cellStyle name="Normal 10 16 3 2 2" xfId="2670"/>
    <cellStyle name="Normal 10 16 3 2 2 2" xfId="5294"/>
    <cellStyle name="Normal 10 16 3 2 3" xfId="3984"/>
    <cellStyle name="Normal 10 16 3 3" xfId="2016"/>
    <cellStyle name="Normal 10 16 3 3 2" xfId="4640"/>
    <cellStyle name="Normal 10 16 3 4" xfId="3330"/>
    <cellStyle name="Normal 10 16 4" xfId="1042"/>
    <cellStyle name="Normal 10 16 4 2" xfId="2357"/>
    <cellStyle name="Normal 10 16 4 2 2" xfId="4981"/>
    <cellStyle name="Normal 10 16 4 3" xfId="3671"/>
    <cellStyle name="Normal 10 16 5" xfId="1702"/>
    <cellStyle name="Normal 10 16 5 2" xfId="4327"/>
    <cellStyle name="Normal 10 16 6" xfId="3016"/>
    <cellStyle name="Normal 10 17" xfId="416"/>
    <cellStyle name="Normal 10 17 2" xfId="829"/>
    <cellStyle name="Normal 10 17 2 2" xfId="1487"/>
    <cellStyle name="Normal 10 17 2 2 2" xfId="2800"/>
    <cellStyle name="Normal 10 17 2 2 2 2" xfId="5424"/>
    <cellStyle name="Normal 10 17 2 2 3" xfId="4114"/>
    <cellStyle name="Normal 10 17 2 3" xfId="2146"/>
    <cellStyle name="Normal 10 17 2 3 2" xfId="4770"/>
    <cellStyle name="Normal 10 17 2 4" xfId="3460"/>
    <cellStyle name="Normal 10 17 3" xfId="1173"/>
    <cellStyle name="Normal 10 17 3 2" xfId="2487"/>
    <cellStyle name="Normal 10 17 3 2 2" xfId="5111"/>
    <cellStyle name="Normal 10 17 3 3" xfId="3801"/>
    <cellStyle name="Normal 10 17 4" xfId="1833"/>
    <cellStyle name="Normal 10 17 4 2" xfId="4457"/>
    <cellStyle name="Normal 10 17 5" xfId="3147"/>
    <cellStyle name="Normal 10 18" xfId="690"/>
    <cellStyle name="Normal 10 18 2" xfId="1350"/>
    <cellStyle name="Normal 10 18 2 2" xfId="2663"/>
    <cellStyle name="Normal 10 18 2 2 2" xfId="5287"/>
    <cellStyle name="Normal 10 18 2 3" xfId="3977"/>
    <cellStyle name="Normal 10 18 3" xfId="2009"/>
    <cellStyle name="Normal 10 18 3 2" xfId="4633"/>
    <cellStyle name="Normal 10 18 4" xfId="3323"/>
    <cellStyle name="Normal 10 19" xfId="1035"/>
    <cellStyle name="Normal 10 19 2" xfId="2350"/>
    <cellStyle name="Normal 10 19 2 2" xfId="4974"/>
    <cellStyle name="Normal 10 19 3" xfId="3664"/>
    <cellStyle name="Normal 10 2" xfId="195"/>
    <cellStyle name="Normal 10 2 2" xfId="424"/>
    <cellStyle name="Normal 10 2 2 2" xfId="837"/>
    <cellStyle name="Normal 10 2 2 2 2" xfId="1495"/>
    <cellStyle name="Normal 10 2 2 2 2 2" xfId="2808"/>
    <cellStyle name="Normal 10 2 2 2 2 2 2" xfId="5432"/>
    <cellStyle name="Normal 10 2 2 2 2 3" xfId="4122"/>
    <cellStyle name="Normal 10 2 2 2 3" xfId="2154"/>
    <cellStyle name="Normal 10 2 2 2 3 2" xfId="4778"/>
    <cellStyle name="Normal 10 2 2 2 4" xfId="3468"/>
    <cellStyle name="Normal 10 2 2 3" xfId="1181"/>
    <cellStyle name="Normal 10 2 2 3 2" xfId="2495"/>
    <cellStyle name="Normal 10 2 2 3 2 2" xfId="5119"/>
    <cellStyle name="Normal 10 2 2 3 3" xfId="3809"/>
    <cellStyle name="Normal 10 2 2 4" xfId="1841"/>
    <cellStyle name="Normal 10 2 2 4 2" xfId="4465"/>
    <cellStyle name="Normal 10 2 2 5" xfId="3155"/>
    <cellStyle name="Normal 10 2 3" xfId="698"/>
    <cellStyle name="Normal 10 2 3 2" xfId="1358"/>
    <cellStyle name="Normal 10 2 3 2 2" xfId="2671"/>
    <cellStyle name="Normal 10 2 3 2 2 2" xfId="5295"/>
    <cellStyle name="Normal 10 2 3 2 3" xfId="3985"/>
    <cellStyle name="Normal 10 2 3 3" xfId="2017"/>
    <cellStyle name="Normal 10 2 3 3 2" xfId="4641"/>
    <cellStyle name="Normal 10 2 3 4" xfId="3331"/>
    <cellStyle name="Normal 10 2 4" xfId="1043"/>
    <cellStyle name="Normal 10 2 4 2" xfId="2358"/>
    <cellStyle name="Normal 10 2 4 2 2" xfId="4982"/>
    <cellStyle name="Normal 10 2 4 3" xfId="3672"/>
    <cellStyle name="Normal 10 2 5" xfId="1703"/>
    <cellStyle name="Normal 10 2 5 2" xfId="4328"/>
    <cellStyle name="Normal 10 2 6" xfId="3017"/>
    <cellStyle name="Normal 10 20" xfId="1695"/>
    <cellStyle name="Normal 10 20 2" xfId="4320"/>
    <cellStyle name="Normal 10 21" xfId="3009"/>
    <cellStyle name="Normal 10 3" xfId="196"/>
    <cellStyle name="Normal 10 3 2" xfId="425"/>
    <cellStyle name="Normal 10 3 2 2" xfId="838"/>
    <cellStyle name="Normal 10 3 2 2 2" xfId="1496"/>
    <cellStyle name="Normal 10 3 2 2 2 2" xfId="2809"/>
    <cellStyle name="Normal 10 3 2 2 2 2 2" xfId="5433"/>
    <cellStyle name="Normal 10 3 2 2 2 3" xfId="4123"/>
    <cellStyle name="Normal 10 3 2 2 3" xfId="2155"/>
    <cellStyle name="Normal 10 3 2 2 3 2" xfId="4779"/>
    <cellStyle name="Normal 10 3 2 2 4" xfId="3469"/>
    <cellStyle name="Normal 10 3 2 3" xfId="1182"/>
    <cellStyle name="Normal 10 3 2 3 2" xfId="2496"/>
    <cellStyle name="Normal 10 3 2 3 2 2" xfId="5120"/>
    <cellStyle name="Normal 10 3 2 3 3" xfId="3810"/>
    <cellStyle name="Normal 10 3 2 4" xfId="1842"/>
    <cellStyle name="Normal 10 3 2 4 2" xfId="4466"/>
    <cellStyle name="Normal 10 3 2 5" xfId="3156"/>
    <cellStyle name="Normal 10 3 3" xfId="699"/>
    <cellStyle name="Normal 10 3 3 2" xfId="1359"/>
    <cellStyle name="Normal 10 3 3 2 2" xfId="2672"/>
    <cellStyle name="Normal 10 3 3 2 2 2" xfId="5296"/>
    <cellStyle name="Normal 10 3 3 2 3" xfId="3986"/>
    <cellStyle name="Normal 10 3 3 3" xfId="2018"/>
    <cellStyle name="Normal 10 3 3 3 2" xfId="4642"/>
    <cellStyle name="Normal 10 3 3 4" xfId="3332"/>
    <cellStyle name="Normal 10 3 4" xfId="1044"/>
    <cellStyle name="Normal 10 3 4 2" xfId="2359"/>
    <cellStyle name="Normal 10 3 4 2 2" xfId="4983"/>
    <cellStyle name="Normal 10 3 4 3" xfId="3673"/>
    <cellStyle name="Normal 10 3 5" xfId="1704"/>
    <cellStyle name="Normal 10 3 5 2" xfId="4329"/>
    <cellStyle name="Normal 10 3 6" xfId="3018"/>
    <cellStyle name="Normal 10 4" xfId="197"/>
    <cellStyle name="Normal 10 4 2" xfId="426"/>
    <cellStyle name="Normal 10 4 2 2" xfId="839"/>
    <cellStyle name="Normal 10 4 2 2 2" xfId="1497"/>
    <cellStyle name="Normal 10 4 2 2 2 2" xfId="2810"/>
    <cellStyle name="Normal 10 4 2 2 2 2 2" xfId="5434"/>
    <cellStyle name="Normal 10 4 2 2 2 3" xfId="4124"/>
    <cellStyle name="Normal 10 4 2 2 3" xfId="2156"/>
    <cellStyle name="Normal 10 4 2 2 3 2" xfId="4780"/>
    <cellStyle name="Normal 10 4 2 2 4" xfId="3470"/>
    <cellStyle name="Normal 10 4 2 3" xfId="1183"/>
    <cellStyle name="Normal 10 4 2 3 2" xfId="2497"/>
    <cellStyle name="Normal 10 4 2 3 2 2" xfId="5121"/>
    <cellStyle name="Normal 10 4 2 3 3" xfId="3811"/>
    <cellStyle name="Normal 10 4 2 4" xfId="1843"/>
    <cellStyle name="Normal 10 4 2 4 2" xfId="4467"/>
    <cellStyle name="Normal 10 4 2 5" xfId="3157"/>
    <cellStyle name="Normal 10 4 3" xfId="700"/>
    <cellStyle name="Normal 10 4 3 2" xfId="1360"/>
    <cellStyle name="Normal 10 4 3 2 2" xfId="2673"/>
    <cellStyle name="Normal 10 4 3 2 2 2" xfId="5297"/>
    <cellStyle name="Normal 10 4 3 2 3" xfId="3987"/>
    <cellStyle name="Normal 10 4 3 3" xfId="2019"/>
    <cellStyle name="Normal 10 4 3 3 2" xfId="4643"/>
    <cellStyle name="Normal 10 4 3 4" xfId="3333"/>
    <cellStyle name="Normal 10 4 4" xfId="1045"/>
    <cellStyle name="Normal 10 4 4 2" xfId="2360"/>
    <cellStyle name="Normal 10 4 4 2 2" xfId="4984"/>
    <cellStyle name="Normal 10 4 4 3" xfId="3674"/>
    <cellStyle name="Normal 10 4 5" xfId="1705"/>
    <cellStyle name="Normal 10 4 5 2" xfId="4330"/>
    <cellStyle name="Normal 10 4 6" xfId="3019"/>
    <cellStyle name="Normal 10 5" xfId="198"/>
    <cellStyle name="Normal 10 5 2" xfId="427"/>
    <cellStyle name="Normal 10 5 2 2" xfId="840"/>
    <cellStyle name="Normal 10 5 2 2 2" xfId="1498"/>
    <cellStyle name="Normal 10 5 2 2 2 2" xfId="2811"/>
    <cellStyle name="Normal 10 5 2 2 2 2 2" xfId="5435"/>
    <cellStyle name="Normal 10 5 2 2 2 3" xfId="4125"/>
    <cellStyle name="Normal 10 5 2 2 3" xfId="2157"/>
    <cellStyle name="Normal 10 5 2 2 3 2" xfId="4781"/>
    <cellStyle name="Normal 10 5 2 2 4" xfId="3471"/>
    <cellStyle name="Normal 10 5 2 3" xfId="1184"/>
    <cellStyle name="Normal 10 5 2 3 2" xfId="2498"/>
    <cellStyle name="Normal 10 5 2 3 2 2" xfId="5122"/>
    <cellStyle name="Normal 10 5 2 3 3" xfId="3812"/>
    <cellStyle name="Normal 10 5 2 4" xfId="1844"/>
    <cellStyle name="Normal 10 5 2 4 2" xfId="4468"/>
    <cellStyle name="Normal 10 5 2 5" xfId="3158"/>
    <cellStyle name="Normal 10 5 3" xfId="701"/>
    <cellStyle name="Normal 10 5 3 2" xfId="1361"/>
    <cellStyle name="Normal 10 5 3 2 2" xfId="2674"/>
    <cellStyle name="Normal 10 5 3 2 2 2" xfId="5298"/>
    <cellStyle name="Normal 10 5 3 2 3" xfId="3988"/>
    <cellStyle name="Normal 10 5 3 3" xfId="2020"/>
    <cellStyle name="Normal 10 5 3 3 2" xfId="4644"/>
    <cellStyle name="Normal 10 5 3 4" xfId="3334"/>
    <cellStyle name="Normal 10 5 4" xfId="1046"/>
    <cellStyle name="Normal 10 5 4 2" xfId="2361"/>
    <cellStyle name="Normal 10 5 4 2 2" xfId="4985"/>
    <cellStyle name="Normal 10 5 4 3" xfId="3675"/>
    <cellStyle name="Normal 10 5 5" xfId="1706"/>
    <cellStyle name="Normal 10 5 5 2" xfId="4331"/>
    <cellStyle name="Normal 10 5 6" xfId="3020"/>
    <cellStyle name="Normal 10 6" xfId="199"/>
    <cellStyle name="Normal 10 6 2" xfId="428"/>
    <cellStyle name="Normal 10 6 2 2" xfId="841"/>
    <cellStyle name="Normal 10 6 2 2 2" xfId="1499"/>
    <cellStyle name="Normal 10 6 2 2 2 2" xfId="2812"/>
    <cellStyle name="Normal 10 6 2 2 2 2 2" xfId="5436"/>
    <cellStyle name="Normal 10 6 2 2 2 3" xfId="4126"/>
    <cellStyle name="Normal 10 6 2 2 3" xfId="2158"/>
    <cellStyle name="Normal 10 6 2 2 3 2" xfId="4782"/>
    <cellStyle name="Normal 10 6 2 2 4" xfId="3472"/>
    <cellStyle name="Normal 10 6 2 3" xfId="1185"/>
    <cellStyle name="Normal 10 6 2 3 2" xfId="2499"/>
    <cellStyle name="Normal 10 6 2 3 2 2" xfId="5123"/>
    <cellStyle name="Normal 10 6 2 3 3" xfId="3813"/>
    <cellStyle name="Normal 10 6 2 4" xfId="1845"/>
    <cellStyle name="Normal 10 6 2 4 2" xfId="4469"/>
    <cellStyle name="Normal 10 6 2 5" xfId="3159"/>
    <cellStyle name="Normal 10 6 3" xfId="702"/>
    <cellStyle name="Normal 10 6 3 2" xfId="1362"/>
    <cellStyle name="Normal 10 6 3 2 2" xfId="2675"/>
    <cellStyle name="Normal 10 6 3 2 2 2" xfId="5299"/>
    <cellStyle name="Normal 10 6 3 2 3" xfId="3989"/>
    <cellStyle name="Normal 10 6 3 3" xfId="2021"/>
    <cellStyle name="Normal 10 6 3 3 2" xfId="4645"/>
    <cellStyle name="Normal 10 6 3 4" xfId="3335"/>
    <cellStyle name="Normal 10 6 4" xfId="1047"/>
    <cellStyle name="Normal 10 6 4 2" xfId="2362"/>
    <cellStyle name="Normal 10 6 4 2 2" xfId="4986"/>
    <cellStyle name="Normal 10 6 4 3" xfId="3676"/>
    <cellStyle name="Normal 10 6 5" xfId="1707"/>
    <cellStyle name="Normal 10 6 5 2" xfId="4332"/>
    <cellStyle name="Normal 10 6 6" xfId="3021"/>
    <cellStyle name="Normal 10 7" xfId="200"/>
    <cellStyle name="Normal 10 7 2" xfId="429"/>
    <cellStyle name="Normal 10 7 2 2" xfId="842"/>
    <cellStyle name="Normal 10 7 2 2 2" xfId="1500"/>
    <cellStyle name="Normal 10 7 2 2 2 2" xfId="2813"/>
    <cellStyle name="Normal 10 7 2 2 2 2 2" xfId="5437"/>
    <cellStyle name="Normal 10 7 2 2 2 3" xfId="4127"/>
    <cellStyle name="Normal 10 7 2 2 3" xfId="2159"/>
    <cellStyle name="Normal 10 7 2 2 3 2" xfId="4783"/>
    <cellStyle name="Normal 10 7 2 2 4" xfId="3473"/>
    <cellStyle name="Normal 10 7 2 3" xfId="1186"/>
    <cellStyle name="Normal 10 7 2 3 2" xfId="2500"/>
    <cellStyle name="Normal 10 7 2 3 2 2" xfId="5124"/>
    <cellStyle name="Normal 10 7 2 3 3" xfId="3814"/>
    <cellStyle name="Normal 10 7 2 4" xfId="1846"/>
    <cellStyle name="Normal 10 7 2 4 2" xfId="4470"/>
    <cellStyle name="Normal 10 7 2 5" xfId="3160"/>
    <cellStyle name="Normal 10 7 3" xfId="703"/>
    <cellStyle name="Normal 10 7 3 2" xfId="1363"/>
    <cellStyle name="Normal 10 7 3 2 2" xfId="2676"/>
    <cellStyle name="Normal 10 7 3 2 2 2" xfId="5300"/>
    <cellStyle name="Normal 10 7 3 2 3" xfId="3990"/>
    <cellStyle name="Normal 10 7 3 3" xfId="2022"/>
    <cellStyle name="Normal 10 7 3 3 2" xfId="4646"/>
    <cellStyle name="Normal 10 7 3 4" xfId="3336"/>
    <cellStyle name="Normal 10 7 4" xfId="1048"/>
    <cellStyle name="Normal 10 7 4 2" xfId="2363"/>
    <cellStyle name="Normal 10 7 4 2 2" xfId="4987"/>
    <cellStyle name="Normal 10 7 4 3" xfId="3677"/>
    <cellStyle name="Normal 10 7 5" xfId="1708"/>
    <cellStyle name="Normal 10 7 5 2" xfId="4333"/>
    <cellStyle name="Normal 10 7 6" xfId="3022"/>
    <cellStyle name="Normal 10 8" xfId="201"/>
    <cellStyle name="Normal 10 8 2" xfId="430"/>
    <cellStyle name="Normal 10 8 2 2" xfId="843"/>
    <cellStyle name="Normal 10 8 2 2 2" xfId="1501"/>
    <cellStyle name="Normal 10 8 2 2 2 2" xfId="2814"/>
    <cellStyle name="Normal 10 8 2 2 2 2 2" xfId="5438"/>
    <cellStyle name="Normal 10 8 2 2 2 3" xfId="4128"/>
    <cellStyle name="Normal 10 8 2 2 3" xfId="2160"/>
    <cellStyle name="Normal 10 8 2 2 3 2" xfId="4784"/>
    <cellStyle name="Normal 10 8 2 2 4" xfId="3474"/>
    <cellStyle name="Normal 10 8 2 3" xfId="1187"/>
    <cellStyle name="Normal 10 8 2 3 2" xfId="2501"/>
    <cellStyle name="Normal 10 8 2 3 2 2" xfId="5125"/>
    <cellStyle name="Normal 10 8 2 3 3" xfId="3815"/>
    <cellStyle name="Normal 10 8 2 4" xfId="1847"/>
    <cellStyle name="Normal 10 8 2 4 2" xfId="4471"/>
    <cellStyle name="Normal 10 8 2 5" xfId="3161"/>
    <cellStyle name="Normal 10 8 3" xfId="704"/>
    <cellStyle name="Normal 10 8 3 2" xfId="1364"/>
    <cellStyle name="Normal 10 8 3 2 2" xfId="2677"/>
    <cellStyle name="Normal 10 8 3 2 2 2" xfId="5301"/>
    <cellStyle name="Normal 10 8 3 2 3" xfId="3991"/>
    <cellStyle name="Normal 10 8 3 3" xfId="2023"/>
    <cellStyle name="Normal 10 8 3 3 2" xfId="4647"/>
    <cellStyle name="Normal 10 8 3 4" xfId="3337"/>
    <cellStyle name="Normal 10 8 4" xfId="1049"/>
    <cellStyle name="Normal 10 8 4 2" xfId="2364"/>
    <cellStyle name="Normal 10 8 4 2 2" xfId="4988"/>
    <cellStyle name="Normal 10 8 4 3" xfId="3678"/>
    <cellStyle name="Normal 10 8 5" xfId="1709"/>
    <cellStyle name="Normal 10 8 5 2" xfId="4334"/>
    <cellStyle name="Normal 10 8 6" xfId="3023"/>
    <cellStyle name="Normal 10 9" xfId="202"/>
    <cellStyle name="Normal 10 9 2" xfId="431"/>
    <cellStyle name="Normal 10 9 2 2" xfId="844"/>
    <cellStyle name="Normal 10 9 2 2 2" xfId="1502"/>
    <cellStyle name="Normal 10 9 2 2 2 2" xfId="2815"/>
    <cellStyle name="Normal 10 9 2 2 2 2 2" xfId="5439"/>
    <cellStyle name="Normal 10 9 2 2 2 3" xfId="4129"/>
    <cellStyle name="Normal 10 9 2 2 3" xfId="2161"/>
    <cellStyle name="Normal 10 9 2 2 3 2" xfId="4785"/>
    <cellStyle name="Normal 10 9 2 2 4" xfId="3475"/>
    <cellStyle name="Normal 10 9 2 3" xfId="1188"/>
    <cellStyle name="Normal 10 9 2 3 2" xfId="2502"/>
    <cellStyle name="Normal 10 9 2 3 2 2" xfId="5126"/>
    <cellStyle name="Normal 10 9 2 3 3" xfId="3816"/>
    <cellStyle name="Normal 10 9 2 4" xfId="1848"/>
    <cellStyle name="Normal 10 9 2 4 2" xfId="4472"/>
    <cellStyle name="Normal 10 9 2 5" xfId="3162"/>
    <cellStyle name="Normal 10 9 3" xfId="705"/>
    <cellStyle name="Normal 10 9 3 2" xfId="1365"/>
    <cellStyle name="Normal 10 9 3 2 2" xfId="2678"/>
    <cellStyle name="Normal 10 9 3 2 2 2" xfId="5302"/>
    <cellStyle name="Normal 10 9 3 2 3" xfId="3992"/>
    <cellStyle name="Normal 10 9 3 3" xfId="2024"/>
    <cellStyle name="Normal 10 9 3 3 2" xfId="4648"/>
    <cellStyle name="Normal 10 9 3 4" xfId="3338"/>
    <cellStyle name="Normal 10 9 4" xfId="1050"/>
    <cellStyle name="Normal 10 9 4 2" xfId="2365"/>
    <cellStyle name="Normal 10 9 4 2 2" xfId="4989"/>
    <cellStyle name="Normal 10 9 4 3" xfId="3679"/>
    <cellStyle name="Normal 10 9 5" xfId="1710"/>
    <cellStyle name="Normal 10 9 5 2" xfId="4335"/>
    <cellStyle name="Normal 10 9 6" xfId="3024"/>
    <cellStyle name="Normal 11" xfId="1680"/>
    <cellStyle name="Normal 11 2" xfId="2978"/>
    <cellStyle name="Normal 12" xfId="1665"/>
    <cellStyle name="Normal 12 2" xfId="4292"/>
    <cellStyle name="Normal 13" xfId="2994"/>
    <cellStyle name="Normal 14" xfId="2979"/>
    <cellStyle name="Normal 2" xfId="1"/>
    <cellStyle name="Normal 2 10" xfId="203"/>
    <cellStyle name="Normal 2 10 2" xfId="204"/>
    <cellStyle name="Normal 2 10 2 2" xfId="434"/>
    <cellStyle name="Normal 2 10 3" xfId="433"/>
    <cellStyle name="Normal 2 11" xfId="205"/>
    <cellStyle name="Normal 2 11 2" xfId="206"/>
    <cellStyle name="Normal 2 11 2 2" xfId="436"/>
    <cellStyle name="Normal 2 11 3" xfId="435"/>
    <cellStyle name="Normal 2 12" xfId="207"/>
    <cellStyle name="Normal 2 12 2" xfId="208"/>
    <cellStyle name="Normal 2 12 2 2" xfId="438"/>
    <cellStyle name="Normal 2 12 3" xfId="437"/>
    <cellStyle name="Normal 2 13" xfId="209"/>
    <cellStyle name="Normal 2 13 2" xfId="210"/>
    <cellStyle name="Normal 2 13 2 2" xfId="440"/>
    <cellStyle name="Normal 2 13 3" xfId="439"/>
    <cellStyle name="Normal 2 14" xfId="211"/>
    <cellStyle name="Normal 2 14 2" xfId="212"/>
    <cellStyle name="Normal 2 14 2 2" xfId="442"/>
    <cellStyle name="Normal 2 14 3" xfId="441"/>
    <cellStyle name="Normal 2 15" xfId="213"/>
    <cellStyle name="Normal 2 15 2" xfId="214"/>
    <cellStyle name="Normal 2 15 2 2" xfId="444"/>
    <cellStyle name="Normal 2 15 3" xfId="443"/>
    <cellStyle name="Normal 2 16" xfId="215"/>
    <cellStyle name="Normal 2 16 2" xfId="216"/>
    <cellStyle name="Normal 2 16 2 2" xfId="446"/>
    <cellStyle name="Normal 2 16 3" xfId="445"/>
    <cellStyle name="Normal 2 17" xfId="217"/>
    <cellStyle name="Normal 2 17 2" xfId="218"/>
    <cellStyle name="Normal 2 17 2 2" xfId="448"/>
    <cellStyle name="Normal 2 17 3" xfId="447"/>
    <cellStyle name="Normal 2 18" xfId="219"/>
    <cellStyle name="Normal 2 18 2" xfId="220"/>
    <cellStyle name="Normal 2 18 2 2" xfId="450"/>
    <cellStyle name="Normal 2 18 3" xfId="449"/>
    <cellStyle name="Normal 2 19" xfId="221"/>
    <cellStyle name="Normal 2 19 2" xfId="222"/>
    <cellStyle name="Normal 2 19 2 2" xfId="452"/>
    <cellStyle name="Normal 2 19 3" xfId="451"/>
    <cellStyle name="Normal 2 2" xfId="223"/>
    <cellStyle name="Normal 2 2 2" xfId="224"/>
    <cellStyle name="Normal 2 2 2 2" xfId="454"/>
    <cellStyle name="Normal 2 2 3" xfId="453"/>
    <cellStyle name="Normal 2 20" xfId="225"/>
    <cellStyle name="Normal 2 20 2" xfId="226"/>
    <cellStyle name="Normal 2 20 2 2" xfId="456"/>
    <cellStyle name="Normal 2 20 3" xfId="455"/>
    <cellStyle name="Normal 2 21" xfId="227"/>
    <cellStyle name="Normal 2 21 2" xfId="228"/>
    <cellStyle name="Normal 2 21 2 2" xfId="458"/>
    <cellStyle name="Normal 2 21 3" xfId="457"/>
    <cellStyle name="Normal 2 22" xfId="229"/>
    <cellStyle name="Normal 2 22 2" xfId="230"/>
    <cellStyle name="Normal 2 22 2 2" xfId="460"/>
    <cellStyle name="Normal 2 22 3" xfId="459"/>
    <cellStyle name="Normal 2 23" xfId="231"/>
    <cellStyle name="Normal 2 23 2" xfId="232"/>
    <cellStyle name="Normal 2 23 2 2" xfId="462"/>
    <cellStyle name="Normal 2 23 3" xfId="461"/>
    <cellStyle name="Normal 2 24" xfId="233"/>
    <cellStyle name="Normal 2 24 2" xfId="234"/>
    <cellStyle name="Normal 2 24 2 2" xfId="464"/>
    <cellStyle name="Normal 2 24 3" xfId="463"/>
    <cellStyle name="Normal 2 25" xfId="235"/>
    <cellStyle name="Normal 2 25 2" xfId="236"/>
    <cellStyle name="Normal 2 25 2 2" xfId="466"/>
    <cellStyle name="Normal 2 25 3" xfId="465"/>
    <cellStyle name="Normal 2 26" xfId="237"/>
    <cellStyle name="Normal 2 26 2" xfId="238"/>
    <cellStyle name="Normal 2 26 2 2" xfId="468"/>
    <cellStyle name="Normal 2 26 3" xfId="467"/>
    <cellStyle name="Normal 2 27" xfId="239"/>
    <cellStyle name="Normal 2 27 2" xfId="240"/>
    <cellStyle name="Normal 2 27 2 2" xfId="470"/>
    <cellStyle name="Normal 2 27 3" xfId="469"/>
    <cellStyle name="Normal 2 28" xfId="241"/>
    <cellStyle name="Normal 2 28 2" xfId="242"/>
    <cellStyle name="Normal 2 28 2 2" xfId="472"/>
    <cellStyle name="Normal 2 28 3" xfId="471"/>
    <cellStyle name="Normal 2 29" xfId="243"/>
    <cellStyle name="Normal 2 29 2" xfId="244"/>
    <cellStyle name="Normal 2 29 2 2" xfId="474"/>
    <cellStyle name="Normal 2 29 3" xfId="473"/>
    <cellStyle name="Normal 2 3" xfId="245"/>
    <cellStyle name="Normal 2 3 2" xfId="246"/>
    <cellStyle name="Normal 2 3 2 2" xfId="476"/>
    <cellStyle name="Normal 2 3 3" xfId="475"/>
    <cellStyle name="Normal 2 30" xfId="247"/>
    <cellStyle name="Normal 2 30 2" xfId="248"/>
    <cellStyle name="Normal 2 30 2 2" xfId="478"/>
    <cellStyle name="Normal 2 30 3" xfId="477"/>
    <cellStyle name="Normal 2 31" xfId="249"/>
    <cellStyle name="Normal 2 31 2" xfId="250"/>
    <cellStyle name="Normal 2 31 2 2" xfId="480"/>
    <cellStyle name="Normal 2 31 3" xfId="479"/>
    <cellStyle name="Normal 2 32" xfId="251"/>
    <cellStyle name="Normal 2 32 2" xfId="252"/>
    <cellStyle name="Normal 2 32 2 2" xfId="482"/>
    <cellStyle name="Normal 2 32 3" xfId="481"/>
    <cellStyle name="Normal 2 33" xfId="253"/>
    <cellStyle name="Normal 2 33 2" xfId="254"/>
    <cellStyle name="Normal 2 33 2 2" xfId="484"/>
    <cellStyle name="Normal 2 33 3" xfId="483"/>
    <cellStyle name="Normal 2 34" xfId="255"/>
    <cellStyle name="Normal 2 34 2" xfId="256"/>
    <cellStyle name="Normal 2 34 2 2" xfId="486"/>
    <cellStyle name="Normal 2 34 3" xfId="485"/>
    <cellStyle name="Normal 2 35" xfId="257"/>
    <cellStyle name="Normal 2 35 2" xfId="258"/>
    <cellStyle name="Normal 2 35 2 2" xfId="488"/>
    <cellStyle name="Normal 2 35 3" xfId="487"/>
    <cellStyle name="Normal 2 36" xfId="259"/>
    <cellStyle name="Normal 2 36 2" xfId="260"/>
    <cellStyle name="Normal 2 36 2 2" xfId="490"/>
    <cellStyle name="Normal 2 36 3" xfId="489"/>
    <cellStyle name="Normal 2 37" xfId="261"/>
    <cellStyle name="Normal 2 37 2" xfId="262"/>
    <cellStyle name="Normal 2 37 2 2" xfId="492"/>
    <cellStyle name="Normal 2 37 3" xfId="491"/>
    <cellStyle name="Normal 2 38" xfId="263"/>
    <cellStyle name="Normal 2 38 2" xfId="264"/>
    <cellStyle name="Normal 2 38 2 2" xfId="494"/>
    <cellStyle name="Normal 2 38 3" xfId="493"/>
    <cellStyle name="Normal 2 39" xfId="265"/>
    <cellStyle name="Normal 2 39 2" xfId="266"/>
    <cellStyle name="Normal 2 39 2 2" xfId="496"/>
    <cellStyle name="Normal 2 39 3" xfId="495"/>
    <cellStyle name="Normal 2 4" xfId="267"/>
    <cellStyle name="Normal 2 4 2" xfId="268"/>
    <cellStyle name="Normal 2 4 2 2" xfId="498"/>
    <cellStyle name="Normal 2 4 3" xfId="497"/>
    <cellStyle name="Normal 2 40" xfId="269"/>
    <cellStyle name="Normal 2 40 2" xfId="270"/>
    <cellStyle name="Normal 2 40 2 2" xfId="500"/>
    <cellStyle name="Normal 2 40 3" xfId="499"/>
    <cellStyle name="Normal 2 41" xfId="271"/>
    <cellStyle name="Normal 2 41 2" xfId="272"/>
    <cellStyle name="Normal 2 41 2 2" xfId="502"/>
    <cellStyle name="Normal 2 41 3" xfId="501"/>
    <cellStyle name="Normal 2 42" xfId="273"/>
    <cellStyle name="Normal 2 42 2" xfId="274"/>
    <cellStyle name="Normal 2 42 2 2" xfId="504"/>
    <cellStyle name="Normal 2 42 3" xfId="503"/>
    <cellStyle name="Normal 2 43" xfId="275"/>
    <cellStyle name="Normal 2 43 2" xfId="276"/>
    <cellStyle name="Normal 2 43 2 2" xfId="506"/>
    <cellStyle name="Normal 2 43 3" xfId="505"/>
    <cellStyle name="Normal 2 44" xfId="277"/>
    <cellStyle name="Normal 2 44 2" xfId="507"/>
    <cellStyle name="Normal 2 45" xfId="278"/>
    <cellStyle name="Normal 2 45 2" xfId="508"/>
    <cellStyle name="Normal 2 45 2 2" xfId="846"/>
    <cellStyle name="Normal 2 45 2 2 2" xfId="1504"/>
    <cellStyle name="Normal 2 45 2 2 2 2" xfId="2817"/>
    <cellStyle name="Normal 2 45 2 2 2 2 2" xfId="5441"/>
    <cellStyle name="Normal 2 45 2 2 2 3" xfId="4131"/>
    <cellStyle name="Normal 2 45 2 2 3" xfId="2163"/>
    <cellStyle name="Normal 2 45 2 2 3 2" xfId="4787"/>
    <cellStyle name="Normal 2 45 2 2 4" xfId="3477"/>
    <cellStyle name="Normal 2 45 2 3" xfId="1190"/>
    <cellStyle name="Normal 2 45 2 3 2" xfId="2504"/>
    <cellStyle name="Normal 2 45 2 3 2 2" xfId="5128"/>
    <cellStyle name="Normal 2 45 2 3 3" xfId="3818"/>
    <cellStyle name="Normal 2 45 2 4" xfId="1850"/>
    <cellStyle name="Normal 2 45 2 4 2" xfId="4474"/>
    <cellStyle name="Normal 2 45 2 5" xfId="3164"/>
    <cellStyle name="Normal 2 45 3" xfId="707"/>
    <cellStyle name="Normal 2 45 3 2" xfId="1367"/>
    <cellStyle name="Normal 2 45 3 2 2" xfId="2680"/>
    <cellStyle name="Normal 2 45 3 2 2 2" xfId="5304"/>
    <cellStyle name="Normal 2 45 3 2 3" xfId="3994"/>
    <cellStyle name="Normal 2 45 3 3" xfId="2026"/>
    <cellStyle name="Normal 2 45 3 3 2" xfId="4650"/>
    <cellStyle name="Normal 2 45 3 4" xfId="3340"/>
    <cellStyle name="Normal 2 45 4" xfId="1052"/>
    <cellStyle name="Normal 2 45 4 2" xfId="2367"/>
    <cellStyle name="Normal 2 45 4 2 2" xfId="4991"/>
    <cellStyle name="Normal 2 45 4 3" xfId="3681"/>
    <cellStyle name="Normal 2 45 5" xfId="1712"/>
    <cellStyle name="Normal 2 45 5 2" xfId="4337"/>
    <cellStyle name="Normal 2 45 6" xfId="3026"/>
    <cellStyle name="Normal 2 46" xfId="432"/>
    <cellStyle name="Normal 2 46 2" xfId="845"/>
    <cellStyle name="Normal 2 46 2 2" xfId="1503"/>
    <cellStyle name="Normal 2 46 2 2 2" xfId="2816"/>
    <cellStyle name="Normal 2 46 2 2 2 2" xfId="5440"/>
    <cellStyle name="Normal 2 46 2 2 3" xfId="4130"/>
    <cellStyle name="Normal 2 46 2 3" xfId="2162"/>
    <cellStyle name="Normal 2 46 2 3 2" xfId="4786"/>
    <cellStyle name="Normal 2 46 2 4" xfId="3476"/>
    <cellStyle name="Normal 2 46 3" xfId="1189"/>
    <cellStyle name="Normal 2 46 3 2" xfId="2503"/>
    <cellStyle name="Normal 2 46 3 2 2" xfId="5127"/>
    <cellStyle name="Normal 2 46 3 3" xfId="3817"/>
    <cellStyle name="Normal 2 46 4" xfId="1849"/>
    <cellStyle name="Normal 2 46 4 2" xfId="4473"/>
    <cellStyle name="Normal 2 46 5" xfId="3163"/>
    <cellStyle name="Normal 2 47" xfId="706"/>
    <cellStyle name="Normal 2 47 2" xfId="1366"/>
    <cellStyle name="Normal 2 47 2 2" xfId="2679"/>
    <cellStyle name="Normal 2 47 2 2 2" xfId="5303"/>
    <cellStyle name="Normal 2 47 2 3" xfId="3993"/>
    <cellStyle name="Normal 2 47 3" xfId="2025"/>
    <cellStyle name="Normal 2 47 3 2" xfId="4649"/>
    <cellStyle name="Normal 2 47 4" xfId="3339"/>
    <cellStyle name="Normal 2 48" xfId="1051"/>
    <cellStyle name="Normal 2 48 2" xfId="2366"/>
    <cellStyle name="Normal 2 48 2 2" xfId="4990"/>
    <cellStyle name="Normal 2 48 3" xfId="3680"/>
    <cellStyle name="Normal 2 49" xfId="1711"/>
    <cellStyle name="Normal 2 49 2" xfId="4336"/>
    <cellStyle name="Normal 2 5" xfId="279"/>
    <cellStyle name="Normal 2 5 2" xfId="280"/>
    <cellStyle name="Normal 2 5 2 2" xfId="510"/>
    <cellStyle name="Normal 2 5 3" xfId="509"/>
    <cellStyle name="Normal 2 50" xfId="3025"/>
    <cellStyle name="Normal 2 6" xfId="281"/>
    <cellStyle name="Normal 2 6 2" xfId="282"/>
    <cellStyle name="Normal 2 6 2 2" xfId="512"/>
    <cellStyle name="Normal 2 6 3" xfId="511"/>
    <cellStyle name="Normal 2 7" xfId="283"/>
    <cellStyle name="Normal 2 7 2" xfId="284"/>
    <cellStyle name="Normal 2 7 2 2" xfId="514"/>
    <cellStyle name="Normal 2 7 3" xfId="513"/>
    <cellStyle name="Normal 2 8" xfId="285"/>
    <cellStyle name="Normal 2 8 2" xfId="286"/>
    <cellStyle name="Normal 2 8 2 2" xfId="516"/>
    <cellStyle name="Normal 2 8 3" xfId="515"/>
    <cellStyle name="Normal 2 9" xfId="287"/>
    <cellStyle name="Normal 2 9 2" xfId="288"/>
    <cellStyle name="Normal 2 9 2 2" xfId="518"/>
    <cellStyle name="Normal 2 9 3" xfId="517"/>
    <cellStyle name="Normal 3" xfId="5"/>
    <cellStyle name="Normal 3 2" xfId="815"/>
    <cellStyle name="Normal 4" xfId="387"/>
    <cellStyle name="Normal 4 2" xfId="802"/>
    <cellStyle name="Normal 4 2 2" xfId="1461"/>
    <cellStyle name="Normal 4 2 2 2" xfId="2774"/>
    <cellStyle name="Normal 4 2 2 2 2" xfId="5398"/>
    <cellStyle name="Normal 4 2 2 3" xfId="4088"/>
    <cellStyle name="Normal 4 2 3" xfId="2120"/>
    <cellStyle name="Normal 4 2 3 2" xfId="4744"/>
    <cellStyle name="Normal 4 2 4" xfId="3434"/>
    <cellStyle name="Normal 4 3" xfId="1147"/>
    <cellStyle name="Normal 4 3 2" xfId="2461"/>
    <cellStyle name="Normal 4 3 2 2" xfId="5085"/>
    <cellStyle name="Normal 4 3 3" xfId="3775"/>
    <cellStyle name="Normal 4 4" xfId="1807"/>
    <cellStyle name="Normal 4 4 2" xfId="4431"/>
    <cellStyle name="Normal 4 5" xfId="3121"/>
    <cellStyle name="Normal 5" xfId="662"/>
    <cellStyle name="Normal 5 2" xfId="1324"/>
    <cellStyle name="Normal 5 2 2" xfId="2637"/>
    <cellStyle name="Normal 5 2 2 2" xfId="5261"/>
    <cellStyle name="Normal 5 2 3" xfId="3951"/>
    <cellStyle name="Normal 5 3" xfId="1983"/>
    <cellStyle name="Normal 5 3 2" xfId="4607"/>
    <cellStyle name="Normal 5 4" xfId="3297"/>
    <cellStyle name="Normal 6" xfId="675"/>
    <cellStyle name="Normal 6 2" xfId="979"/>
    <cellStyle name="Normal 7" xfId="980"/>
    <cellStyle name="Normal 7 2" xfId="1637"/>
    <cellStyle name="Normal 7 2 2" xfId="2950"/>
    <cellStyle name="Normal 7 2 2 2" xfId="5574"/>
    <cellStyle name="Normal 7 2 3" xfId="4264"/>
    <cellStyle name="Normal 7 3" xfId="2296"/>
    <cellStyle name="Normal 7 3 2" xfId="4920"/>
    <cellStyle name="Normal 7 4" xfId="3610"/>
    <cellStyle name="Normal 76 2" xfId="289"/>
    <cellStyle name="Normal 76 2 2" xfId="519"/>
    <cellStyle name="Normal 76 2 2 2" xfId="847"/>
    <cellStyle name="Normal 76 2 2 2 2" xfId="1505"/>
    <cellStyle name="Normal 76 2 2 2 2 2" xfId="2818"/>
    <cellStyle name="Normal 76 2 2 2 2 2 2" xfId="5442"/>
    <cellStyle name="Normal 76 2 2 2 2 3" xfId="4132"/>
    <cellStyle name="Normal 76 2 2 2 3" xfId="2164"/>
    <cellStyle name="Normal 76 2 2 2 3 2" xfId="4788"/>
    <cellStyle name="Normal 76 2 2 2 4" xfId="3478"/>
    <cellStyle name="Normal 76 2 2 3" xfId="1191"/>
    <cellStyle name="Normal 76 2 2 3 2" xfId="2505"/>
    <cellStyle name="Normal 76 2 2 3 2 2" xfId="5129"/>
    <cellStyle name="Normal 76 2 2 3 3" xfId="3819"/>
    <cellStyle name="Normal 76 2 2 4" xfId="1851"/>
    <cellStyle name="Normal 76 2 2 4 2" xfId="4475"/>
    <cellStyle name="Normal 76 2 2 5" xfId="3165"/>
    <cellStyle name="Normal 76 2 3" xfId="708"/>
    <cellStyle name="Normal 76 2 3 2" xfId="1368"/>
    <cellStyle name="Normal 76 2 3 2 2" xfId="2681"/>
    <cellStyle name="Normal 76 2 3 2 2 2" xfId="5305"/>
    <cellStyle name="Normal 76 2 3 2 3" xfId="3995"/>
    <cellStyle name="Normal 76 2 3 3" xfId="2027"/>
    <cellStyle name="Normal 76 2 3 3 2" xfId="4651"/>
    <cellStyle name="Normal 76 2 3 4" xfId="3341"/>
    <cellStyle name="Normal 76 2 4" xfId="1053"/>
    <cellStyle name="Normal 76 2 4 2" xfId="2368"/>
    <cellStyle name="Normal 76 2 4 2 2" xfId="4992"/>
    <cellStyle name="Normal 76 2 4 3" xfId="3682"/>
    <cellStyle name="Normal 76 2 5" xfId="1713"/>
    <cellStyle name="Normal 76 2 5 2" xfId="4338"/>
    <cellStyle name="Normal 76 2 6" xfId="3027"/>
    <cellStyle name="Normal 76 3" xfId="290"/>
    <cellStyle name="Normal 76 3 2" xfId="520"/>
    <cellStyle name="Normal 76 3 2 2" xfId="848"/>
    <cellStyle name="Normal 76 3 2 2 2" xfId="1506"/>
    <cellStyle name="Normal 76 3 2 2 2 2" xfId="2819"/>
    <cellStyle name="Normal 76 3 2 2 2 2 2" xfId="5443"/>
    <cellStyle name="Normal 76 3 2 2 2 3" xfId="4133"/>
    <cellStyle name="Normal 76 3 2 2 3" xfId="2165"/>
    <cellStyle name="Normal 76 3 2 2 3 2" xfId="4789"/>
    <cellStyle name="Normal 76 3 2 2 4" xfId="3479"/>
    <cellStyle name="Normal 76 3 2 3" xfId="1192"/>
    <cellStyle name="Normal 76 3 2 3 2" xfId="2506"/>
    <cellStyle name="Normal 76 3 2 3 2 2" xfId="5130"/>
    <cellStyle name="Normal 76 3 2 3 3" xfId="3820"/>
    <cellStyle name="Normal 76 3 2 4" xfId="1852"/>
    <cellStyle name="Normal 76 3 2 4 2" xfId="4476"/>
    <cellStyle name="Normal 76 3 2 5" xfId="3166"/>
    <cellStyle name="Normal 76 3 3" xfId="709"/>
    <cellStyle name="Normal 76 3 3 2" xfId="1369"/>
    <cellStyle name="Normal 76 3 3 2 2" xfId="2682"/>
    <cellStyle name="Normal 76 3 3 2 2 2" xfId="5306"/>
    <cellStyle name="Normal 76 3 3 2 3" xfId="3996"/>
    <cellStyle name="Normal 76 3 3 3" xfId="2028"/>
    <cellStyle name="Normal 76 3 3 3 2" xfId="4652"/>
    <cellStyle name="Normal 76 3 3 4" xfId="3342"/>
    <cellStyle name="Normal 76 3 4" xfId="1054"/>
    <cellStyle name="Normal 76 3 4 2" xfId="2369"/>
    <cellStyle name="Normal 76 3 4 2 2" xfId="4993"/>
    <cellStyle name="Normal 76 3 4 3" xfId="3683"/>
    <cellStyle name="Normal 76 3 5" xfId="1714"/>
    <cellStyle name="Normal 76 3 5 2" xfId="4339"/>
    <cellStyle name="Normal 76 3 6" xfId="3028"/>
    <cellStyle name="Normal 76 4" xfId="291"/>
    <cellStyle name="Normal 76 4 2" xfId="521"/>
    <cellStyle name="Normal 76 4 2 2" xfId="849"/>
    <cellStyle name="Normal 76 4 2 2 2" xfId="1507"/>
    <cellStyle name="Normal 76 4 2 2 2 2" xfId="2820"/>
    <cellStyle name="Normal 76 4 2 2 2 2 2" xfId="5444"/>
    <cellStyle name="Normal 76 4 2 2 2 3" xfId="4134"/>
    <cellStyle name="Normal 76 4 2 2 3" xfId="2166"/>
    <cellStyle name="Normal 76 4 2 2 3 2" xfId="4790"/>
    <cellStyle name="Normal 76 4 2 2 4" xfId="3480"/>
    <cellStyle name="Normal 76 4 2 3" xfId="1193"/>
    <cellStyle name="Normal 76 4 2 3 2" xfId="2507"/>
    <cellStyle name="Normal 76 4 2 3 2 2" xfId="5131"/>
    <cellStyle name="Normal 76 4 2 3 3" xfId="3821"/>
    <cellStyle name="Normal 76 4 2 4" xfId="1853"/>
    <cellStyle name="Normal 76 4 2 4 2" xfId="4477"/>
    <cellStyle name="Normal 76 4 2 5" xfId="3167"/>
    <cellStyle name="Normal 76 4 3" xfId="710"/>
    <cellStyle name="Normal 76 4 3 2" xfId="1370"/>
    <cellStyle name="Normal 76 4 3 2 2" xfId="2683"/>
    <cellStyle name="Normal 76 4 3 2 2 2" xfId="5307"/>
    <cellStyle name="Normal 76 4 3 2 3" xfId="3997"/>
    <cellStyle name="Normal 76 4 3 3" xfId="2029"/>
    <cellStyle name="Normal 76 4 3 3 2" xfId="4653"/>
    <cellStyle name="Normal 76 4 3 4" xfId="3343"/>
    <cellStyle name="Normal 76 4 4" xfId="1055"/>
    <cellStyle name="Normal 76 4 4 2" xfId="2370"/>
    <cellStyle name="Normal 76 4 4 2 2" xfId="4994"/>
    <cellStyle name="Normal 76 4 4 3" xfId="3684"/>
    <cellStyle name="Normal 76 4 5" xfId="1715"/>
    <cellStyle name="Normal 76 4 5 2" xfId="4340"/>
    <cellStyle name="Normal 76 4 6" xfId="3029"/>
    <cellStyle name="Normal 77 2" xfId="292"/>
    <cellStyle name="Normal 77 2 2" xfId="522"/>
    <cellStyle name="Normal 77 2 2 2" xfId="850"/>
    <cellStyle name="Normal 77 2 2 2 2" xfId="1508"/>
    <cellStyle name="Normal 77 2 2 2 2 2" xfId="2821"/>
    <cellStyle name="Normal 77 2 2 2 2 2 2" xfId="5445"/>
    <cellStyle name="Normal 77 2 2 2 2 3" xfId="4135"/>
    <cellStyle name="Normal 77 2 2 2 3" xfId="2167"/>
    <cellStyle name="Normal 77 2 2 2 3 2" xfId="4791"/>
    <cellStyle name="Normal 77 2 2 2 4" xfId="3481"/>
    <cellStyle name="Normal 77 2 2 3" xfId="1194"/>
    <cellStyle name="Normal 77 2 2 3 2" xfId="2508"/>
    <cellStyle name="Normal 77 2 2 3 2 2" xfId="5132"/>
    <cellStyle name="Normal 77 2 2 3 3" xfId="3822"/>
    <cellStyle name="Normal 77 2 2 4" xfId="1854"/>
    <cellStyle name="Normal 77 2 2 4 2" xfId="4478"/>
    <cellStyle name="Normal 77 2 2 5" xfId="3168"/>
    <cellStyle name="Normal 77 2 3" xfId="711"/>
    <cellStyle name="Normal 77 2 3 2" xfId="1371"/>
    <cellStyle name="Normal 77 2 3 2 2" xfId="2684"/>
    <cellStyle name="Normal 77 2 3 2 2 2" xfId="5308"/>
    <cellStyle name="Normal 77 2 3 2 3" xfId="3998"/>
    <cellStyle name="Normal 77 2 3 3" xfId="2030"/>
    <cellStyle name="Normal 77 2 3 3 2" xfId="4654"/>
    <cellStyle name="Normal 77 2 3 4" xfId="3344"/>
    <cellStyle name="Normal 77 2 4" xfId="1056"/>
    <cellStyle name="Normal 77 2 4 2" xfId="2371"/>
    <cellStyle name="Normal 77 2 4 2 2" xfId="4995"/>
    <cellStyle name="Normal 77 2 4 3" xfId="3685"/>
    <cellStyle name="Normal 77 2 5" xfId="1716"/>
    <cellStyle name="Normal 77 2 5 2" xfId="4341"/>
    <cellStyle name="Normal 77 2 6" xfId="3030"/>
    <cellStyle name="Normal 77 3" xfId="293"/>
    <cellStyle name="Normal 77 3 2" xfId="523"/>
    <cellStyle name="Normal 77 3 2 2" xfId="851"/>
    <cellStyle name="Normal 77 3 2 2 2" xfId="1509"/>
    <cellStyle name="Normal 77 3 2 2 2 2" xfId="2822"/>
    <cellStyle name="Normal 77 3 2 2 2 2 2" xfId="5446"/>
    <cellStyle name="Normal 77 3 2 2 2 3" xfId="4136"/>
    <cellStyle name="Normal 77 3 2 2 3" xfId="2168"/>
    <cellStyle name="Normal 77 3 2 2 3 2" xfId="4792"/>
    <cellStyle name="Normal 77 3 2 2 4" xfId="3482"/>
    <cellStyle name="Normal 77 3 2 3" xfId="1195"/>
    <cellStyle name="Normal 77 3 2 3 2" xfId="2509"/>
    <cellStyle name="Normal 77 3 2 3 2 2" xfId="5133"/>
    <cellStyle name="Normal 77 3 2 3 3" xfId="3823"/>
    <cellStyle name="Normal 77 3 2 4" xfId="1855"/>
    <cellStyle name="Normal 77 3 2 4 2" xfId="4479"/>
    <cellStyle name="Normal 77 3 2 5" xfId="3169"/>
    <cellStyle name="Normal 77 3 3" xfId="712"/>
    <cellStyle name="Normal 77 3 3 2" xfId="1372"/>
    <cellStyle name="Normal 77 3 3 2 2" xfId="2685"/>
    <cellStyle name="Normal 77 3 3 2 2 2" xfId="5309"/>
    <cellStyle name="Normal 77 3 3 2 3" xfId="3999"/>
    <cellStyle name="Normal 77 3 3 3" xfId="2031"/>
    <cellStyle name="Normal 77 3 3 3 2" xfId="4655"/>
    <cellStyle name="Normal 77 3 3 4" xfId="3345"/>
    <cellStyle name="Normal 77 3 4" xfId="1057"/>
    <cellStyle name="Normal 77 3 4 2" xfId="2372"/>
    <cellStyle name="Normal 77 3 4 2 2" xfId="4996"/>
    <cellStyle name="Normal 77 3 4 3" xfId="3686"/>
    <cellStyle name="Normal 77 3 5" xfId="1717"/>
    <cellStyle name="Normal 77 3 5 2" xfId="4342"/>
    <cellStyle name="Normal 77 3 6" xfId="3031"/>
    <cellStyle name="Normal 77 4" xfId="294"/>
    <cellStyle name="Normal 77 4 2" xfId="524"/>
    <cellStyle name="Normal 77 4 2 2" xfId="852"/>
    <cellStyle name="Normal 77 4 2 2 2" xfId="1510"/>
    <cellStyle name="Normal 77 4 2 2 2 2" xfId="2823"/>
    <cellStyle name="Normal 77 4 2 2 2 2 2" xfId="5447"/>
    <cellStyle name="Normal 77 4 2 2 2 3" xfId="4137"/>
    <cellStyle name="Normal 77 4 2 2 3" xfId="2169"/>
    <cellStyle name="Normal 77 4 2 2 3 2" xfId="4793"/>
    <cellStyle name="Normal 77 4 2 2 4" xfId="3483"/>
    <cellStyle name="Normal 77 4 2 3" xfId="1196"/>
    <cellStyle name="Normal 77 4 2 3 2" xfId="2510"/>
    <cellStyle name="Normal 77 4 2 3 2 2" xfId="5134"/>
    <cellStyle name="Normal 77 4 2 3 3" xfId="3824"/>
    <cellStyle name="Normal 77 4 2 4" xfId="1856"/>
    <cellStyle name="Normal 77 4 2 4 2" xfId="4480"/>
    <cellStyle name="Normal 77 4 2 5" xfId="3170"/>
    <cellStyle name="Normal 77 4 3" xfId="713"/>
    <cellStyle name="Normal 77 4 3 2" xfId="1373"/>
    <cellStyle name="Normal 77 4 3 2 2" xfId="2686"/>
    <cellStyle name="Normal 77 4 3 2 2 2" xfId="5310"/>
    <cellStyle name="Normal 77 4 3 2 3" xfId="4000"/>
    <cellStyle name="Normal 77 4 3 3" xfId="2032"/>
    <cellStyle name="Normal 77 4 3 3 2" xfId="4656"/>
    <cellStyle name="Normal 77 4 3 4" xfId="3346"/>
    <cellStyle name="Normal 77 4 4" xfId="1058"/>
    <cellStyle name="Normal 77 4 4 2" xfId="2373"/>
    <cellStyle name="Normal 77 4 4 2 2" xfId="4997"/>
    <cellStyle name="Normal 77 4 4 3" xfId="3687"/>
    <cellStyle name="Normal 77 4 5" xfId="1718"/>
    <cellStyle name="Normal 77 4 5 2" xfId="4343"/>
    <cellStyle name="Normal 77 4 6" xfId="3032"/>
    <cellStyle name="Normal 77 5" xfId="295"/>
    <cellStyle name="Normal 77 5 2" xfId="525"/>
    <cellStyle name="Normal 77 5 2 2" xfId="853"/>
    <cellStyle name="Normal 77 5 2 2 2" xfId="1511"/>
    <cellStyle name="Normal 77 5 2 2 2 2" xfId="2824"/>
    <cellStyle name="Normal 77 5 2 2 2 2 2" xfId="5448"/>
    <cellStyle name="Normal 77 5 2 2 2 3" xfId="4138"/>
    <cellStyle name="Normal 77 5 2 2 3" xfId="2170"/>
    <cellStyle name="Normal 77 5 2 2 3 2" xfId="4794"/>
    <cellStyle name="Normal 77 5 2 2 4" xfId="3484"/>
    <cellStyle name="Normal 77 5 2 3" xfId="1197"/>
    <cellStyle name="Normal 77 5 2 3 2" xfId="2511"/>
    <cellStyle name="Normal 77 5 2 3 2 2" xfId="5135"/>
    <cellStyle name="Normal 77 5 2 3 3" xfId="3825"/>
    <cellStyle name="Normal 77 5 2 4" xfId="1857"/>
    <cellStyle name="Normal 77 5 2 4 2" xfId="4481"/>
    <cellStyle name="Normal 77 5 2 5" xfId="3171"/>
    <cellStyle name="Normal 77 5 3" xfId="714"/>
    <cellStyle name="Normal 77 5 3 2" xfId="1374"/>
    <cellStyle name="Normal 77 5 3 2 2" xfId="2687"/>
    <cellStyle name="Normal 77 5 3 2 2 2" xfId="5311"/>
    <cellStyle name="Normal 77 5 3 2 3" xfId="4001"/>
    <cellStyle name="Normal 77 5 3 3" xfId="2033"/>
    <cellStyle name="Normal 77 5 3 3 2" xfId="4657"/>
    <cellStyle name="Normal 77 5 3 4" xfId="3347"/>
    <cellStyle name="Normal 77 5 4" xfId="1059"/>
    <cellStyle name="Normal 77 5 4 2" xfId="2374"/>
    <cellStyle name="Normal 77 5 4 2 2" xfId="4998"/>
    <cellStyle name="Normal 77 5 4 3" xfId="3688"/>
    <cellStyle name="Normal 77 5 5" xfId="1719"/>
    <cellStyle name="Normal 77 5 5 2" xfId="4344"/>
    <cellStyle name="Normal 77 5 6" xfId="3033"/>
    <cellStyle name="Normal 77 6" xfId="296"/>
    <cellStyle name="Normal 77 6 2" xfId="526"/>
    <cellStyle name="Normal 77 6 2 2" xfId="854"/>
    <cellStyle name="Normal 77 6 2 2 2" xfId="1512"/>
    <cellStyle name="Normal 77 6 2 2 2 2" xfId="2825"/>
    <cellStyle name="Normal 77 6 2 2 2 2 2" xfId="5449"/>
    <cellStyle name="Normal 77 6 2 2 2 3" xfId="4139"/>
    <cellStyle name="Normal 77 6 2 2 3" xfId="2171"/>
    <cellStyle name="Normal 77 6 2 2 3 2" xfId="4795"/>
    <cellStyle name="Normal 77 6 2 2 4" xfId="3485"/>
    <cellStyle name="Normal 77 6 2 3" xfId="1198"/>
    <cellStyle name="Normal 77 6 2 3 2" xfId="2512"/>
    <cellStyle name="Normal 77 6 2 3 2 2" xfId="5136"/>
    <cellStyle name="Normal 77 6 2 3 3" xfId="3826"/>
    <cellStyle name="Normal 77 6 2 4" xfId="1858"/>
    <cellStyle name="Normal 77 6 2 4 2" xfId="4482"/>
    <cellStyle name="Normal 77 6 2 5" xfId="3172"/>
    <cellStyle name="Normal 77 6 3" xfId="715"/>
    <cellStyle name="Normal 77 6 3 2" xfId="1375"/>
    <cellStyle name="Normal 77 6 3 2 2" xfId="2688"/>
    <cellStyle name="Normal 77 6 3 2 2 2" xfId="5312"/>
    <cellStyle name="Normal 77 6 3 2 3" xfId="4002"/>
    <cellStyle name="Normal 77 6 3 3" xfId="2034"/>
    <cellStyle name="Normal 77 6 3 3 2" xfId="4658"/>
    <cellStyle name="Normal 77 6 3 4" xfId="3348"/>
    <cellStyle name="Normal 77 6 4" xfId="1060"/>
    <cellStyle name="Normal 77 6 4 2" xfId="2375"/>
    <cellStyle name="Normal 77 6 4 2 2" xfId="4999"/>
    <cellStyle name="Normal 77 6 4 3" xfId="3689"/>
    <cellStyle name="Normal 77 6 5" xfId="1720"/>
    <cellStyle name="Normal 77 6 5 2" xfId="4345"/>
    <cellStyle name="Normal 77 6 6" xfId="3034"/>
    <cellStyle name="Normal 77 7" xfId="297"/>
    <cellStyle name="Normal 77 7 2" xfId="527"/>
    <cellStyle name="Normal 77 7 2 2" xfId="855"/>
    <cellStyle name="Normal 77 7 2 2 2" xfId="1513"/>
    <cellStyle name="Normal 77 7 2 2 2 2" xfId="2826"/>
    <cellStyle name="Normal 77 7 2 2 2 2 2" xfId="5450"/>
    <cellStyle name="Normal 77 7 2 2 2 3" xfId="4140"/>
    <cellStyle name="Normal 77 7 2 2 3" xfId="2172"/>
    <cellStyle name="Normal 77 7 2 2 3 2" xfId="4796"/>
    <cellStyle name="Normal 77 7 2 2 4" xfId="3486"/>
    <cellStyle name="Normal 77 7 2 3" xfId="1199"/>
    <cellStyle name="Normal 77 7 2 3 2" xfId="2513"/>
    <cellStyle name="Normal 77 7 2 3 2 2" xfId="5137"/>
    <cellStyle name="Normal 77 7 2 3 3" xfId="3827"/>
    <cellStyle name="Normal 77 7 2 4" xfId="1859"/>
    <cellStyle name="Normal 77 7 2 4 2" xfId="4483"/>
    <cellStyle name="Normal 77 7 2 5" xfId="3173"/>
    <cellStyle name="Normal 77 7 3" xfId="716"/>
    <cellStyle name="Normal 77 7 3 2" xfId="1376"/>
    <cellStyle name="Normal 77 7 3 2 2" xfId="2689"/>
    <cellStyle name="Normal 77 7 3 2 2 2" xfId="5313"/>
    <cellStyle name="Normal 77 7 3 2 3" xfId="4003"/>
    <cellStyle name="Normal 77 7 3 3" xfId="2035"/>
    <cellStyle name="Normal 77 7 3 3 2" xfId="4659"/>
    <cellStyle name="Normal 77 7 3 4" xfId="3349"/>
    <cellStyle name="Normal 77 7 4" xfId="1061"/>
    <cellStyle name="Normal 77 7 4 2" xfId="2376"/>
    <cellStyle name="Normal 77 7 4 2 2" xfId="5000"/>
    <cellStyle name="Normal 77 7 4 3" xfId="3690"/>
    <cellStyle name="Normal 77 7 5" xfId="1721"/>
    <cellStyle name="Normal 77 7 5 2" xfId="4346"/>
    <cellStyle name="Normal 77 7 6" xfId="3035"/>
    <cellStyle name="Normal 77 8" xfId="298"/>
    <cellStyle name="Normal 77 8 2" xfId="528"/>
    <cellStyle name="Normal 77 8 2 2" xfId="856"/>
    <cellStyle name="Normal 77 8 2 2 2" xfId="1514"/>
    <cellStyle name="Normal 77 8 2 2 2 2" xfId="2827"/>
    <cellStyle name="Normal 77 8 2 2 2 2 2" xfId="5451"/>
    <cellStyle name="Normal 77 8 2 2 2 3" xfId="4141"/>
    <cellStyle name="Normal 77 8 2 2 3" xfId="2173"/>
    <cellStyle name="Normal 77 8 2 2 3 2" xfId="4797"/>
    <cellStyle name="Normal 77 8 2 2 4" xfId="3487"/>
    <cellStyle name="Normal 77 8 2 3" xfId="1200"/>
    <cellStyle name="Normal 77 8 2 3 2" xfId="2514"/>
    <cellStyle name="Normal 77 8 2 3 2 2" xfId="5138"/>
    <cellStyle name="Normal 77 8 2 3 3" xfId="3828"/>
    <cellStyle name="Normal 77 8 2 4" xfId="1860"/>
    <cellStyle name="Normal 77 8 2 4 2" xfId="4484"/>
    <cellStyle name="Normal 77 8 2 5" xfId="3174"/>
    <cellStyle name="Normal 77 8 3" xfId="717"/>
    <cellStyle name="Normal 77 8 3 2" xfId="1377"/>
    <cellStyle name="Normal 77 8 3 2 2" xfId="2690"/>
    <cellStyle name="Normal 77 8 3 2 2 2" xfId="5314"/>
    <cellStyle name="Normal 77 8 3 2 3" xfId="4004"/>
    <cellStyle name="Normal 77 8 3 3" xfId="2036"/>
    <cellStyle name="Normal 77 8 3 3 2" xfId="4660"/>
    <cellStyle name="Normal 77 8 3 4" xfId="3350"/>
    <cellStyle name="Normal 77 8 4" xfId="1062"/>
    <cellStyle name="Normal 77 8 4 2" xfId="2377"/>
    <cellStyle name="Normal 77 8 4 2 2" xfId="5001"/>
    <cellStyle name="Normal 77 8 4 3" xfId="3691"/>
    <cellStyle name="Normal 77 8 5" xfId="1722"/>
    <cellStyle name="Normal 77 8 5 2" xfId="4347"/>
    <cellStyle name="Normal 77 8 6" xfId="3036"/>
    <cellStyle name="Normal 78 2" xfId="299"/>
    <cellStyle name="Normal 78 2 2" xfId="529"/>
    <cellStyle name="Normal 78 2 2 2" xfId="857"/>
    <cellStyle name="Normal 78 2 2 2 2" xfId="1515"/>
    <cellStyle name="Normal 78 2 2 2 2 2" xfId="2828"/>
    <cellStyle name="Normal 78 2 2 2 2 2 2" xfId="5452"/>
    <cellStyle name="Normal 78 2 2 2 2 3" xfId="4142"/>
    <cellStyle name="Normal 78 2 2 2 3" xfId="2174"/>
    <cellStyle name="Normal 78 2 2 2 3 2" xfId="4798"/>
    <cellStyle name="Normal 78 2 2 2 4" xfId="3488"/>
    <cellStyle name="Normal 78 2 2 3" xfId="1201"/>
    <cellStyle name="Normal 78 2 2 3 2" xfId="2515"/>
    <cellStyle name="Normal 78 2 2 3 2 2" xfId="5139"/>
    <cellStyle name="Normal 78 2 2 3 3" xfId="3829"/>
    <cellStyle name="Normal 78 2 2 4" xfId="1861"/>
    <cellStyle name="Normal 78 2 2 4 2" xfId="4485"/>
    <cellStyle name="Normal 78 2 2 5" xfId="3175"/>
    <cellStyle name="Normal 78 2 3" xfId="718"/>
    <cellStyle name="Normal 78 2 3 2" xfId="1378"/>
    <cellStyle name="Normal 78 2 3 2 2" xfId="2691"/>
    <cellStyle name="Normal 78 2 3 2 2 2" xfId="5315"/>
    <cellStyle name="Normal 78 2 3 2 3" xfId="4005"/>
    <cellStyle name="Normal 78 2 3 3" xfId="2037"/>
    <cellStyle name="Normal 78 2 3 3 2" xfId="4661"/>
    <cellStyle name="Normal 78 2 3 4" xfId="3351"/>
    <cellStyle name="Normal 78 2 4" xfId="1063"/>
    <cellStyle name="Normal 78 2 4 2" xfId="2378"/>
    <cellStyle name="Normal 78 2 4 2 2" xfId="5002"/>
    <cellStyle name="Normal 78 2 4 3" xfId="3692"/>
    <cellStyle name="Normal 78 2 5" xfId="1723"/>
    <cellStyle name="Normal 78 2 5 2" xfId="4348"/>
    <cellStyle name="Normal 78 2 6" xfId="3037"/>
    <cellStyle name="Normal 78 3" xfId="300"/>
    <cellStyle name="Normal 78 3 2" xfId="530"/>
    <cellStyle name="Normal 78 3 2 2" xfId="858"/>
    <cellStyle name="Normal 78 3 2 2 2" xfId="1516"/>
    <cellStyle name="Normal 78 3 2 2 2 2" xfId="2829"/>
    <cellStyle name="Normal 78 3 2 2 2 2 2" xfId="5453"/>
    <cellStyle name="Normal 78 3 2 2 2 3" xfId="4143"/>
    <cellStyle name="Normal 78 3 2 2 3" xfId="2175"/>
    <cellStyle name="Normal 78 3 2 2 3 2" xfId="4799"/>
    <cellStyle name="Normal 78 3 2 2 4" xfId="3489"/>
    <cellStyle name="Normal 78 3 2 3" xfId="1202"/>
    <cellStyle name="Normal 78 3 2 3 2" xfId="2516"/>
    <cellStyle name="Normal 78 3 2 3 2 2" xfId="5140"/>
    <cellStyle name="Normal 78 3 2 3 3" xfId="3830"/>
    <cellStyle name="Normal 78 3 2 4" xfId="1862"/>
    <cellStyle name="Normal 78 3 2 4 2" xfId="4486"/>
    <cellStyle name="Normal 78 3 2 5" xfId="3176"/>
    <cellStyle name="Normal 78 3 3" xfId="719"/>
    <cellStyle name="Normal 78 3 3 2" xfId="1379"/>
    <cellStyle name="Normal 78 3 3 2 2" xfId="2692"/>
    <cellStyle name="Normal 78 3 3 2 2 2" xfId="5316"/>
    <cellStyle name="Normal 78 3 3 2 3" xfId="4006"/>
    <cellStyle name="Normal 78 3 3 3" xfId="2038"/>
    <cellStyle name="Normal 78 3 3 3 2" xfId="4662"/>
    <cellStyle name="Normal 78 3 3 4" xfId="3352"/>
    <cellStyle name="Normal 78 3 4" xfId="1064"/>
    <cellStyle name="Normal 78 3 4 2" xfId="2379"/>
    <cellStyle name="Normal 78 3 4 2 2" xfId="5003"/>
    <cellStyle name="Normal 78 3 4 3" xfId="3693"/>
    <cellStyle name="Normal 78 3 5" xfId="1724"/>
    <cellStyle name="Normal 78 3 5 2" xfId="4349"/>
    <cellStyle name="Normal 78 3 6" xfId="3038"/>
    <cellStyle name="Normal 78 4" xfId="301"/>
    <cellStyle name="Normal 78 4 2" xfId="531"/>
    <cellStyle name="Normal 78 4 2 2" xfId="859"/>
    <cellStyle name="Normal 78 4 2 2 2" xfId="1517"/>
    <cellStyle name="Normal 78 4 2 2 2 2" xfId="2830"/>
    <cellStyle name="Normal 78 4 2 2 2 2 2" xfId="5454"/>
    <cellStyle name="Normal 78 4 2 2 2 3" xfId="4144"/>
    <cellStyle name="Normal 78 4 2 2 3" xfId="2176"/>
    <cellStyle name="Normal 78 4 2 2 3 2" xfId="4800"/>
    <cellStyle name="Normal 78 4 2 2 4" xfId="3490"/>
    <cellStyle name="Normal 78 4 2 3" xfId="1203"/>
    <cellStyle name="Normal 78 4 2 3 2" xfId="2517"/>
    <cellStyle name="Normal 78 4 2 3 2 2" xfId="5141"/>
    <cellStyle name="Normal 78 4 2 3 3" xfId="3831"/>
    <cellStyle name="Normal 78 4 2 4" xfId="1863"/>
    <cellStyle name="Normal 78 4 2 4 2" xfId="4487"/>
    <cellStyle name="Normal 78 4 2 5" xfId="3177"/>
    <cellStyle name="Normal 78 4 3" xfId="720"/>
    <cellStyle name="Normal 78 4 3 2" xfId="1380"/>
    <cellStyle name="Normal 78 4 3 2 2" xfId="2693"/>
    <cellStyle name="Normal 78 4 3 2 2 2" xfId="5317"/>
    <cellStyle name="Normal 78 4 3 2 3" xfId="4007"/>
    <cellStyle name="Normal 78 4 3 3" xfId="2039"/>
    <cellStyle name="Normal 78 4 3 3 2" xfId="4663"/>
    <cellStyle name="Normal 78 4 3 4" xfId="3353"/>
    <cellStyle name="Normal 78 4 4" xfId="1065"/>
    <cellStyle name="Normal 78 4 4 2" xfId="2380"/>
    <cellStyle name="Normal 78 4 4 2 2" xfId="5004"/>
    <cellStyle name="Normal 78 4 4 3" xfId="3694"/>
    <cellStyle name="Normal 78 4 5" xfId="1725"/>
    <cellStyle name="Normal 78 4 5 2" xfId="4350"/>
    <cellStyle name="Normal 78 4 6" xfId="3039"/>
    <cellStyle name="Normal 78 5" xfId="302"/>
    <cellStyle name="Normal 78 5 2" xfId="532"/>
    <cellStyle name="Normal 78 5 2 2" xfId="860"/>
    <cellStyle name="Normal 78 5 2 2 2" xfId="1518"/>
    <cellStyle name="Normal 78 5 2 2 2 2" xfId="2831"/>
    <cellStyle name="Normal 78 5 2 2 2 2 2" xfId="5455"/>
    <cellStyle name="Normal 78 5 2 2 2 3" xfId="4145"/>
    <cellStyle name="Normal 78 5 2 2 3" xfId="2177"/>
    <cellStyle name="Normal 78 5 2 2 3 2" xfId="4801"/>
    <cellStyle name="Normal 78 5 2 2 4" xfId="3491"/>
    <cellStyle name="Normal 78 5 2 3" xfId="1204"/>
    <cellStyle name="Normal 78 5 2 3 2" xfId="2518"/>
    <cellStyle name="Normal 78 5 2 3 2 2" xfId="5142"/>
    <cellStyle name="Normal 78 5 2 3 3" xfId="3832"/>
    <cellStyle name="Normal 78 5 2 4" xfId="1864"/>
    <cellStyle name="Normal 78 5 2 4 2" xfId="4488"/>
    <cellStyle name="Normal 78 5 2 5" xfId="3178"/>
    <cellStyle name="Normal 78 5 3" xfId="721"/>
    <cellStyle name="Normal 78 5 3 2" xfId="1381"/>
    <cellStyle name="Normal 78 5 3 2 2" xfId="2694"/>
    <cellStyle name="Normal 78 5 3 2 2 2" xfId="5318"/>
    <cellStyle name="Normal 78 5 3 2 3" xfId="4008"/>
    <cellStyle name="Normal 78 5 3 3" xfId="2040"/>
    <cellStyle name="Normal 78 5 3 3 2" xfId="4664"/>
    <cellStyle name="Normal 78 5 3 4" xfId="3354"/>
    <cellStyle name="Normal 78 5 4" xfId="1066"/>
    <cellStyle name="Normal 78 5 4 2" xfId="2381"/>
    <cellStyle name="Normal 78 5 4 2 2" xfId="5005"/>
    <cellStyle name="Normal 78 5 4 3" xfId="3695"/>
    <cellStyle name="Normal 78 5 5" xfId="1726"/>
    <cellStyle name="Normal 78 5 5 2" xfId="4351"/>
    <cellStyle name="Normal 78 5 6" xfId="3040"/>
    <cellStyle name="Normal 78 6" xfId="303"/>
    <cellStyle name="Normal 78 6 2" xfId="533"/>
    <cellStyle name="Normal 78 6 2 2" xfId="861"/>
    <cellStyle name="Normal 78 6 2 2 2" xfId="1519"/>
    <cellStyle name="Normal 78 6 2 2 2 2" xfId="2832"/>
    <cellStyle name="Normal 78 6 2 2 2 2 2" xfId="5456"/>
    <cellStyle name="Normal 78 6 2 2 2 3" xfId="4146"/>
    <cellStyle name="Normal 78 6 2 2 3" xfId="2178"/>
    <cellStyle name="Normal 78 6 2 2 3 2" xfId="4802"/>
    <cellStyle name="Normal 78 6 2 2 4" xfId="3492"/>
    <cellStyle name="Normal 78 6 2 3" xfId="1205"/>
    <cellStyle name="Normal 78 6 2 3 2" xfId="2519"/>
    <cellStyle name="Normal 78 6 2 3 2 2" xfId="5143"/>
    <cellStyle name="Normal 78 6 2 3 3" xfId="3833"/>
    <cellStyle name="Normal 78 6 2 4" xfId="1865"/>
    <cellStyle name="Normal 78 6 2 4 2" xfId="4489"/>
    <cellStyle name="Normal 78 6 2 5" xfId="3179"/>
    <cellStyle name="Normal 78 6 3" xfId="722"/>
    <cellStyle name="Normal 78 6 3 2" xfId="1382"/>
    <cellStyle name="Normal 78 6 3 2 2" xfId="2695"/>
    <cellStyle name="Normal 78 6 3 2 2 2" xfId="5319"/>
    <cellStyle name="Normal 78 6 3 2 3" xfId="4009"/>
    <cellStyle name="Normal 78 6 3 3" xfId="2041"/>
    <cellStyle name="Normal 78 6 3 3 2" xfId="4665"/>
    <cellStyle name="Normal 78 6 3 4" xfId="3355"/>
    <cellStyle name="Normal 78 6 4" xfId="1067"/>
    <cellStyle name="Normal 78 6 4 2" xfId="2382"/>
    <cellStyle name="Normal 78 6 4 2 2" xfId="5006"/>
    <cellStyle name="Normal 78 6 4 3" xfId="3696"/>
    <cellStyle name="Normal 78 6 5" xfId="1727"/>
    <cellStyle name="Normal 78 6 5 2" xfId="4352"/>
    <cellStyle name="Normal 78 6 6" xfId="3041"/>
    <cellStyle name="Normal 78 7" xfId="304"/>
    <cellStyle name="Normal 78 7 2" xfId="534"/>
    <cellStyle name="Normal 78 7 2 2" xfId="862"/>
    <cellStyle name="Normal 78 7 2 2 2" xfId="1520"/>
    <cellStyle name="Normal 78 7 2 2 2 2" xfId="2833"/>
    <cellStyle name="Normal 78 7 2 2 2 2 2" xfId="5457"/>
    <cellStyle name="Normal 78 7 2 2 2 3" xfId="4147"/>
    <cellStyle name="Normal 78 7 2 2 3" xfId="2179"/>
    <cellStyle name="Normal 78 7 2 2 3 2" xfId="4803"/>
    <cellStyle name="Normal 78 7 2 2 4" xfId="3493"/>
    <cellStyle name="Normal 78 7 2 3" xfId="1206"/>
    <cellStyle name="Normal 78 7 2 3 2" xfId="2520"/>
    <cellStyle name="Normal 78 7 2 3 2 2" xfId="5144"/>
    <cellStyle name="Normal 78 7 2 3 3" xfId="3834"/>
    <cellStyle name="Normal 78 7 2 4" xfId="1866"/>
    <cellStyle name="Normal 78 7 2 4 2" xfId="4490"/>
    <cellStyle name="Normal 78 7 2 5" xfId="3180"/>
    <cellStyle name="Normal 78 7 3" xfId="723"/>
    <cellStyle name="Normal 78 7 3 2" xfId="1383"/>
    <cellStyle name="Normal 78 7 3 2 2" xfId="2696"/>
    <cellStyle name="Normal 78 7 3 2 2 2" xfId="5320"/>
    <cellStyle name="Normal 78 7 3 2 3" xfId="4010"/>
    <cellStyle name="Normal 78 7 3 3" xfId="2042"/>
    <cellStyle name="Normal 78 7 3 3 2" xfId="4666"/>
    <cellStyle name="Normal 78 7 3 4" xfId="3356"/>
    <cellStyle name="Normal 78 7 4" xfId="1068"/>
    <cellStyle name="Normal 78 7 4 2" xfId="2383"/>
    <cellStyle name="Normal 78 7 4 2 2" xfId="5007"/>
    <cellStyle name="Normal 78 7 4 3" xfId="3697"/>
    <cellStyle name="Normal 78 7 5" xfId="1728"/>
    <cellStyle name="Normal 78 7 5 2" xfId="4353"/>
    <cellStyle name="Normal 78 7 6" xfId="3042"/>
    <cellStyle name="Normal 78 8" xfId="305"/>
    <cellStyle name="Normal 78 8 2" xfId="535"/>
    <cellStyle name="Normal 78 8 2 2" xfId="863"/>
    <cellStyle name="Normal 78 8 2 2 2" xfId="1521"/>
    <cellStyle name="Normal 78 8 2 2 2 2" xfId="2834"/>
    <cellStyle name="Normal 78 8 2 2 2 2 2" xfId="5458"/>
    <cellStyle name="Normal 78 8 2 2 2 3" xfId="4148"/>
    <cellStyle name="Normal 78 8 2 2 3" xfId="2180"/>
    <cellStyle name="Normal 78 8 2 2 3 2" xfId="4804"/>
    <cellStyle name="Normal 78 8 2 2 4" xfId="3494"/>
    <cellStyle name="Normal 78 8 2 3" xfId="1207"/>
    <cellStyle name="Normal 78 8 2 3 2" xfId="2521"/>
    <cellStyle name="Normal 78 8 2 3 2 2" xfId="5145"/>
    <cellStyle name="Normal 78 8 2 3 3" xfId="3835"/>
    <cellStyle name="Normal 78 8 2 4" xfId="1867"/>
    <cellStyle name="Normal 78 8 2 4 2" xfId="4491"/>
    <cellStyle name="Normal 78 8 2 5" xfId="3181"/>
    <cellStyle name="Normal 78 8 3" xfId="724"/>
    <cellStyle name="Normal 78 8 3 2" xfId="1384"/>
    <cellStyle name="Normal 78 8 3 2 2" xfId="2697"/>
    <cellStyle name="Normal 78 8 3 2 2 2" xfId="5321"/>
    <cellStyle name="Normal 78 8 3 2 3" xfId="4011"/>
    <cellStyle name="Normal 78 8 3 3" xfId="2043"/>
    <cellStyle name="Normal 78 8 3 3 2" xfId="4667"/>
    <cellStyle name="Normal 78 8 3 4" xfId="3357"/>
    <cellStyle name="Normal 78 8 4" xfId="1069"/>
    <cellStyle name="Normal 78 8 4 2" xfId="2384"/>
    <cellStyle name="Normal 78 8 4 2 2" xfId="5008"/>
    <cellStyle name="Normal 78 8 4 3" xfId="3698"/>
    <cellStyle name="Normal 78 8 5" xfId="1729"/>
    <cellStyle name="Normal 78 8 5 2" xfId="4354"/>
    <cellStyle name="Normal 78 8 6" xfId="3043"/>
    <cellStyle name="Normal 79 2" xfId="306"/>
    <cellStyle name="Normal 79 2 2" xfId="536"/>
    <cellStyle name="Normal 79 2 2 2" xfId="864"/>
    <cellStyle name="Normal 79 2 2 2 2" xfId="1522"/>
    <cellStyle name="Normal 79 2 2 2 2 2" xfId="2835"/>
    <cellStyle name="Normal 79 2 2 2 2 2 2" xfId="5459"/>
    <cellStyle name="Normal 79 2 2 2 2 3" xfId="4149"/>
    <cellStyle name="Normal 79 2 2 2 3" xfId="2181"/>
    <cellStyle name="Normal 79 2 2 2 3 2" xfId="4805"/>
    <cellStyle name="Normal 79 2 2 2 4" xfId="3495"/>
    <cellStyle name="Normal 79 2 2 3" xfId="1208"/>
    <cellStyle name="Normal 79 2 2 3 2" xfId="2522"/>
    <cellStyle name="Normal 79 2 2 3 2 2" xfId="5146"/>
    <cellStyle name="Normal 79 2 2 3 3" xfId="3836"/>
    <cellStyle name="Normal 79 2 2 4" xfId="1868"/>
    <cellStyle name="Normal 79 2 2 4 2" xfId="4492"/>
    <cellStyle name="Normal 79 2 2 5" xfId="3182"/>
    <cellStyle name="Normal 79 2 3" xfId="725"/>
    <cellStyle name="Normal 79 2 3 2" xfId="1385"/>
    <cellStyle name="Normal 79 2 3 2 2" xfId="2698"/>
    <cellStyle name="Normal 79 2 3 2 2 2" xfId="5322"/>
    <cellStyle name="Normal 79 2 3 2 3" xfId="4012"/>
    <cellStyle name="Normal 79 2 3 3" xfId="2044"/>
    <cellStyle name="Normal 79 2 3 3 2" xfId="4668"/>
    <cellStyle name="Normal 79 2 3 4" xfId="3358"/>
    <cellStyle name="Normal 79 2 4" xfId="1070"/>
    <cellStyle name="Normal 79 2 4 2" xfId="2385"/>
    <cellStyle name="Normal 79 2 4 2 2" xfId="5009"/>
    <cellStyle name="Normal 79 2 4 3" xfId="3699"/>
    <cellStyle name="Normal 79 2 5" xfId="1730"/>
    <cellStyle name="Normal 79 2 5 2" xfId="4355"/>
    <cellStyle name="Normal 79 2 6" xfId="3044"/>
    <cellStyle name="Normal 79 3" xfId="307"/>
    <cellStyle name="Normal 79 3 2" xfId="537"/>
    <cellStyle name="Normal 79 3 2 2" xfId="865"/>
    <cellStyle name="Normal 79 3 2 2 2" xfId="1523"/>
    <cellStyle name="Normal 79 3 2 2 2 2" xfId="2836"/>
    <cellStyle name="Normal 79 3 2 2 2 2 2" xfId="5460"/>
    <cellStyle name="Normal 79 3 2 2 2 3" xfId="4150"/>
    <cellStyle name="Normal 79 3 2 2 3" xfId="2182"/>
    <cellStyle name="Normal 79 3 2 2 3 2" xfId="4806"/>
    <cellStyle name="Normal 79 3 2 2 4" xfId="3496"/>
    <cellStyle name="Normal 79 3 2 3" xfId="1209"/>
    <cellStyle name="Normal 79 3 2 3 2" xfId="2523"/>
    <cellStyle name="Normal 79 3 2 3 2 2" xfId="5147"/>
    <cellStyle name="Normal 79 3 2 3 3" xfId="3837"/>
    <cellStyle name="Normal 79 3 2 4" xfId="1869"/>
    <cellStyle name="Normal 79 3 2 4 2" xfId="4493"/>
    <cellStyle name="Normal 79 3 2 5" xfId="3183"/>
    <cellStyle name="Normal 79 3 3" xfId="726"/>
    <cellStyle name="Normal 79 3 3 2" xfId="1386"/>
    <cellStyle name="Normal 79 3 3 2 2" xfId="2699"/>
    <cellStyle name="Normal 79 3 3 2 2 2" xfId="5323"/>
    <cellStyle name="Normal 79 3 3 2 3" xfId="4013"/>
    <cellStyle name="Normal 79 3 3 3" xfId="2045"/>
    <cellStyle name="Normal 79 3 3 3 2" xfId="4669"/>
    <cellStyle name="Normal 79 3 3 4" xfId="3359"/>
    <cellStyle name="Normal 79 3 4" xfId="1071"/>
    <cellStyle name="Normal 79 3 4 2" xfId="2386"/>
    <cellStyle name="Normal 79 3 4 2 2" xfId="5010"/>
    <cellStyle name="Normal 79 3 4 3" xfId="3700"/>
    <cellStyle name="Normal 79 3 5" xfId="1731"/>
    <cellStyle name="Normal 79 3 5 2" xfId="4356"/>
    <cellStyle name="Normal 79 3 6" xfId="3045"/>
    <cellStyle name="Normal 79 4" xfId="308"/>
    <cellStyle name="Normal 79 4 2" xfId="538"/>
    <cellStyle name="Normal 79 4 2 2" xfId="866"/>
    <cellStyle name="Normal 79 4 2 2 2" xfId="1524"/>
    <cellStyle name="Normal 79 4 2 2 2 2" xfId="2837"/>
    <cellStyle name="Normal 79 4 2 2 2 2 2" xfId="5461"/>
    <cellStyle name="Normal 79 4 2 2 2 3" xfId="4151"/>
    <cellStyle name="Normal 79 4 2 2 3" xfId="2183"/>
    <cellStyle name="Normal 79 4 2 2 3 2" xfId="4807"/>
    <cellStyle name="Normal 79 4 2 2 4" xfId="3497"/>
    <cellStyle name="Normal 79 4 2 3" xfId="1210"/>
    <cellStyle name="Normal 79 4 2 3 2" xfId="2524"/>
    <cellStyle name="Normal 79 4 2 3 2 2" xfId="5148"/>
    <cellStyle name="Normal 79 4 2 3 3" xfId="3838"/>
    <cellStyle name="Normal 79 4 2 4" xfId="1870"/>
    <cellStyle name="Normal 79 4 2 4 2" xfId="4494"/>
    <cellStyle name="Normal 79 4 2 5" xfId="3184"/>
    <cellStyle name="Normal 79 4 3" xfId="727"/>
    <cellStyle name="Normal 79 4 3 2" xfId="1387"/>
    <cellStyle name="Normal 79 4 3 2 2" xfId="2700"/>
    <cellStyle name="Normal 79 4 3 2 2 2" xfId="5324"/>
    <cellStyle name="Normal 79 4 3 2 3" xfId="4014"/>
    <cellStyle name="Normal 79 4 3 3" xfId="2046"/>
    <cellStyle name="Normal 79 4 3 3 2" xfId="4670"/>
    <cellStyle name="Normal 79 4 3 4" xfId="3360"/>
    <cellStyle name="Normal 79 4 4" xfId="1072"/>
    <cellStyle name="Normal 79 4 4 2" xfId="2387"/>
    <cellStyle name="Normal 79 4 4 2 2" xfId="5011"/>
    <cellStyle name="Normal 79 4 4 3" xfId="3701"/>
    <cellStyle name="Normal 79 4 5" xfId="1732"/>
    <cellStyle name="Normal 79 4 5 2" xfId="4357"/>
    <cellStyle name="Normal 79 4 6" xfId="3046"/>
    <cellStyle name="Normal 79 5" xfId="309"/>
    <cellStyle name="Normal 79 5 2" xfId="539"/>
    <cellStyle name="Normal 79 5 2 2" xfId="867"/>
    <cellStyle name="Normal 79 5 2 2 2" xfId="1525"/>
    <cellStyle name="Normal 79 5 2 2 2 2" xfId="2838"/>
    <cellStyle name="Normal 79 5 2 2 2 2 2" xfId="5462"/>
    <cellStyle name="Normal 79 5 2 2 2 3" xfId="4152"/>
    <cellStyle name="Normal 79 5 2 2 3" xfId="2184"/>
    <cellStyle name="Normal 79 5 2 2 3 2" xfId="4808"/>
    <cellStyle name="Normal 79 5 2 2 4" xfId="3498"/>
    <cellStyle name="Normal 79 5 2 3" xfId="1211"/>
    <cellStyle name="Normal 79 5 2 3 2" xfId="2525"/>
    <cellStyle name="Normal 79 5 2 3 2 2" xfId="5149"/>
    <cellStyle name="Normal 79 5 2 3 3" xfId="3839"/>
    <cellStyle name="Normal 79 5 2 4" xfId="1871"/>
    <cellStyle name="Normal 79 5 2 4 2" xfId="4495"/>
    <cellStyle name="Normal 79 5 2 5" xfId="3185"/>
    <cellStyle name="Normal 79 5 3" xfId="728"/>
    <cellStyle name="Normal 79 5 3 2" xfId="1388"/>
    <cellStyle name="Normal 79 5 3 2 2" xfId="2701"/>
    <cellStyle name="Normal 79 5 3 2 2 2" xfId="5325"/>
    <cellStyle name="Normal 79 5 3 2 3" xfId="4015"/>
    <cellStyle name="Normal 79 5 3 3" xfId="2047"/>
    <cellStyle name="Normal 79 5 3 3 2" xfId="4671"/>
    <cellStyle name="Normal 79 5 3 4" xfId="3361"/>
    <cellStyle name="Normal 79 5 4" xfId="1073"/>
    <cellStyle name="Normal 79 5 4 2" xfId="2388"/>
    <cellStyle name="Normal 79 5 4 2 2" xfId="5012"/>
    <cellStyle name="Normal 79 5 4 3" xfId="3702"/>
    <cellStyle name="Normal 79 5 5" xfId="1733"/>
    <cellStyle name="Normal 79 5 5 2" xfId="4358"/>
    <cellStyle name="Normal 79 5 6" xfId="3047"/>
    <cellStyle name="Normal 79 6" xfId="310"/>
    <cellStyle name="Normal 79 6 2" xfId="540"/>
    <cellStyle name="Normal 79 6 2 2" xfId="868"/>
    <cellStyle name="Normal 79 6 2 2 2" xfId="1526"/>
    <cellStyle name="Normal 79 6 2 2 2 2" xfId="2839"/>
    <cellStyle name="Normal 79 6 2 2 2 2 2" xfId="5463"/>
    <cellStyle name="Normal 79 6 2 2 2 3" xfId="4153"/>
    <cellStyle name="Normal 79 6 2 2 3" xfId="2185"/>
    <cellStyle name="Normal 79 6 2 2 3 2" xfId="4809"/>
    <cellStyle name="Normal 79 6 2 2 4" xfId="3499"/>
    <cellStyle name="Normal 79 6 2 3" xfId="1212"/>
    <cellStyle name="Normal 79 6 2 3 2" xfId="2526"/>
    <cellStyle name="Normal 79 6 2 3 2 2" xfId="5150"/>
    <cellStyle name="Normal 79 6 2 3 3" xfId="3840"/>
    <cellStyle name="Normal 79 6 2 4" xfId="1872"/>
    <cellStyle name="Normal 79 6 2 4 2" xfId="4496"/>
    <cellStyle name="Normal 79 6 2 5" xfId="3186"/>
    <cellStyle name="Normal 79 6 3" xfId="729"/>
    <cellStyle name="Normal 79 6 3 2" xfId="1389"/>
    <cellStyle name="Normal 79 6 3 2 2" xfId="2702"/>
    <cellStyle name="Normal 79 6 3 2 2 2" xfId="5326"/>
    <cellStyle name="Normal 79 6 3 2 3" xfId="4016"/>
    <cellStyle name="Normal 79 6 3 3" xfId="2048"/>
    <cellStyle name="Normal 79 6 3 3 2" xfId="4672"/>
    <cellStyle name="Normal 79 6 3 4" xfId="3362"/>
    <cellStyle name="Normal 79 6 4" xfId="1074"/>
    <cellStyle name="Normal 79 6 4 2" xfId="2389"/>
    <cellStyle name="Normal 79 6 4 2 2" xfId="5013"/>
    <cellStyle name="Normal 79 6 4 3" xfId="3703"/>
    <cellStyle name="Normal 79 6 5" xfId="1734"/>
    <cellStyle name="Normal 79 6 5 2" xfId="4359"/>
    <cellStyle name="Normal 79 6 6" xfId="3048"/>
    <cellStyle name="Normal 79 7" xfId="311"/>
    <cellStyle name="Normal 79 7 2" xfId="541"/>
    <cellStyle name="Normal 79 7 2 2" xfId="869"/>
    <cellStyle name="Normal 79 7 2 2 2" xfId="1527"/>
    <cellStyle name="Normal 79 7 2 2 2 2" xfId="2840"/>
    <cellStyle name="Normal 79 7 2 2 2 2 2" xfId="5464"/>
    <cellStyle name="Normal 79 7 2 2 2 3" xfId="4154"/>
    <cellStyle name="Normal 79 7 2 2 3" xfId="2186"/>
    <cellStyle name="Normal 79 7 2 2 3 2" xfId="4810"/>
    <cellStyle name="Normal 79 7 2 2 4" xfId="3500"/>
    <cellStyle name="Normal 79 7 2 3" xfId="1213"/>
    <cellStyle name="Normal 79 7 2 3 2" xfId="2527"/>
    <cellStyle name="Normal 79 7 2 3 2 2" xfId="5151"/>
    <cellStyle name="Normal 79 7 2 3 3" xfId="3841"/>
    <cellStyle name="Normal 79 7 2 4" xfId="1873"/>
    <cellStyle name="Normal 79 7 2 4 2" xfId="4497"/>
    <cellStyle name="Normal 79 7 2 5" xfId="3187"/>
    <cellStyle name="Normal 79 7 3" xfId="730"/>
    <cellStyle name="Normal 79 7 3 2" xfId="1390"/>
    <cellStyle name="Normal 79 7 3 2 2" xfId="2703"/>
    <cellStyle name="Normal 79 7 3 2 2 2" xfId="5327"/>
    <cellStyle name="Normal 79 7 3 2 3" xfId="4017"/>
    <cellStyle name="Normal 79 7 3 3" xfId="2049"/>
    <cellStyle name="Normal 79 7 3 3 2" xfId="4673"/>
    <cellStyle name="Normal 79 7 3 4" xfId="3363"/>
    <cellStyle name="Normal 79 7 4" xfId="1075"/>
    <cellStyle name="Normal 79 7 4 2" xfId="2390"/>
    <cellStyle name="Normal 79 7 4 2 2" xfId="5014"/>
    <cellStyle name="Normal 79 7 4 3" xfId="3704"/>
    <cellStyle name="Normal 79 7 5" xfId="1735"/>
    <cellStyle name="Normal 79 7 5 2" xfId="4360"/>
    <cellStyle name="Normal 79 7 6" xfId="3049"/>
    <cellStyle name="Normal 79 8" xfId="312"/>
    <cellStyle name="Normal 79 8 2" xfId="542"/>
    <cellStyle name="Normal 79 8 2 2" xfId="870"/>
    <cellStyle name="Normal 79 8 2 2 2" xfId="1528"/>
    <cellStyle name="Normal 79 8 2 2 2 2" xfId="2841"/>
    <cellStyle name="Normal 79 8 2 2 2 2 2" xfId="5465"/>
    <cellStyle name="Normal 79 8 2 2 2 3" xfId="4155"/>
    <cellStyle name="Normal 79 8 2 2 3" xfId="2187"/>
    <cellStyle name="Normal 79 8 2 2 3 2" xfId="4811"/>
    <cellStyle name="Normal 79 8 2 2 4" xfId="3501"/>
    <cellStyle name="Normal 79 8 2 3" xfId="1214"/>
    <cellStyle name="Normal 79 8 2 3 2" xfId="2528"/>
    <cellStyle name="Normal 79 8 2 3 2 2" xfId="5152"/>
    <cellStyle name="Normal 79 8 2 3 3" xfId="3842"/>
    <cellStyle name="Normal 79 8 2 4" xfId="1874"/>
    <cellStyle name="Normal 79 8 2 4 2" xfId="4498"/>
    <cellStyle name="Normal 79 8 2 5" xfId="3188"/>
    <cellStyle name="Normal 79 8 3" xfId="731"/>
    <cellStyle name="Normal 79 8 3 2" xfId="1391"/>
    <cellStyle name="Normal 79 8 3 2 2" xfId="2704"/>
    <cellStyle name="Normal 79 8 3 2 2 2" xfId="5328"/>
    <cellStyle name="Normal 79 8 3 2 3" xfId="4018"/>
    <cellStyle name="Normal 79 8 3 3" xfId="2050"/>
    <cellStyle name="Normal 79 8 3 3 2" xfId="4674"/>
    <cellStyle name="Normal 79 8 3 4" xfId="3364"/>
    <cellStyle name="Normal 79 8 4" xfId="1076"/>
    <cellStyle name="Normal 79 8 4 2" xfId="2391"/>
    <cellStyle name="Normal 79 8 4 2 2" xfId="5015"/>
    <cellStyle name="Normal 79 8 4 3" xfId="3705"/>
    <cellStyle name="Normal 79 8 5" xfId="1736"/>
    <cellStyle name="Normal 79 8 5 2" xfId="4361"/>
    <cellStyle name="Normal 79 8 6" xfId="3050"/>
    <cellStyle name="Normal 8" xfId="981"/>
    <cellStyle name="Normal 8 2" xfId="1638"/>
    <cellStyle name="Normal 8 2 2" xfId="2951"/>
    <cellStyle name="Normal 8 2 2 2" xfId="5575"/>
    <cellStyle name="Normal 8 2 3" xfId="4265"/>
    <cellStyle name="Normal 8 3" xfId="2297"/>
    <cellStyle name="Normal 8 3 2" xfId="4921"/>
    <cellStyle name="Normal 8 4" xfId="3611"/>
    <cellStyle name="Normal 9" xfId="995"/>
    <cellStyle name="Normal 9 2" xfId="2311"/>
    <cellStyle name="Normal 9 2 2" xfId="4935"/>
    <cellStyle name="Normal 9 3" xfId="3625"/>
    <cellStyle name="Note 10" xfId="635"/>
    <cellStyle name="Note 10 2" xfId="953"/>
    <cellStyle name="Note 10 2 2" xfId="1611"/>
    <cellStyle name="Note 10 2 2 2" xfId="2924"/>
    <cellStyle name="Note 10 2 2 2 2" xfId="5548"/>
    <cellStyle name="Note 10 2 2 3" xfId="4238"/>
    <cellStyle name="Note 10 2 3" xfId="2270"/>
    <cellStyle name="Note 10 2 3 2" xfId="4894"/>
    <cellStyle name="Note 10 2 4" xfId="3584"/>
    <cellStyle name="Note 10 3" xfId="1297"/>
    <cellStyle name="Note 10 3 2" xfId="2611"/>
    <cellStyle name="Note 10 3 2 2" xfId="5235"/>
    <cellStyle name="Note 10 3 3" xfId="3925"/>
    <cellStyle name="Note 10 4" xfId="1957"/>
    <cellStyle name="Note 10 4 2" xfId="4581"/>
    <cellStyle name="Note 10 5" xfId="3271"/>
    <cellStyle name="Note 11" xfId="649"/>
    <cellStyle name="Note 11 2" xfId="966"/>
    <cellStyle name="Note 11 2 2" xfId="1624"/>
    <cellStyle name="Note 11 2 2 2" xfId="2937"/>
    <cellStyle name="Note 11 2 2 2 2" xfId="5561"/>
    <cellStyle name="Note 11 2 2 3" xfId="4251"/>
    <cellStyle name="Note 11 2 3" xfId="2283"/>
    <cellStyle name="Note 11 2 3 2" xfId="4907"/>
    <cellStyle name="Note 11 2 4" xfId="3597"/>
    <cellStyle name="Note 11 3" xfId="1311"/>
    <cellStyle name="Note 11 3 2" xfId="2624"/>
    <cellStyle name="Note 11 3 2 2" xfId="5248"/>
    <cellStyle name="Note 11 3 3" xfId="3938"/>
    <cellStyle name="Note 11 4" xfId="1970"/>
    <cellStyle name="Note 11 4 2" xfId="4594"/>
    <cellStyle name="Note 11 5" xfId="3284"/>
    <cellStyle name="Note 12" xfId="982"/>
    <cellStyle name="Note 12 2" xfId="1639"/>
    <cellStyle name="Note 12 2 2" xfId="2952"/>
    <cellStyle name="Note 12 2 2 2" xfId="5576"/>
    <cellStyle name="Note 12 2 3" xfId="4266"/>
    <cellStyle name="Note 12 3" xfId="2298"/>
    <cellStyle name="Note 12 3 2" xfId="4922"/>
    <cellStyle name="Note 12 4" xfId="3612"/>
    <cellStyle name="Note 13" xfId="996"/>
    <cellStyle name="Note 13 2" xfId="2312"/>
    <cellStyle name="Note 13 2 2" xfId="4936"/>
    <cellStyle name="Note 13 3" xfId="3626"/>
    <cellStyle name="Note 14" xfId="1652"/>
    <cellStyle name="Note 14 2" xfId="2965"/>
    <cellStyle name="Note 14 2 2" xfId="5589"/>
    <cellStyle name="Note 14 3" xfId="4279"/>
    <cellStyle name="Note 15" xfId="1667"/>
    <cellStyle name="Note 15 2" xfId="4294"/>
    <cellStyle name="Note 16" xfId="2980"/>
    <cellStyle name="Note 2" xfId="64"/>
    <cellStyle name="Note 2 10" xfId="314"/>
    <cellStyle name="Note 2 10 2" xfId="544"/>
    <cellStyle name="Note 2 10 2 2" xfId="872"/>
    <cellStyle name="Note 2 10 2 2 2" xfId="1530"/>
    <cellStyle name="Note 2 10 2 2 2 2" xfId="2843"/>
    <cellStyle name="Note 2 10 2 2 2 2 2" xfId="5467"/>
    <cellStyle name="Note 2 10 2 2 2 3" xfId="4157"/>
    <cellStyle name="Note 2 10 2 2 3" xfId="2189"/>
    <cellStyle name="Note 2 10 2 2 3 2" xfId="4813"/>
    <cellStyle name="Note 2 10 2 2 4" xfId="3503"/>
    <cellStyle name="Note 2 10 2 3" xfId="1216"/>
    <cellStyle name="Note 2 10 2 3 2" xfId="2530"/>
    <cellStyle name="Note 2 10 2 3 2 2" xfId="5154"/>
    <cellStyle name="Note 2 10 2 3 3" xfId="3844"/>
    <cellStyle name="Note 2 10 2 4" xfId="1876"/>
    <cellStyle name="Note 2 10 2 4 2" xfId="4500"/>
    <cellStyle name="Note 2 10 2 5" xfId="3190"/>
    <cellStyle name="Note 2 10 3" xfId="733"/>
    <cellStyle name="Note 2 10 3 2" xfId="1393"/>
    <cellStyle name="Note 2 10 3 2 2" xfId="2706"/>
    <cellStyle name="Note 2 10 3 2 2 2" xfId="5330"/>
    <cellStyle name="Note 2 10 3 2 3" xfId="4020"/>
    <cellStyle name="Note 2 10 3 3" xfId="2052"/>
    <cellStyle name="Note 2 10 3 3 2" xfId="4676"/>
    <cellStyle name="Note 2 10 3 4" xfId="3366"/>
    <cellStyle name="Note 2 10 4" xfId="1078"/>
    <cellStyle name="Note 2 10 4 2" xfId="2393"/>
    <cellStyle name="Note 2 10 4 2 2" xfId="5017"/>
    <cellStyle name="Note 2 10 4 3" xfId="3707"/>
    <cellStyle name="Note 2 10 5" xfId="1738"/>
    <cellStyle name="Note 2 10 5 2" xfId="4363"/>
    <cellStyle name="Note 2 10 6" xfId="3052"/>
    <cellStyle name="Note 2 11" xfId="315"/>
    <cellStyle name="Note 2 11 2" xfId="545"/>
    <cellStyle name="Note 2 11 2 2" xfId="873"/>
    <cellStyle name="Note 2 11 2 2 2" xfId="1531"/>
    <cellStyle name="Note 2 11 2 2 2 2" xfId="2844"/>
    <cellStyle name="Note 2 11 2 2 2 2 2" xfId="5468"/>
    <cellStyle name="Note 2 11 2 2 2 3" xfId="4158"/>
    <cellStyle name="Note 2 11 2 2 3" xfId="2190"/>
    <cellStyle name="Note 2 11 2 2 3 2" xfId="4814"/>
    <cellStyle name="Note 2 11 2 2 4" xfId="3504"/>
    <cellStyle name="Note 2 11 2 3" xfId="1217"/>
    <cellStyle name="Note 2 11 2 3 2" xfId="2531"/>
    <cellStyle name="Note 2 11 2 3 2 2" xfId="5155"/>
    <cellStyle name="Note 2 11 2 3 3" xfId="3845"/>
    <cellStyle name="Note 2 11 2 4" xfId="1877"/>
    <cellStyle name="Note 2 11 2 4 2" xfId="4501"/>
    <cellStyle name="Note 2 11 2 5" xfId="3191"/>
    <cellStyle name="Note 2 11 3" xfId="734"/>
    <cellStyle name="Note 2 11 3 2" xfId="1394"/>
    <cellStyle name="Note 2 11 3 2 2" xfId="2707"/>
    <cellStyle name="Note 2 11 3 2 2 2" xfId="5331"/>
    <cellStyle name="Note 2 11 3 2 3" xfId="4021"/>
    <cellStyle name="Note 2 11 3 3" xfId="2053"/>
    <cellStyle name="Note 2 11 3 3 2" xfId="4677"/>
    <cellStyle name="Note 2 11 3 4" xfId="3367"/>
    <cellStyle name="Note 2 11 4" xfId="1079"/>
    <cellStyle name="Note 2 11 4 2" xfId="2394"/>
    <cellStyle name="Note 2 11 4 2 2" xfId="5018"/>
    <cellStyle name="Note 2 11 4 3" xfId="3708"/>
    <cellStyle name="Note 2 11 5" xfId="1739"/>
    <cellStyle name="Note 2 11 5 2" xfId="4364"/>
    <cellStyle name="Note 2 11 6" xfId="3053"/>
    <cellStyle name="Note 2 12" xfId="316"/>
    <cellStyle name="Note 2 12 2" xfId="546"/>
    <cellStyle name="Note 2 12 2 2" xfId="874"/>
    <cellStyle name="Note 2 12 2 2 2" xfId="1532"/>
    <cellStyle name="Note 2 12 2 2 2 2" xfId="2845"/>
    <cellStyle name="Note 2 12 2 2 2 2 2" xfId="5469"/>
    <cellStyle name="Note 2 12 2 2 2 3" xfId="4159"/>
    <cellStyle name="Note 2 12 2 2 3" xfId="2191"/>
    <cellStyle name="Note 2 12 2 2 3 2" xfId="4815"/>
    <cellStyle name="Note 2 12 2 2 4" xfId="3505"/>
    <cellStyle name="Note 2 12 2 3" xfId="1218"/>
    <cellStyle name="Note 2 12 2 3 2" xfId="2532"/>
    <cellStyle name="Note 2 12 2 3 2 2" xfId="5156"/>
    <cellStyle name="Note 2 12 2 3 3" xfId="3846"/>
    <cellStyle name="Note 2 12 2 4" xfId="1878"/>
    <cellStyle name="Note 2 12 2 4 2" xfId="4502"/>
    <cellStyle name="Note 2 12 2 5" xfId="3192"/>
    <cellStyle name="Note 2 12 3" xfId="735"/>
    <cellStyle name="Note 2 12 3 2" xfId="1395"/>
    <cellStyle name="Note 2 12 3 2 2" xfId="2708"/>
    <cellStyle name="Note 2 12 3 2 2 2" xfId="5332"/>
    <cellStyle name="Note 2 12 3 2 3" xfId="4022"/>
    <cellStyle name="Note 2 12 3 3" xfId="2054"/>
    <cellStyle name="Note 2 12 3 3 2" xfId="4678"/>
    <cellStyle name="Note 2 12 3 4" xfId="3368"/>
    <cellStyle name="Note 2 12 4" xfId="1080"/>
    <cellStyle name="Note 2 12 4 2" xfId="2395"/>
    <cellStyle name="Note 2 12 4 2 2" xfId="5019"/>
    <cellStyle name="Note 2 12 4 3" xfId="3709"/>
    <cellStyle name="Note 2 12 5" xfId="1740"/>
    <cellStyle name="Note 2 12 5 2" xfId="4365"/>
    <cellStyle name="Note 2 12 6" xfId="3054"/>
    <cellStyle name="Note 2 13" xfId="317"/>
    <cellStyle name="Note 2 13 2" xfId="547"/>
    <cellStyle name="Note 2 13 2 2" xfId="875"/>
    <cellStyle name="Note 2 13 2 2 2" xfId="1533"/>
    <cellStyle name="Note 2 13 2 2 2 2" xfId="2846"/>
    <cellStyle name="Note 2 13 2 2 2 2 2" xfId="5470"/>
    <cellStyle name="Note 2 13 2 2 2 3" xfId="4160"/>
    <cellStyle name="Note 2 13 2 2 3" xfId="2192"/>
    <cellStyle name="Note 2 13 2 2 3 2" xfId="4816"/>
    <cellStyle name="Note 2 13 2 2 4" xfId="3506"/>
    <cellStyle name="Note 2 13 2 3" xfId="1219"/>
    <cellStyle name="Note 2 13 2 3 2" xfId="2533"/>
    <cellStyle name="Note 2 13 2 3 2 2" xfId="5157"/>
    <cellStyle name="Note 2 13 2 3 3" xfId="3847"/>
    <cellStyle name="Note 2 13 2 4" xfId="1879"/>
    <cellStyle name="Note 2 13 2 4 2" xfId="4503"/>
    <cellStyle name="Note 2 13 2 5" xfId="3193"/>
    <cellStyle name="Note 2 13 3" xfId="736"/>
    <cellStyle name="Note 2 13 3 2" xfId="1396"/>
    <cellStyle name="Note 2 13 3 2 2" xfId="2709"/>
    <cellStyle name="Note 2 13 3 2 2 2" xfId="5333"/>
    <cellStyle name="Note 2 13 3 2 3" xfId="4023"/>
    <cellStyle name="Note 2 13 3 3" xfId="2055"/>
    <cellStyle name="Note 2 13 3 3 2" xfId="4679"/>
    <cellStyle name="Note 2 13 3 4" xfId="3369"/>
    <cellStyle name="Note 2 13 4" xfId="1081"/>
    <cellStyle name="Note 2 13 4 2" xfId="2396"/>
    <cellStyle name="Note 2 13 4 2 2" xfId="5020"/>
    <cellStyle name="Note 2 13 4 3" xfId="3710"/>
    <cellStyle name="Note 2 13 5" xfId="1741"/>
    <cellStyle name="Note 2 13 5 2" xfId="4366"/>
    <cellStyle name="Note 2 13 6" xfId="3055"/>
    <cellStyle name="Note 2 14" xfId="318"/>
    <cellStyle name="Note 2 14 2" xfId="548"/>
    <cellStyle name="Note 2 14 2 2" xfId="876"/>
    <cellStyle name="Note 2 14 2 2 2" xfId="1534"/>
    <cellStyle name="Note 2 14 2 2 2 2" xfId="2847"/>
    <cellStyle name="Note 2 14 2 2 2 2 2" xfId="5471"/>
    <cellStyle name="Note 2 14 2 2 2 3" xfId="4161"/>
    <cellStyle name="Note 2 14 2 2 3" xfId="2193"/>
    <cellStyle name="Note 2 14 2 2 3 2" xfId="4817"/>
    <cellStyle name="Note 2 14 2 2 4" xfId="3507"/>
    <cellStyle name="Note 2 14 2 3" xfId="1220"/>
    <cellStyle name="Note 2 14 2 3 2" xfId="2534"/>
    <cellStyle name="Note 2 14 2 3 2 2" xfId="5158"/>
    <cellStyle name="Note 2 14 2 3 3" xfId="3848"/>
    <cellStyle name="Note 2 14 2 4" xfId="1880"/>
    <cellStyle name="Note 2 14 2 4 2" xfId="4504"/>
    <cellStyle name="Note 2 14 2 5" xfId="3194"/>
    <cellStyle name="Note 2 14 3" xfId="737"/>
    <cellStyle name="Note 2 14 3 2" xfId="1397"/>
    <cellStyle name="Note 2 14 3 2 2" xfId="2710"/>
    <cellStyle name="Note 2 14 3 2 2 2" xfId="5334"/>
    <cellStyle name="Note 2 14 3 2 3" xfId="4024"/>
    <cellStyle name="Note 2 14 3 3" xfId="2056"/>
    <cellStyle name="Note 2 14 3 3 2" xfId="4680"/>
    <cellStyle name="Note 2 14 3 4" xfId="3370"/>
    <cellStyle name="Note 2 14 4" xfId="1082"/>
    <cellStyle name="Note 2 14 4 2" xfId="2397"/>
    <cellStyle name="Note 2 14 4 2 2" xfId="5021"/>
    <cellStyle name="Note 2 14 4 3" xfId="3711"/>
    <cellStyle name="Note 2 14 5" xfId="1742"/>
    <cellStyle name="Note 2 14 5 2" xfId="4367"/>
    <cellStyle name="Note 2 14 6" xfId="3056"/>
    <cellStyle name="Note 2 15" xfId="319"/>
    <cellStyle name="Note 2 15 2" xfId="549"/>
    <cellStyle name="Note 2 15 2 2" xfId="877"/>
    <cellStyle name="Note 2 15 2 2 2" xfId="1535"/>
    <cellStyle name="Note 2 15 2 2 2 2" xfId="2848"/>
    <cellStyle name="Note 2 15 2 2 2 2 2" xfId="5472"/>
    <cellStyle name="Note 2 15 2 2 2 3" xfId="4162"/>
    <cellStyle name="Note 2 15 2 2 3" xfId="2194"/>
    <cellStyle name="Note 2 15 2 2 3 2" xfId="4818"/>
    <cellStyle name="Note 2 15 2 2 4" xfId="3508"/>
    <cellStyle name="Note 2 15 2 3" xfId="1221"/>
    <cellStyle name="Note 2 15 2 3 2" xfId="2535"/>
    <cellStyle name="Note 2 15 2 3 2 2" xfId="5159"/>
    <cellStyle name="Note 2 15 2 3 3" xfId="3849"/>
    <cellStyle name="Note 2 15 2 4" xfId="1881"/>
    <cellStyle name="Note 2 15 2 4 2" xfId="4505"/>
    <cellStyle name="Note 2 15 2 5" xfId="3195"/>
    <cellStyle name="Note 2 15 3" xfId="738"/>
    <cellStyle name="Note 2 15 3 2" xfId="1398"/>
    <cellStyle name="Note 2 15 3 2 2" xfId="2711"/>
    <cellStyle name="Note 2 15 3 2 2 2" xfId="5335"/>
    <cellStyle name="Note 2 15 3 2 3" xfId="4025"/>
    <cellStyle name="Note 2 15 3 3" xfId="2057"/>
    <cellStyle name="Note 2 15 3 3 2" xfId="4681"/>
    <cellStyle name="Note 2 15 3 4" xfId="3371"/>
    <cellStyle name="Note 2 15 4" xfId="1083"/>
    <cellStyle name="Note 2 15 4 2" xfId="2398"/>
    <cellStyle name="Note 2 15 4 2 2" xfId="5022"/>
    <cellStyle name="Note 2 15 4 3" xfId="3712"/>
    <cellStyle name="Note 2 15 5" xfId="1743"/>
    <cellStyle name="Note 2 15 5 2" xfId="4368"/>
    <cellStyle name="Note 2 15 6" xfId="3057"/>
    <cellStyle name="Note 2 16" xfId="320"/>
    <cellStyle name="Note 2 16 2" xfId="550"/>
    <cellStyle name="Note 2 16 2 2" xfId="878"/>
    <cellStyle name="Note 2 16 2 2 2" xfId="1536"/>
    <cellStyle name="Note 2 16 2 2 2 2" xfId="2849"/>
    <cellStyle name="Note 2 16 2 2 2 2 2" xfId="5473"/>
    <cellStyle name="Note 2 16 2 2 2 3" xfId="4163"/>
    <cellStyle name="Note 2 16 2 2 3" xfId="2195"/>
    <cellStyle name="Note 2 16 2 2 3 2" xfId="4819"/>
    <cellStyle name="Note 2 16 2 2 4" xfId="3509"/>
    <cellStyle name="Note 2 16 2 3" xfId="1222"/>
    <cellStyle name="Note 2 16 2 3 2" xfId="2536"/>
    <cellStyle name="Note 2 16 2 3 2 2" xfId="5160"/>
    <cellStyle name="Note 2 16 2 3 3" xfId="3850"/>
    <cellStyle name="Note 2 16 2 4" xfId="1882"/>
    <cellStyle name="Note 2 16 2 4 2" xfId="4506"/>
    <cellStyle name="Note 2 16 2 5" xfId="3196"/>
    <cellStyle name="Note 2 16 3" xfId="739"/>
    <cellStyle name="Note 2 16 3 2" xfId="1399"/>
    <cellStyle name="Note 2 16 3 2 2" xfId="2712"/>
    <cellStyle name="Note 2 16 3 2 2 2" xfId="5336"/>
    <cellStyle name="Note 2 16 3 2 3" xfId="4026"/>
    <cellStyle name="Note 2 16 3 3" xfId="2058"/>
    <cellStyle name="Note 2 16 3 3 2" xfId="4682"/>
    <cellStyle name="Note 2 16 3 4" xfId="3372"/>
    <cellStyle name="Note 2 16 4" xfId="1084"/>
    <cellStyle name="Note 2 16 4 2" xfId="2399"/>
    <cellStyle name="Note 2 16 4 2 2" xfId="5023"/>
    <cellStyle name="Note 2 16 4 3" xfId="3713"/>
    <cellStyle name="Note 2 16 5" xfId="1744"/>
    <cellStyle name="Note 2 16 5 2" xfId="4369"/>
    <cellStyle name="Note 2 16 6" xfId="3058"/>
    <cellStyle name="Note 2 17" xfId="543"/>
    <cellStyle name="Note 2 17 2" xfId="871"/>
    <cellStyle name="Note 2 17 2 2" xfId="1529"/>
    <cellStyle name="Note 2 17 2 2 2" xfId="2842"/>
    <cellStyle name="Note 2 17 2 2 2 2" xfId="5466"/>
    <cellStyle name="Note 2 17 2 2 3" xfId="4156"/>
    <cellStyle name="Note 2 17 2 3" xfId="2188"/>
    <cellStyle name="Note 2 17 2 3 2" xfId="4812"/>
    <cellStyle name="Note 2 17 2 4" xfId="3502"/>
    <cellStyle name="Note 2 17 3" xfId="1215"/>
    <cellStyle name="Note 2 17 3 2" xfId="2529"/>
    <cellStyle name="Note 2 17 3 2 2" xfId="5153"/>
    <cellStyle name="Note 2 17 3 3" xfId="3843"/>
    <cellStyle name="Note 2 17 4" xfId="1875"/>
    <cellStyle name="Note 2 17 4 2" xfId="4499"/>
    <cellStyle name="Note 2 17 5" xfId="3189"/>
    <cellStyle name="Note 2 18" xfId="732"/>
    <cellStyle name="Note 2 18 2" xfId="1392"/>
    <cellStyle name="Note 2 18 2 2" xfId="2705"/>
    <cellStyle name="Note 2 18 2 2 2" xfId="5329"/>
    <cellStyle name="Note 2 18 2 3" xfId="4019"/>
    <cellStyle name="Note 2 18 3" xfId="2051"/>
    <cellStyle name="Note 2 18 3 2" xfId="4675"/>
    <cellStyle name="Note 2 18 4" xfId="3365"/>
    <cellStyle name="Note 2 19" xfId="1077"/>
    <cellStyle name="Note 2 19 2" xfId="2392"/>
    <cellStyle name="Note 2 19 2 2" xfId="5016"/>
    <cellStyle name="Note 2 19 3" xfId="3706"/>
    <cellStyle name="Note 2 2" xfId="321"/>
    <cellStyle name="Note 2 2 2" xfId="551"/>
    <cellStyle name="Note 2 2 2 2" xfId="879"/>
    <cellStyle name="Note 2 2 2 2 2" xfId="1537"/>
    <cellStyle name="Note 2 2 2 2 2 2" xfId="2850"/>
    <cellStyle name="Note 2 2 2 2 2 2 2" xfId="5474"/>
    <cellStyle name="Note 2 2 2 2 2 3" xfId="4164"/>
    <cellStyle name="Note 2 2 2 2 3" xfId="2196"/>
    <cellStyle name="Note 2 2 2 2 3 2" xfId="4820"/>
    <cellStyle name="Note 2 2 2 2 4" xfId="3510"/>
    <cellStyle name="Note 2 2 2 3" xfId="1223"/>
    <cellStyle name="Note 2 2 2 3 2" xfId="2537"/>
    <cellStyle name="Note 2 2 2 3 2 2" xfId="5161"/>
    <cellStyle name="Note 2 2 2 3 3" xfId="3851"/>
    <cellStyle name="Note 2 2 2 4" xfId="1883"/>
    <cellStyle name="Note 2 2 2 4 2" xfId="4507"/>
    <cellStyle name="Note 2 2 2 5" xfId="3197"/>
    <cellStyle name="Note 2 2 3" xfId="740"/>
    <cellStyle name="Note 2 2 3 2" xfId="1400"/>
    <cellStyle name="Note 2 2 3 2 2" xfId="2713"/>
    <cellStyle name="Note 2 2 3 2 2 2" xfId="5337"/>
    <cellStyle name="Note 2 2 3 2 3" xfId="4027"/>
    <cellStyle name="Note 2 2 3 3" xfId="2059"/>
    <cellStyle name="Note 2 2 3 3 2" xfId="4683"/>
    <cellStyle name="Note 2 2 3 4" xfId="3373"/>
    <cellStyle name="Note 2 2 4" xfId="1085"/>
    <cellStyle name="Note 2 2 4 2" xfId="2400"/>
    <cellStyle name="Note 2 2 4 2 2" xfId="5024"/>
    <cellStyle name="Note 2 2 4 3" xfId="3714"/>
    <cellStyle name="Note 2 2 5" xfId="1745"/>
    <cellStyle name="Note 2 2 5 2" xfId="4370"/>
    <cellStyle name="Note 2 2 6" xfId="3059"/>
    <cellStyle name="Note 2 20" xfId="1737"/>
    <cellStyle name="Note 2 20 2" xfId="4362"/>
    <cellStyle name="Note 2 21" xfId="3051"/>
    <cellStyle name="Note 2 22" xfId="313"/>
    <cellStyle name="Note 2 3" xfId="322"/>
    <cellStyle name="Note 2 3 2" xfId="552"/>
    <cellStyle name="Note 2 3 2 2" xfId="880"/>
    <cellStyle name="Note 2 3 2 2 2" xfId="1538"/>
    <cellStyle name="Note 2 3 2 2 2 2" xfId="2851"/>
    <cellStyle name="Note 2 3 2 2 2 2 2" xfId="5475"/>
    <cellStyle name="Note 2 3 2 2 2 3" xfId="4165"/>
    <cellStyle name="Note 2 3 2 2 3" xfId="2197"/>
    <cellStyle name="Note 2 3 2 2 3 2" xfId="4821"/>
    <cellStyle name="Note 2 3 2 2 4" xfId="3511"/>
    <cellStyle name="Note 2 3 2 3" xfId="1224"/>
    <cellStyle name="Note 2 3 2 3 2" xfId="2538"/>
    <cellStyle name="Note 2 3 2 3 2 2" xfId="5162"/>
    <cellStyle name="Note 2 3 2 3 3" xfId="3852"/>
    <cellStyle name="Note 2 3 2 4" xfId="1884"/>
    <cellStyle name="Note 2 3 2 4 2" xfId="4508"/>
    <cellStyle name="Note 2 3 2 5" xfId="3198"/>
    <cellStyle name="Note 2 3 3" xfId="741"/>
    <cellStyle name="Note 2 3 3 2" xfId="1401"/>
    <cellStyle name="Note 2 3 3 2 2" xfId="2714"/>
    <cellStyle name="Note 2 3 3 2 2 2" xfId="5338"/>
    <cellStyle name="Note 2 3 3 2 3" xfId="4028"/>
    <cellStyle name="Note 2 3 3 3" xfId="2060"/>
    <cellStyle name="Note 2 3 3 3 2" xfId="4684"/>
    <cellStyle name="Note 2 3 3 4" xfId="3374"/>
    <cellStyle name="Note 2 3 4" xfId="1086"/>
    <cellStyle name="Note 2 3 4 2" xfId="2401"/>
    <cellStyle name="Note 2 3 4 2 2" xfId="5025"/>
    <cellStyle name="Note 2 3 4 3" xfId="3715"/>
    <cellStyle name="Note 2 3 5" xfId="1746"/>
    <cellStyle name="Note 2 3 5 2" xfId="4371"/>
    <cellStyle name="Note 2 3 6" xfId="3060"/>
    <cellStyle name="Note 2 4" xfId="323"/>
    <cellStyle name="Note 2 4 2" xfId="553"/>
    <cellStyle name="Note 2 4 2 2" xfId="881"/>
    <cellStyle name="Note 2 4 2 2 2" xfId="1539"/>
    <cellStyle name="Note 2 4 2 2 2 2" xfId="2852"/>
    <cellStyle name="Note 2 4 2 2 2 2 2" xfId="5476"/>
    <cellStyle name="Note 2 4 2 2 2 3" xfId="4166"/>
    <cellStyle name="Note 2 4 2 2 3" xfId="2198"/>
    <cellStyle name="Note 2 4 2 2 3 2" xfId="4822"/>
    <cellStyle name="Note 2 4 2 2 4" xfId="3512"/>
    <cellStyle name="Note 2 4 2 3" xfId="1225"/>
    <cellStyle name="Note 2 4 2 3 2" xfId="2539"/>
    <cellStyle name="Note 2 4 2 3 2 2" xfId="5163"/>
    <cellStyle name="Note 2 4 2 3 3" xfId="3853"/>
    <cellStyle name="Note 2 4 2 4" xfId="1885"/>
    <cellStyle name="Note 2 4 2 4 2" xfId="4509"/>
    <cellStyle name="Note 2 4 2 5" xfId="3199"/>
    <cellStyle name="Note 2 4 3" xfId="742"/>
    <cellStyle name="Note 2 4 3 2" xfId="1402"/>
    <cellStyle name="Note 2 4 3 2 2" xfId="2715"/>
    <cellStyle name="Note 2 4 3 2 2 2" xfId="5339"/>
    <cellStyle name="Note 2 4 3 2 3" xfId="4029"/>
    <cellStyle name="Note 2 4 3 3" xfId="2061"/>
    <cellStyle name="Note 2 4 3 3 2" xfId="4685"/>
    <cellStyle name="Note 2 4 3 4" xfId="3375"/>
    <cellStyle name="Note 2 4 4" xfId="1087"/>
    <cellStyle name="Note 2 4 4 2" xfId="2402"/>
    <cellStyle name="Note 2 4 4 2 2" xfId="5026"/>
    <cellStyle name="Note 2 4 4 3" xfId="3716"/>
    <cellStyle name="Note 2 4 5" xfId="1747"/>
    <cellStyle name="Note 2 4 5 2" xfId="4372"/>
    <cellStyle name="Note 2 4 6" xfId="3061"/>
    <cellStyle name="Note 2 5" xfId="324"/>
    <cellStyle name="Note 2 5 2" xfId="554"/>
    <cellStyle name="Note 2 5 2 2" xfId="882"/>
    <cellStyle name="Note 2 5 2 2 2" xfId="1540"/>
    <cellStyle name="Note 2 5 2 2 2 2" xfId="2853"/>
    <cellStyle name="Note 2 5 2 2 2 2 2" xfId="5477"/>
    <cellStyle name="Note 2 5 2 2 2 3" xfId="4167"/>
    <cellStyle name="Note 2 5 2 2 3" xfId="2199"/>
    <cellStyle name="Note 2 5 2 2 3 2" xfId="4823"/>
    <cellStyle name="Note 2 5 2 2 4" xfId="3513"/>
    <cellStyle name="Note 2 5 2 3" xfId="1226"/>
    <cellStyle name="Note 2 5 2 3 2" xfId="2540"/>
    <cellStyle name="Note 2 5 2 3 2 2" xfId="5164"/>
    <cellStyle name="Note 2 5 2 3 3" xfId="3854"/>
    <cellStyle name="Note 2 5 2 4" xfId="1886"/>
    <cellStyle name="Note 2 5 2 4 2" xfId="4510"/>
    <cellStyle name="Note 2 5 2 5" xfId="3200"/>
    <cellStyle name="Note 2 5 3" xfId="743"/>
    <cellStyle name="Note 2 5 3 2" xfId="1403"/>
    <cellStyle name="Note 2 5 3 2 2" xfId="2716"/>
    <cellStyle name="Note 2 5 3 2 2 2" xfId="5340"/>
    <cellStyle name="Note 2 5 3 2 3" xfId="4030"/>
    <cellStyle name="Note 2 5 3 3" xfId="2062"/>
    <cellStyle name="Note 2 5 3 3 2" xfId="4686"/>
    <cellStyle name="Note 2 5 3 4" xfId="3376"/>
    <cellStyle name="Note 2 5 4" xfId="1088"/>
    <cellStyle name="Note 2 5 4 2" xfId="2403"/>
    <cellStyle name="Note 2 5 4 2 2" xfId="5027"/>
    <cellStyle name="Note 2 5 4 3" xfId="3717"/>
    <cellStyle name="Note 2 5 5" xfId="1748"/>
    <cellStyle name="Note 2 5 5 2" xfId="4373"/>
    <cellStyle name="Note 2 5 6" xfId="3062"/>
    <cellStyle name="Note 2 6" xfId="325"/>
    <cellStyle name="Note 2 6 2" xfId="555"/>
    <cellStyle name="Note 2 6 2 2" xfId="883"/>
    <cellStyle name="Note 2 6 2 2 2" xfId="1541"/>
    <cellStyle name="Note 2 6 2 2 2 2" xfId="2854"/>
    <cellStyle name="Note 2 6 2 2 2 2 2" xfId="5478"/>
    <cellStyle name="Note 2 6 2 2 2 3" xfId="4168"/>
    <cellStyle name="Note 2 6 2 2 3" xfId="2200"/>
    <cellStyle name="Note 2 6 2 2 3 2" xfId="4824"/>
    <cellStyle name="Note 2 6 2 2 4" xfId="3514"/>
    <cellStyle name="Note 2 6 2 3" xfId="1227"/>
    <cellStyle name="Note 2 6 2 3 2" xfId="2541"/>
    <cellStyle name="Note 2 6 2 3 2 2" xfId="5165"/>
    <cellStyle name="Note 2 6 2 3 3" xfId="3855"/>
    <cellStyle name="Note 2 6 2 4" xfId="1887"/>
    <cellStyle name="Note 2 6 2 4 2" xfId="4511"/>
    <cellStyle name="Note 2 6 2 5" xfId="3201"/>
    <cellStyle name="Note 2 6 3" xfId="744"/>
    <cellStyle name="Note 2 6 3 2" xfId="1404"/>
    <cellStyle name="Note 2 6 3 2 2" xfId="2717"/>
    <cellStyle name="Note 2 6 3 2 2 2" xfId="5341"/>
    <cellStyle name="Note 2 6 3 2 3" xfId="4031"/>
    <cellStyle name="Note 2 6 3 3" xfId="2063"/>
    <cellStyle name="Note 2 6 3 3 2" xfId="4687"/>
    <cellStyle name="Note 2 6 3 4" xfId="3377"/>
    <cellStyle name="Note 2 6 4" xfId="1089"/>
    <cellStyle name="Note 2 6 4 2" xfId="2404"/>
    <cellStyle name="Note 2 6 4 2 2" xfId="5028"/>
    <cellStyle name="Note 2 6 4 3" xfId="3718"/>
    <cellStyle name="Note 2 6 5" xfId="1749"/>
    <cellStyle name="Note 2 6 5 2" xfId="4374"/>
    <cellStyle name="Note 2 6 6" xfId="3063"/>
    <cellStyle name="Note 2 7" xfId="326"/>
    <cellStyle name="Note 2 7 2" xfId="556"/>
    <cellStyle name="Note 2 7 2 2" xfId="884"/>
    <cellStyle name="Note 2 7 2 2 2" xfId="1542"/>
    <cellStyle name="Note 2 7 2 2 2 2" xfId="2855"/>
    <cellStyle name="Note 2 7 2 2 2 2 2" xfId="5479"/>
    <cellStyle name="Note 2 7 2 2 2 3" xfId="4169"/>
    <cellStyle name="Note 2 7 2 2 3" xfId="2201"/>
    <cellStyle name="Note 2 7 2 2 3 2" xfId="4825"/>
    <cellStyle name="Note 2 7 2 2 4" xfId="3515"/>
    <cellStyle name="Note 2 7 2 3" xfId="1228"/>
    <cellStyle name="Note 2 7 2 3 2" xfId="2542"/>
    <cellStyle name="Note 2 7 2 3 2 2" xfId="5166"/>
    <cellStyle name="Note 2 7 2 3 3" xfId="3856"/>
    <cellStyle name="Note 2 7 2 4" xfId="1888"/>
    <cellStyle name="Note 2 7 2 4 2" xfId="4512"/>
    <cellStyle name="Note 2 7 2 5" xfId="3202"/>
    <cellStyle name="Note 2 7 3" xfId="745"/>
    <cellStyle name="Note 2 7 3 2" xfId="1405"/>
    <cellStyle name="Note 2 7 3 2 2" xfId="2718"/>
    <cellStyle name="Note 2 7 3 2 2 2" xfId="5342"/>
    <cellStyle name="Note 2 7 3 2 3" xfId="4032"/>
    <cellStyle name="Note 2 7 3 3" xfId="2064"/>
    <cellStyle name="Note 2 7 3 3 2" xfId="4688"/>
    <cellStyle name="Note 2 7 3 4" xfId="3378"/>
    <cellStyle name="Note 2 7 4" xfId="1090"/>
    <cellStyle name="Note 2 7 4 2" xfId="2405"/>
    <cellStyle name="Note 2 7 4 2 2" xfId="5029"/>
    <cellStyle name="Note 2 7 4 3" xfId="3719"/>
    <cellStyle name="Note 2 7 5" xfId="1750"/>
    <cellStyle name="Note 2 7 5 2" xfId="4375"/>
    <cellStyle name="Note 2 7 6" xfId="3064"/>
    <cellStyle name="Note 2 8" xfId="327"/>
    <cellStyle name="Note 2 8 2" xfId="557"/>
    <cellStyle name="Note 2 8 2 2" xfId="885"/>
    <cellStyle name="Note 2 8 2 2 2" xfId="1543"/>
    <cellStyle name="Note 2 8 2 2 2 2" xfId="2856"/>
    <cellStyle name="Note 2 8 2 2 2 2 2" xfId="5480"/>
    <cellStyle name="Note 2 8 2 2 2 3" xfId="4170"/>
    <cellStyle name="Note 2 8 2 2 3" xfId="2202"/>
    <cellStyle name="Note 2 8 2 2 3 2" xfId="4826"/>
    <cellStyle name="Note 2 8 2 2 4" xfId="3516"/>
    <cellStyle name="Note 2 8 2 3" xfId="1229"/>
    <cellStyle name="Note 2 8 2 3 2" xfId="2543"/>
    <cellStyle name="Note 2 8 2 3 2 2" xfId="5167"/>
    <cellStyle name="Note 2 8 2 3 3" xfId="3857"/>
    <cellStyle name="Note 2 8 2 4" xfId="1889"/>
    <cellStyle name="Note 2 8 2 4 2" xfId="4513"/>
    <cellStyle name="Note 2 8 2 5" xfId="3203"/>
    <cellStyle name="Note 2 8 3" xfId="746"/>
    <cellStyle name="Note 2 8 3 2" xfId="1406"/>
    <cellStyle name="Note 2 8 3 2 2" xfId="2719"/>
    <cellStyle name="Note 2 8 3 2 2 2" xfId="5343"/>
    <cellStyle name="Note 2 8 3 2 3" xfId="4033"/>
    <cellStyle name="Note 2 8 3 3" xfId="2065"/>
    <cellStyle name="Note 2 8 3 3 2" xfId="4689"/>
    <cellStyle name="Note 2 8 3 4" xfId="3379"/>
    <cellStyle name="Note 2 8 4" xfId="1091"/>
    <cellStyle name="Note 2 8 4 2" xfId="2406"/>
    <cellStyle name="Note 2 8 4 2 2" xfId="5030"/>
    <cellStyle name="Note 2 8 4 3" xfId="3720"/>
    <cellStyle name="Note 2 8 5" xfId="1751"/>
    <cellStyle name="Note 2 8 5 2" xfId="4376"/>
    <cellStyle name="Note 2 8 6" xfId="3065"/>
    <cellStyle name="Note 2 9" xfId="328"/>
    <cellStyle name="Note 2 9 2" xfId="558"/>
    <cellStyle name="Note 2 9 2 2" xfId="886"/>
    <cellStyle name="Note 2 9 2 2 2" xfId="1544"/>
    <cellStyle name="Note 2 9 2 2 2 2" xfId="2857"/>
    <cellStyle name="Note 2 9 2 2 2 2 2" xfId="5481"/>
    <cellStyle name="Note 2 9 2 2 2 3" xfId="4171"/>
    <cellStyle name="Note 2 9 2 2 3" xfId="2203"/>
    <cellStyle name="Note 2 9 2 2 3 2" xfId="4827"/>
    <cellStyle name="Note 2 9 2 2 4" xfId="3517"/>
    <cellStyle name="Note 2 9 2 3" xfId="1230"/>
    <cellStyle name="Note 2 9 2 3 2" xfId="2544"/>
    <cellStyle name="Note 2 9 2 3 2 2" xfId="5168"/>
    <cellStyle name="Note 2 9 2 3 3" xfId="3858"/>
    <cellStyle name="Note 2 9 2 4" xfId="1890"/>
    <cellStyle name="Note 2 9 2 4 2" xfId="4514"/>
    <cellStyle name="Note 2 9 2 5" xfId="3204"/>
    <cellStyle name="Note 2 9 3" xfId="747"/>
    <cellStyle name="Note 2 9 3 2" xfId="1407"/>
    <cellStyle name="Note 2 9 3 2 2" xfId="2720"/>
    <cellStyle name="Note 2 9 3 2 2 2" xfId="5344"/>
    <cellStyle name="Note 2 9 3 2 3" xfId="4034"/>
    <cellStyle name="Note 2 9 3 3" xfId="2066"/>
    <cellStyle name="Note 2 9 3 3 2" xfId="4690"/>
    <cellStyle name="Note 2 9 3 4" xfId="3380"/>
    <cellStyle name="Note 2 9 4" xfId="1092"/>
    <cellStyle name="Note 2 9 4 2" xfId="2407"/>
    <cellStyle name="Note 2 9 4 2 2" xfId="5031"/>
    <cellStyle name="Note 2 9 4 3" xfId="3721"/>
    <cellStyle name="Note 2 9 5" xfId="1752"/>
    <cellStyle name="Note 2 9 5 2" xfId="4377"/>
    <cellStyle name="Note 2 9 6" xfId="3066"/>
    <cellStyle name="Note 3" xfId="329"/>
    <cellStyle name="Note 3 10" xfId="330"/>
    <cellStyle name="Note 3 10 2" xfId="560"/>
    <cellStyle name="Note 3 10 2 2" xfId="888"/>
    <cellStyle name="Note 3 10 2 2 2" xfId="1546"/>
    <cellStyle name="Note 3 10 2 2 2 2" xfId="2859"/>
    <cellStyle name="Note 3 10 2 2 2 2 2" xfId="5483"/>
    <cellStyle name="Note 3 10 2 2 2 3" xfId="4173"/>
    <cellStyle name="Note 3 10 2 2 3" xfId="2205"/>
    <cellStyle name="Note 3 10 2 2 3 2" xfId="4829"/>
    <cellStyle name="Note 3 10 2 2 4" xfId="3519"/>
    <cellStyle name="Note 3 10 2 3" xfId="1232"/>
    <cellStyle name="Note 3 10 2 3 2" xfId="2546"/>
    <cellStyle name="Note 3 10 2 3 2 2" xfId="5170"/>
    <cellStyle name="Note 3 10 2 3 3" xfId="3860"/>
    <cellStyle name="Note 3 10 2 4" xfId="1892"/>
    <cellStyle name="Note 3 10 2 4 2" xfId="4516"/>
    <cellStyle name="Note 3 10 2 5" xfId="3206"/>
    <cellStyle name="Note 3 10 3" xfId="749"/>
    <cellStyle name="Note 3 10 3 2" xfId="1409"/>
    <cellStyle name="Note 3 10 3 2 2" xfId="2722"/>
    <cellStyle name="Note 3 10 3 2 2 2" xfId="5346"/>
    <cellStyle name="Note 3 10 3 2 3" xfId="4036"/>
    <cellStyle name="Note 3 10 3 3" xfId="2068"/>
    <cellStyle name="Note 3 10 3 3 2" xfId="4692"/>
    <cellStyle name="Note 3 10 3 4" xfId="3382"/>
    <cellStyle name="Note 3 10 4" xfId="1094"/>
    <cellStyle name="Note 3 10 4 2" xfId="2409"/>
    <cellStyle name="Note 3 10 4 2 2" xfId="5033"/>
    <cellStyle name="Note 3 10 4 3" xfId="3723"/>
    <cellStyle name="Note 3 10 5" xfId="1754"/>
    <cellStyle name="Note 3 10 5 2" xfId="4379"/>
    <cellStyle name="Note 3 10 6" xfId="3068"/>
    <cellStyle name="Note 3 11" xfId="331"/>
    <cellStyle name="Note 3 11 2" xfId="561"/>
    <cellStyle name="Note 3 11 2 2" xfId="889"/>
    <cellStyle name="Note 3 11 2 2 2" xfId="1547"/>
    <cellStyle name="Note 3 11 2 2 2 2" xfId="2860"/>
    <cellStyle name="Note 3 11 2 2 2 2 2" xfId="5484"/>
    <cellStyle name="Note 3 11 2 2 2 3" xfId="4174"/>
    <cellStyle name="Note 3 11 2 2 3" xfId="2206"/>
    <cellStyle name="Note 3 11 2 2 3 2" xfId="4830"/>
    <cellStyle name="Note 3 11 2 2 4" xfId="3520"/>
    <cellStyle name="Note 3 11 2 3" xfId="1233"/>
    <cellStyle name="Note 3 11 2 3 2" xfId="2547"/>
    <cellStyle name="Note 3 11 2 3 2 2" xfId="5171"/>
    <cellStyle name="Note 3 11 2 3 3" xfId="3861"/>
    <cellStyle name="Note 3 11 2 4" xfId="1893"/>
    <cellStyle name="Note 3 11 2 4 2" xfId="4517"/>
    <cellStyle name="Note 3 11 2 5" xfId="3207"/>
    <cellStyle name="Note 3 11 3" xfId="750"/>
    <cellStyle name="Note 3 11 3 2" xfId="1410"/>
    <cellStyle name="Note 3 11 3 2 2" xfId="2723"/>
    <cellStyle name="Note 3 11 3 2 2 2" xfId="5347"/>
    <cellStyle name="Note 3 11 3 2 3" xfId="4037"/>
    <cellStyle name="Note 3 11 3 3" xfId="2069"/>
    <cellStyle name="Note 3 11 3 3 2" xfId="4693"/>
    <cellStyle name="Note 3 11 3 4" xfId="3383"/>
    <cellStyle name="Note 3 11 4" xfId="1095"/>
    <cellStyle name="Note 3 11 4 2" xfId="2410"/>
    <cellStyle name="Note 3 11 4 2 2" xfId="5034"/>
    <cellStyle name="Note 3 11 4 3" xfId="3724"/>
    <cellStyle name="Note 3 11 5" xfId="1755"/>
    <cellStyle name="Note 3 11 5 2" xfId="4380"/>
    <cellStyle name="Note 3 11 6" xfId="3069"/>
    <cellStyle name="Note 3 12" xfId="332"/>
    <cellStyle name="Note 3 12 2" xfId="562"/>
    <cellStyle name="Note 3 12 2 2" xfId="890"/>
    <cellStyle name="Note 3 12 2 2 2" xfId="1548"/>
    <cellStyle name="Note 3 12 2 2 2 2" xfId="2861"/>
    <cellStyle name="Note 3 12 2 2 2 2 2" xfId="5485"/>
    <cellStyle name="Note 3 12 2 2 2 3" xfId="4175"/>
    <cellStyle name="Note 3 12 2 2 3" xfId="2207"/>
    <cellStyle name="Note 3 12 2 2 3 2" xfId="4831"/>
    <cellStyle name="Note 3 12 2 2 4" xfId="3521"/>
    <cellStyle name="Note 3 12 2 3" xfId="1234"/>
    <cellStyle name="Note 3 12 2 3 2" xfId="2548"/>
    <cellStyle name="Note 3 12 2 3 2 2" xfId="5172"/>
    <cellStyle name="Note 3 12 2 3 3" xfId="3862"/>
    <cellStyle name="Note 3 12 2 4" xfId="1894"/>
    <cellStyle name="Note 3 12 2 4 2" xfId="4518"/>
    <cellStyle name="Note 3 12 2 5" xfId="3208"/>
    <cellStyle name="Note 3 12 3" xfId="751"/>
    <cellStyle name="Note 3 12 3 2" xfId="1411"/>
    <cellStyle name="Note 3 12 3 2 2" xfId="2724"/>
    <cellStyle name="Note 3 12 3 2 2 2" xfId="5348"/>
    <cellStyle name="Note 3 12 3 2 3" xfId="4038"/>
    <cellStyle name="Note 3 12 3 3" xfId="2070"/>
    <cellStyle name="Note 3 12 3 3 2" xfId="4694"/>
    <cellStyle name="Note 3 12 3 4" xfId="3384"/>
    <cellStyle name="Note 3 12 4" xfId="1096"/>
    <cellStyle name="Note 3 12 4 2" xfId="2411"/>
    <cellStyle name="Note 3 12 4 2 2" xfId="5035"/>
    <cellStyle name="Note 3 12 4 3" xfId="3725"/>
    <cellStyle name="Note 3 12 5" xfId="1756"/>
    <cellStyle name="Note 3 12 5 2" xfId="4381"/>
    <cellStyle name="Note 3 12 6" xfId="3070"/>
    <cellStyle name="Note 3 13" xfId="333"/>
    <cellStyle name="Note 3 13 2" xfId="563"/>
    <cellStyle name="Note 3 13 2 2" xfId="891"/>
    <cellStyle name="Note 3 13 2 2 2" xfId="1549"/>
    <cellStyle name="Note 3 13 2 2 2 2" xfId="2862"/>
    <cellStyle name="Note 3 13 2 2 2 2 2" xfId="5486"/>
    <cellStyle name="Note 3 13 2 2 2 3" xfId="4176"/>
    <cellStyle name="Note 3 13 2 2 3" xfId="2208"/>
    <cellStyle name="Note 3 13 2 2 3 2" xfId="4832"/>
    <cellStyle name="Note 3 13 2 2 4" xfId="3522"/>
    <cellStyle name="Note 3 13 2 3" xfId="1235"/>
    <cellStyle name="Note 3 13 2 3 2" xfId="2549"/>
    <cellStyle name="Note 3 13 2 3 2 2" xfId="5173"/>
    <cellStyle name="Note 3 13 2 3 3" xfId="3863"/>
    <cellStyle name="Note 3 13 2 4" xfId="1895"/>
    <cellStyle name="Note 3 13 2 4 2" xfId="4519"/>
    <cellStyle name="Note 3 13 2 5" xfId="3209"/>
    <cellStyle name="Note 3 13 3" xfId="752"/>
    <cellStyle name="Note 3 13 3 2" xfId="1412"/>
    <cellStyle name="Note 3 13 3 2 2" xfId="2725"/>
    <cellStyle name="Note 3 13 3 2 2 2" xfId="5349"/>
    <cellStyle name="Note 3 13 3 2 3" xfId="4039"/>
    <cellStyle name="Note 3 13 3 3" xfId="2071"/>
    <cellStyle name="Note 3 13 3 3 2" xfId="4695"/>
    <cellStyle name="Note 3 13 3 4" xfId="3385"/>
    <cellStyle name="Note 3 13 4" xfId="1097"/>
    <cellStyle name="Note 3 13 4 2" xfId="2412"/>
    <cellStyle name="Note 3 13 4 2 2" xfId="5036"/>
    <cellStyle name="Note 3 13 4 3" xfId="3726"/>
    <cellStyle name="Note 3 13 5" xfId="1757"/>
    <cellStyle name="Note 3 13 5 2" xfId="4382"/>
    <cellStyle name="Note 3 13 6" xfId="3071"/>
    <cellStyle name="Note 3 14" xfId="334"/>
    <cellStyle name="Note 3 14 2" xfId="564"/>
    <cellStyle name="Note 3 14 2 2" xfId="892"/>
    <cellStyle name="Note 3 14 2 2 2" xfId="1550"/>
    <cellStyle name="Note 3 14 2 2 2 2" xfId="2863"/>
    <cellStyle name="Note 3 14 2 2 2 2 2" xfId="5487"/>
    <cellStyle name="Note 3 14 2 2 2 3" xfId="4177"/>
    <cellStyle name="Note 3 14 2 2 3" xfId="2209"/>
    <cellStyle name="Note 3 14 2 2 3 2" xfId="4833"/>
    <cellStyle name="Note 3 14 2 2 4" xfId="3523"/>
    <cellStyle name="Note 3 14 2 3" xfId="1236"/>
    <cellStyle name="Note 3 14 2 3 2" xfId="2550"/>
    <cellStyle name="Note 3 14 2 3 2 2" xfId="5174"/>
    <cellStyle name="Note 3 14 2 3 3" xfId="3864"/>
    <cellStyle name="Note 3 14 2 4" xfId="1896"/>
    <cellStyle name="Note 3 14 2 4 2" xfId="4520"/>
    <cellStyle name="Note 3 14 2 5" xfId="3210"/>
    <cellStyle name="Note 3 14 3" xfId="753"/>
    <cellStyle name="Note 3 14 3 2" xfId="1413"/>
    <cellStyle name="Note 3 14 3 2 2" xfId="2726"/>
    <cellStyle name="Note 3 14 3 2 2 2" xfId="5350"/>
    <cellStyle name="Note 3 14 3 2 3" xfId="4040"/>
    <cellStyle name="Note 3 14 3 3" xfId="2072"/>
    <cellStyle name="Note 3 14 3 3 2" xfId="4696"/>
    <cellStyle name="Note 3 14 3 4" xfId="3386"/>
    <cellStyle name="Note 3 14 4" xfId="1098"/>
    <cellStyle name="Note 3 14 4 2" xfId="2413"/>
    <cellStyle name="Note 3 14 4 2 2" xfId="5037"/>
    <cellStyle name="Note 3 14 4 3" xfId="3727"/>
    <cellStyle name="Note 3 14 5" xfId="1758"/>
    <cellStyle name="Note 3 14 5 2" xfId="4383"/>
    <cellStyle name="Note 3 14 6" xfId="3072"/>
    <cellStyle name="Note 3 15" xfId="335"/>
    <cellStyle name="Note 3 15 2" xfId="565"/>
    <cellStyle name="Note 3 15 2 2" xfId="893"/>
    <cellStyle name="Note 3 15 2 2 2" xfId="1551"/>
    <cellStyle name="Note 3 15 2 2 2 2" xfId="2864"/>
    <cellStyle name="Note 3 15 2 2 2 2 2" xfId="5488"/>
    <cellStyle name="Note 3 15 2 2 2 3" xfId="4178"/>
    <cellStyle name="Note 3 15 2 2 3" xfId="2210"/>
    <cellStyle name="Note 3 15 2 2 3 2" xfId="4834"/>
    <cellStyle name="Note 3 15 2 2 4" xfId="3524"/>
    <cellStyle name="Note 3 15 2 3" xfId="1237"/>
    <cellStyle name="Note 3 15 2 3 2" xfId="2551"/>
    <cellStyle name="Note 3 15 2 3 2 2" xfId="5175"/>
    <cellStyle name="Note 3 15 2 3 3" xfId="3865"/>
    <cellStyle name="Note 3 15 2 4" xfId="1897"/>
    <cellStyle name="Note 3 15 2 4 2" xfId="4521"/>
    <cellStyle name="Note 3 15 2 5" xfId="3211"/>
    <cellStyle name="Note 3 15 3" xfId="754"/>
    <cellStyle name="Note 3 15 3 2" xfId="1414"/>
    <cellStyle name="Note 3 15 3 2 2" xfId="2727"/>
    <cellStyle name="Note 3 15 3 2 2 2" xfId="5351"/>
    <cellStyle name="Note 3 15 3 2 3" xfId="4041"/>
    <cellStyle name="Note 3 15 3 3" xfId="2073"/>
    <cellStyle name="Note 3 15 3 3 2" xfId="4697"/>
    <cellStyle name="Note 3 15 3 4" xfId="3387"/>
    <cellStyle name="Note 3 15 4" xfId="1099"/>
    <cellStyle name="Note 3 15 4 2" xfId="2414"/>
    <cellStyle name="Note 3 15 4 2 2" xfId="5038"/>
    <cellStyle name="Note 3 15 4 3" xfId="3728"/>
    <cellStyle name="Note 3 15 5" xfId="1759"/>
    <cellStyle name="Note 3 15 5 2" xfId="4384"/>
    <cellStyle name="Note 3 15 6" xfId="3073"/>
    <cellStyle name="Note 3 16" xfId="336"/>
    <cellStyle name="Note 3 16 2" xfId="566"/>
    <cellStyle name="Note 3 16 2 2" xfId="894"/>
    <cellStyle name="Note 3 16 2 2 2" xfId="1552"/>
    <cellStyle name="Note 3 16 2 2 2 2" xfId="2865"/>
    <cellStyle name="Note 3 16 2 2 2 2 2" xfId="5489"/>
    <cellStyle name="Note 3 16 2 2 2 3" xfId="4179"/>
    <cellStyle name="Note 3 16 2 2 3" xfId="2211"/>
    <cellStyle name="Note 3 16 2 2 3 2" xfId="4835"/>
    <cellStyle name="Note 3 16 2 2 4" xfId="3525"/>
    <cellStyle name="Note 3 16 2 3" xfId="1238"/>
    <cellStyle name="Note 3 16 2 3 2" xfId="2552"/>
    <cellStyle name="Note 3 16 2 3 2 2" xfId="5176"/>
    <cellStyle name="Note 3 16 2 3 3" xfId="3866"/>
    <cellStyle name="Note 3 16 2 4" xfId="1898"/>
    <cellStyle name="Note 3 16 2 4 2" xfId="4522"/>
    <cellStyle name="Note 3 16 2 5" xfId="3212"/>
    <cellStyle name="Note 3 16 3" xfId="755"/>
    <cellStyle name="Note 3 16 3 2" xfId="1415"/>
    <cellStyle name="Note 3 16 3 2 2" xfId="2728"/>
    <cellStyle name="Note 3 16 3 2 2 2" xfId="5352"/>
    <cellStyle name="Note 3 16 3 2 3" xfId="4042"/>
    <cellStyle name="Note 3 16 3 3" xfId="2074"/>
    <cellStyle name="Note 3 16 3 3 2" xfId="4698"/>
    <cellStyle name="Note 3 16 3 4" xfId="3388"/>
    <cellStyle name="Note 3 16 4" xfId="1100"/>
    <cellStyle name="Note 3 16 4 2" xfId="2415"/>
    <cellStyle name="Note 3 16 4 2 2" xfId="5039"/>
    <cellStyle name="Note 3 16 4 3" xfId="3729"/>
    <cellStyle name="Note 3 16 5" xfId="1760"/>
    <cellStyle name="Note 3 16 5 2" xfId="4385"/>
    <cellStyle name="Note 3 16 6" xfId="3074"/>
    <cellStyle name="Note 3 17" xfId="559"/>
    <cellStyle name="Note 3 17 2" xfId="887"/>
    <cellStyle name="Note 3 17 2 2" xfId="1545"/>
    <cellStyle name="Note 3 17 2 2 2" xfId="2858"/>
    <cellStyle name="Note 3 17 2 2 2 2" xfId="5482"/>
    <cellStyle name="Note 3 17 2 2 3" xfId="4172"/>
    <cellStyle name="Note 3 17 2 3" xfId="2204"/>
    <cellStyle name="Note 3 17 2 3 2" xfId="4828"/>
    <cellStyle name="Note 3 17 2 4" xfId="3518"/>
    <cellStyle name="Note 3 17 3" xfId="1231"/>
    <cellStyle name="Note 3 17 3 2" xfId="2545"/>
    <cellStyle name="Note 3 17 3 2 2" xfId="5169"/>
    <cellStyle name="Note 3 17 3 3" xfId="3859"/>
    <cellStyle name="Note 3 17 4" xfId="1891"/>
    <cellStyle name="Note 3 17 4 2" xfId="4515"/>
    <cellStyle name="Note 3 17 5" xfId="3205"/>
    <cellStyle name="Note 3 18" xfId="748"/>
    <cellStyle name="Note 3 18 2" xfId="1408"/>
    <cellStyle name="Note 3 18 2 2" xfId="2721"/>
    <cellStyle name="Note 3 18 2 2 2" xfId="5345"/>
    <cellStyle name="Note 3 18 2 3" xfId="4035"/>
    <cellStyle name="Note 3 18 3" xfId="2067"/>
    <cellStyle name="Note 3 18 3 2" xfId="4691"/>
    <cellStyle name="Note 3 18 4" xfId="3381"/>
    <cellStyle name="Note 3 19" xfId="1093"/>
    <cellStyle name="Note 3 19 2" xfId="2408"/>
    <cellStyle name="Note 3 19 2 2" xfId="5032"/>
    <cellStyle name="Note 3 19 3" xfId="3722"/>
    <cellStyle name="Note 3 2" xfId="337"/>
    <cellStyle name="Note 3 2 2" xfId="567"/>
    <cellStyle name="Note 3 2 2 2" xfId="895"/>
    <cellStyle name="Note 3 2 2 2 2" xfId="1553"/>
    <cellStyle name="Note 3 2 2 2 2 2" xfId="2866"/>
    <cellStyle name="Note 3 2 2 2 2 2 2" xfId="5490"/>
    <cellStyle name="Note 3 2 2 2 2 3" xfId="4180"/>
    <cellStyle name="Note 3 2 2 2 3" xfId="2212"/>
    <cellStyle name="Note 3 2 2 2 3 2" xfId="4836"/>
    <cellStyle name="Note 3 2 2 2 4" xfId="3526"/>
    <cellStyle name="Note 3 2 2 3" xfId="1239"/>
    <cellStyle name="Note 3 2 2 3 2" xfId="2553"/>
    <cellStyle name="Note 3 2 2 3 2 2" xfId="5177"/>
    <cellStyle name="Note 3 2 2 3 3" xfId="3867"/>
    <cellStyle name="Note 3 2 2 4" xfId="1899"/>
    <cellStyle name="Note 3 2 2 4 2" xfId="4523"/>
    <cellStyle name="Note 3 2 2 5" xfId="3213"/>
    <cellStyle name="Note 3 2 3" xfId="756"/>
    <cellStyle name="Note 3 2 3 2" xfId="1416"/>
    <cellStyle name="Note 3 2 3 2 2" xfId="2729"/>
    <cellStyle name="Note 3 2 3 2 2 2" xfId="5353"/>
    <cellStyle name="Note 3 2 3 2 3" xfId="4043"/>
    <cellStyle name="Note 3 2 3 3" xfId="2075"/>
    <cellStyle name="Note 3 2 3 3 2" xfId="4699"/>
    <cellStyle name="Note 3 2 3 4" xfId="3389"/>
    <cellStyle name="Note 3 2 4" xfId="1101"/>
    <cellStyle name="Note 3 2 4 2" xfId="2416"/>
    <cellStyle name="Note 3 2 4 2 2" xfId="5040"/>
    <cellStyle name="Note 3 2 4 3" xfId="3730"/>
    <cellStyle name="Note 3 2 5" xfId="1761"/>
    <cellStyle name="Note 3 2 5 2" xfId="4386"/>
    <cellStyle name="Note 3 2 6" xfId="3075"/>
    <cellStyle name="Note 3 20" xfId="1753"/>
    <cellStyle name="Note 3 20 2" xfId="4378"/>
    <cellStyle name="Note 3 21" xfId="3067"/>
    <cellStyle name="Note 3 3" xfId="338"/>
    <cellStyle name="Note 3 3 2" xfId="568"/>
    <cellStyle name="Note 3 3 2 2" xfId="896"/>
    <cellStyle name="Note 3 3 2 2 2" xfId="1554"/>
    <cellStyle name="Note 3 3 2 2 2 2" xfId="2867"/>
    <cellStyle name="Note 3 3 2 2 2 2 2" xfId="5491"/>
    <cellStyle name="Note 3 3 2 2 2 3" xfId="4181"/>
    <cellStyle name="Note 3 3 2 2 3" xfId="2213"/>
    <cellStyle name="Note 3 3 2 2 3 2" xfId="4837"/>
    <cellStyle name="Note 3 3 2 2 4" xfId="3527"/>
    <cellStyle name="Note 3 3 2 3" xfId="1240"/>
    <cellStyle name="Note 3 3 2 3 2" xfId="2554"/>
    <cellStyle name="Note 3 3 2 3 2 2" xfId="5178"/>
    <cellStyle name="Note 3 3 2 3 3" xfId="3868"/>
    <cellStyle name="Note 3 3 2 4" xfId="1900"/>
    <cellStyle name="Note 3 3 2 4 2" xfId="4524"/>
    <cellStyle name="Note 3 3 2 5" xfId="3214"/>
    <cellStyle name="Note 3 3 3" xfId="757"/>
    <cellStyle name="Note 3 3 3 2" xfId="1417"/>
    <cellStyle name="Note 3 3 3 2 2" xfId="2730"/>
    <cellStyle name="Note 3 3 3 2 2 2" xfId="5354"/>
    <cellStyle name="Note 3 3 3 2 3" xfId="4044"/>
    <cellStyle name="Note 3 3 3 3" xfId="2076"/>
    <cellStyle name="Note 3 3 3 3 2" xfId="4700"/>
    <cellStyle name="Note 3 3 3 4" xfId="3390"/>
    <cellStyle name="Note 3 3 4" xfId="1102"/>
    <cellStyle name="Note 3 3 4 2" xfId="2417"/>
    <cellStyle name="Note 3 3 4 2 2" xfId="5041"/>
    <cellStyle name="Note 3 3 4 3" xfId="3731"/>
    <cellStyle name="Note 3 3 5" xfId="1762"/>
    <cellStyle name="Note 3 3 5 2" xfId="4387"/>
    <cellStyle name="Note 3 3 6" xfId="3076"/>
    <cellStyle name="Note 3 4" xfId="339"/>
    <cellStyle name="Note 3 4 2" xfId="569"/>
    <cellStyle name="Note 3 4 2 2" xfId="897"/>
    <cellStyle name="Note 3 4 2 2 2" xfId="1555"/>
    <cellStyle name="Note 3 4 2 2 2 2" xfId="2868"/>
    <cellStyle name="Note 3 4 2 2 2 2 2" xfId="5492"/>
    <cellStyle name="Note 3 4 2 2 2 3" xfId="4182"/>
    <cellStyle name="Note 3 4 2 2 3" xfId="2214"/>
    <cellStyle name="Note 3 4 2 2 3 2" xfId="4838"/>
    <cellStyle name="Note 3 4 2 2 4" xfId="3528"/>
    <cellStyle name="Note 3 4 2 3" xfId="1241"/>
    <cellStyle name="Note 3 4 2 3 2" xfId="2555"/>
    <cellStyle name="Note 3 4 2 3 2 2" xfId="5179"/>
    <cellStyle name="Note 3 4 2 3 3" xfId="3869"/>
    <cellStyle name="Note 3 4 2 4" xfId="1901"/>
    <cellStyle name="Note 3 4 2 4 2" xfId="4525"/>
    <cellStyle name="Note 3 4 2 5" xfId="3215"/>
    <cellStyle name="Note 3 4 3" xfId="758"/>
    <cellStyle name="Note 3 4 3 2" xfId="1418"/>
    <cellStyle name="Note 3 4 3 2 2" xfId="2731"/>
    <cellStyle name="Note 3 4 3 2 2 2" xfId="5355"/>
    <cellStyle name="Note 3 4 3 2 3" xfId="4045"/>
    <cellStyle name="Note 3 4 3 3" xfId="2077"/>
    <cellStyle name="Note 3 4 3 3 2" xfId="4701"/>
    <cellStyle name="Note 3 4 3 4" xfId="3391"/>
    <cellStyle name="Note 3 4 4" xfId="1103"/>
    <cellStyle name="Note 3 4 4 2" xfId="2418"/>
    <cellStyle name="Note 3 4 4 2 2" xfId="5042"/>
    <cellStyle name="Note 3 4 4 3" xfId="3732"/>
    <cellStyle name="Note 3 4 5" xfId="1763"/>
    <cellStyle name="Note 3 4 5 2" xfId="4388"/>
    <cellStyle name="Note 3 4 6" xfId="3077"/>
    <cellStyle name="Note 3 5" xfId="340"/>
    <cellStyle name="Note 3 5 2" xfId="570"/>
    <cellStyle name="Note 3 5 2 2" xfId="898"/>
    <cellStyle name="Note 3 5 2 2 2" xfId="1556"/>
    <cellStyle name="Note 3 5 2 2 2 2" xfId="2869"/>
    <cellStyle name="Note 3 5 2 2 2 2 2" xfId="5493"/>
    <cellStyle name="Note 3 5 2 2 2 3" xfId="4183"/>
    <cellStyle name="Note 3 5 2 2 3" xfId="2215"/>
    <cellStyle name="Note 3 5 2 2 3 2" xfId="4839"/>
    <cellStyle name="Note 3 5 2 2 4" xfId="3529"/>
    <cellStyle name="Note 3 5 2 3" xfId="1242"/>
    <cellStyle name="Note 3 5 2 3 2" xfId="2556"/>
    <cellStyle name="Note 3 5 2 3 2 2" xfId="5180"/>
    <cellStyle name="Note 3 5 2 3 3" xfId="3870"/>
    <cellStyle name="Note 3 5 2 4" xfId="1902"/>
    <cellStyle name="Note 3 5 2 4 2" xfId="4526"/>
    <cellStyle name="Note 3 5 2 5" xfId="3216"/>
    <cellStyle name="Note 3 5 3" xfId="759"/>
    <cellStyle name="Note 3 5 3 2" xfId="1419"/>
    <cellStyle name="Note 3 5 3 2 2" xfId="2732"/>
    <cellStyle name="Note 3 5 3 2 2 2" xfId="5356"/>
    <cellStyle name="Note 3 5 3 2 3" xfId="4046"/>
    <cellStyle name="Note 3 5 3 3" xfId="2078"/>
    <cellStyle name="Note 3 5 3 3 2" xfId="4702"/>
    <cellStyle name="Note 3 5 3 4" xfId="3392"/>
    <cellStyle name="Note 3 5 4" xfId="1104"/>
    <cellStyle name="Note 3 5 4 2" xfId="2419"/>
    <cellStyle name="Note 3 5 4 2 2" xfId="5043"/>
    <cellStyle name="Note 3 5 4 3" xfId="3733"/>
    <cellStyle name="Note 3 5 5" xfId="1764"/>
    <cellStyle name="Note 3 5 5 2" xfId="4389"/>
    <cellStyle name="Note 3 5 6" xfId="3078"/>
    <cellStyle name="Note 3 6" xfId="341"/>
    <cellStyle name="Note 3 6 2" xfId="571"/>
    <cellStyle name="Note 3 6 2 2" xfId="899"/>
    <cellStyle name="Note 3 6 2 2 2" xfId="1557"/>
    <cellStyle name="Note 3 6 2 2 2 2" xfId="2870"/>
    <cellStyle name="Note 3 6 2 2 2 2 2" xfId="5494"/>
    <cellStyle name="Note 3 6 2 2 2 3" xfId="4184"/>
    <cellStyle name="Note 3 6 2 2 3" xfId="2216"/>
    <cellStyle name="Note 3 6 2 2 3 2" xfId="4840"/>
    <cellStyle name="Note 3 6 2 2 4" xfId="3530"/>
    <cellStyle name="Note 3 6 2 3" xfId="1243"/>
    <cellStyle name="Note 3 6 2 3 2" xfId="2557"/>
    <cellStyle name="Note 3 6 2 3 2 2" xfId="5181"/>
    <cellStyle name="Note 3 6 2 3 3" xfId="3871"/>
    <cellStyle name="Note 3 6 2 4" xfId="1903"/>
    <cellStyle name="Note 3 6 2 4 2" xfId="4527"/>
    <cellStyle name="Note 3 6 2 5" xfId="3217"/>
    <cellStyle name="Note 3 6 3" xfId="760"/>
    <cellStyle name="Note 3 6 3 2" xfId="1420"/>
    <cellStyle name="Note 3 6 3 2 2" xfId="2733"/>
    <cellStyle name="Note 3 6 3 2 2 2" xfId="5357"/>
    <cellStyle name="Note 3 6 3 2 3" xfId="4047"/>
    <cellStyle name="Note 3 6 3 3" xfId="2079"/>
    <cellStyle name="Note 3 6 3 3 2" xfId="4703"/>
    <cellStyle name="Note 3 6 3 4" xfId="3393"/>
    <cellStyle name="Note 3 6 4" xfId="1105"/>
    <cellStyle name="Note 3 6 4 2" xfId="2420"/>
    <cellStyle name="Note 3 6 4 2 2" xfId="5044"/>
    <cellStyle name="Note 3 6 4 3" xfId="3734"/>
    <cellStyle name="Note 3 6 5" xfId="1765"/>
    <cellStyle name="Note 3 6 5 2" xfId="4390"/>
    <cellStyle name="Note 3 6 6" xfId="3079"/>
    <cellStyle name="Note 3 7" xfId="342"/>
    <cellStyle name="Note 3 7 2" xfId="572"/>
    <cellStyle name="Note 3 7 2 2" xfId="900"/>
    <cellStyle name="Note 3 7 2 2 2" xfId="1558"/>
    <cellStyle name="Note 3 7 2 2 2 2" xfId="2871"/>
    <cellStyle name="Note 3 7 2 2 2 2 2" xfId="5495"/>
    <cellStyle name="Note 3 7 2 2 2 3" xfId="4185"/>
    <cellStyle name="Note 3 7 2 2 3" xfId="2217"/>
    <cellStyle name="Note 3 7 2 2 3 2" xfId="4841"/>
    <cellStyle name="Note 3 7 2 2 4" xfId="3531"/>
    <cellStyle name="Note 3 7 2 3" xfId="1244"/>
    <cellStyle name="Note 3 7 2 3 2" xfId="2558"/>
    <cellStyle name="Note 3 7 2 3 2 2" xfId="5182"/>
    <cellStyle name="Note 3 7 2 3 3" xfId="3872"/>
    <cellStyle name="Note 3 7 2 4" xfId="1904"/>
    <cellStyle name="Note 3 7 2 4 2" xfId="4528"/>
    <cellStyle name="Note 3 7 2 5" xfId="3218"/>
    <cellStyle name="Note 3 7 3" xfId="761"/>
    <cellStyle name="Note 3 7 3 2" xfId="1421"/>
    <cellStyle name="Note 3 7 3 2 2" xfId="2734"/>
    <cellStyle name="Note 3 7 3 2 2 2" xfId="5358"/>
    <cellStyle name="Note 3 7 3 2 3" xfId="4048"/>
    <cellStyle name="Note 3 7 3 3" xfId="2080"/>
    <cellStyle name="Note 3 7 3 3 2" xfId="4704"/>
    <cellStyle name="Note 3 7 3 4" xfId="3394"/>
    <cellStyle name="Note 3 7 4" xfId="1106"/>
    <cellStyle name="Note 3 7 4 2" xfId="2421"/>
    <cellStyle name="Note 3 7 4 2 2" xfId="5045"/>
    <cellStyle name="Note 3 7 4 3" xfId="3735"/>
    <cellStyle name="Note 3 7 5" xfId="1766"/>
    <cellStyle name="Note 3 7 5 2" xfId="4391"/>
    <cellStyle name="Note 3 7 6" xfId="3080"/>
    <cellStyle name="Note 3 8" xfId="343"/>
    <cellStyle name="Note 3 8 2" xfId="573"/>
    <cellStyle name="Note 3 8 2 2" xfId="901"/>
    <cellStyle name="Note 3 8 2 2 2" xfId="1559"/>
    <cellStyle name="Note 3 8 2 2 2 2" xfId="2872"/>
    <cellStyle name="Note 3 8 2 2 2 2 2" xfId="5496"/>
    <cellStyle name="Note 3 8 2 2 2 3" xfId="4186"/>
    <cellStyle name="Note 3 8 2 2 3" xfId="2218"/>
    <cellStyle name="Note 3 8 2 2 3 2" xfId="4842"/>
    <cellStyle name="Note 3 8 2 2 4" xfId="3532"/>
    <cellStyle name="Note 3 8 2 3" xfId="1245"/>
    <cellStyle name="Note 3 8 2 3 2" xfId="2559"/>
    <cellStyle name="Note 3 8 2 3 2 2" xfId="5183"/>
    <cellStyle name="Note 3 8 2 3 3" xfId="3873"/>
    <cellStyle name="Note 3 8 2 4" xfId="1905"/>
    <cellStyle name="Note 3 8 2 4 2" xfId="4529"/>
    <cellStyle name="Note 3 8 2 5" xfId="3219"/>
    <cellStyle name="Note 3 8 3" xfId="762"/>
    <cellStyle name="Note 3 8 3 2" xfId="1422"/>
    <cellStyle name="Note 3 8 3 2 2" xfId="2735"/>
    <cellStyle name="Note 3 8 3 2 2 2" xfId="5359"/>
    <cellStyle name="Note 3 8 3 2 3" xfId="4049"/>
    <cellStyle name="Note 3 8 3 3" xfId="2081"/>
    <cellStyle name="Note 3 8 3 3 2" xfId="4705"/>
    <cellStyle name="Note 3 8 3 4" xfId="3395"/>
    <cellStyle name="Note 3 8 4" xfId="1107"/>
    <cellStyle name="Note 3 8 4 2" xfId="2422"/>
    <cellStyle name="Note 3 8 4 2 2" xfId="5046"/>
    <cellStyle name="Note 3 8 4 3" xfId="3736"/>
    <cellStyle name="Note 3 8 5" xfId="1767"/>
    <cellStyle name="Note 3 8 5 2" xfId="4392"/>
    <cellStyle name="Note 3 8 6" xfId="3081"/>
    <cellStyle name="Note 3 9" xfId="344"/>
    <cellStyle name="Note 3 9 2" xfId="574"/>
    <cellStyle name="Note 3 9 2 2" xfId="902"/>
    <cellStyle name="Note 3 9 2 2 2" xfId="1560"/>
    <cellStyle name="Note 3 9 2 2 2 2" xfId="2873"/>
    <cellStyle name="Note 3 9 2 2 2 2 2" xfId="5497"/>
    <cellStyle name="Note 3 9 2 2 2 3" xfId="4187"/>
    <cellStyle name="Note 3 9 2 2 3" xfId="2219"/>
    <cellStyle name="Note 3 9 2 2 3 2" xfId="4843"/>
    <cellStyle name="Note 3 9 2 2 4" xfId="3533"/>
    <cellStyle name="Note 3 9 2 3" xfId="1246"/>
    <cellStyle name="Note 3 9 2 3 2" xfId="2560"/>
    <cellStyle name="Note 3 9 2 3 2 2" xfId="5184"/>
    <cellStyle name="Note 3 9 2 3 3" xfId="3874"/>
    <cellStyle name="Note 3 9 2 4" xfId="1906"/>
    <cellStyle name="Note 3 9 2 4 2" xfId="4530"/>
    <cellStyle name="Note 3 9 2 5" xfId="3220"/>
    <cellStyle name="Note 3 9 3" xfId="763"/>
    <cellStyle name="Note 3 9 3 2" xfId="1423"/>
    <cellStyle name="Note 3 9 3 2 2" xfId="2736"/>
    <cellStyle name="Note 3 9 3 2 2 2" xfId="5360"/>
    <cellStyle name="Note 3 9 3 2 3" xfId="4050"/>
    <cellStyle name="Note 3 9 3 3" xfId="2082"/>
    <cellStyle name="Note 3 9 3 3 2" xfId="4706"/>
    <cellStyle name="Note 3 9 3 4" xfId="3396"/>
    <cellStyle name="Note 3 9 4" xfId="1108"/>
    <cellStyle name="Note 3 9 4 2" xfId="2423"/>
    <cellStyle name="Note 3 9 4 2 2" xfId="5047"/>
    <cellStyle name="Note 3 9 4 3" xfId="3737"/>
    <cellStyle name="Note 3 9 5" xfId="1768"/>
    <cellStyle name="Note 3 9 5 2" xfId="4393"/>
    <cellStyle name="Note 3 9 6" xfId="3082"/>
    <cellStyle name="Note 4" xfId="345"/>
    <cellStyle name="Note 4 10" xfId="346"/>
    <cellStyle name="Note 4 10 2" xfId="576"/>
    <cellStyle name="Note 4 10 2 2" xfId="904"/>
    <cellStyle name="Note 4 10 2 2 2" xfId="1562"/>
    <cellStyle name="Note 4 10 2 2 2 2" xfId="2875"/>
    <cellStyle name="Note 4 10 2 2 2 2 2" xfId="5499"/>
    <cellStyle name="Note 4 10 2 2 2 3" xfId="4189"/>
    <cellStyle name="Note 4 10 2 2 3" xfId="2221"/>
    <cellStyle name="Note 4 10 2 2 3 2" xfId="4845"/>
    <cellStyle name="Note 4 10 2 2 4" xfId="3535"/>
    <cellStyle name="Note 4 10 2 3" xfId="1248"/>
    <cellStyle name="Note 4 10 2 3 2" xfId="2562"/>
    <cellStyle name="Note 4 10 2 3 2 2" xfId="5186"/>
    <cellStyle name="Note 4 10 2 3 3" xfId="3876"/>
    <cellStyle name="Note 4 10 2 4" xfId="1908"/>
    <cellStyle name="Note 4 10 2 4 2" xfId="4532"/>
    <cellStyle name="Note 4 10 2 5" xfId="3222"/>
    <cellStyle name="Note 4 10 3" xfId="765"/>
    <cellStyle name="Note 4 10 3 2" xfId="1425"/>
    <cellStyle name="Note 4 10 3 2 2" xfId="2738"/>
    <cellStyle name="Note 4 10 3 2 2 2" xfId="5362"/>
    <cellStyle name="Note 4 10 3 2 3" xfId="4052"/>
    <cellStyle name="Note 4 10 3 3" xfId="2084"/>
    <cellStyle name="Note 4 10 3 3 2" xfId="4708"/>
    <cellStyle name="Note 4 10 3 4" xfId="3398"/>
    <cellStyle name="Note 4 10 4" xfId="1110"/>
    <cellStyle name="Note 4 10 4 2" xfId="2425"/>
    <cellStyle name="Note 4 10 4 2 2" xfId="5049"/>
    <cellStyle name="Note 4 10 4 3" xfId="3739"/>
    <cellStyle name="Note 4 10 5" xfId="1770"/>
    <cellStyle name="Note 4 10 5 2" xfId="4395"/>
    <cellStyle name="Note 4 10 6" xfId="3084"/>
    <cellStyle name="Note 4 11" xfId="347"/>
    <cellStyle name="Note 4 11 2" xfId="577"/>
    <cellStyle name="Note 4 11 2 2" xfId="905"/>
    <cellStyle name="Note 4 11 2 2 2" xfId="1563"/>
    <cellStyle name="Note 4 11 2 2 2 2" xfId="2876"/>
    <cellStyle name="Note 4 11 2 2 2 2 2" xfId="5500"/>
    <cellStyle name="Note 4 11 2 2 2 3" xfId="4190"/>
    <cellStyle name="Note 4 11 2 2 3" xfId="2222"/>
    <cellStyle name="Note 4 11 2 2 3 2" xfId="4846"/>
    <cellStyle name="Note 4 11 2 2 4" xfId="3536"/>
    <cellStyle name="Note 4 11 2 3" xfId="1249"/>
    <cellStyle name="Note 4 11 2 3 2" xfId="2563"/>
    <cellStyle name="Note 4 11 2 3 2 2" xfId="5187"/>
    <cellStyle name="Note 4 11 2 3 3" xfId="3877"/>
    <cellStyle name="Note 4 11 2 4" xfId="1909"/>
    <cellStyle name="Note 4 11 2 4 2" xfId="4533"/>
    <cellStyle name="Note 4 11 2 5" xfId="3223"/>
    <cellStyle name="Note 4 11 3" xfId="766"/>
    <cellStyle name="Note 4 11 3 2" xfId="1426"/>
    <cellStyle name="Note 4 11 3 2 2" xfId="2739"/>
    <cellStyle name="Note 4 11 3 2 2 2" xfId="5363"/>
    <cellStyle name="Note 4 11 3 2 3" xfId="4053"/>
    <cellStyle name="Note 4 11 3 3" xfId="2085"/>
    <cellStyle name="Note 4 11 3 3 2" xfId="4709"/>
    <cellStyle name="Note 4 11 3 4" xfId="3399"/>
    <cellStyle name="Note 4 11 4" xfId="1111"/>
    <cellStyle name="Note 4 11 4 2" xfId="2426"/>
    <cellStyle name="Note 4 11 4 2 2" xfId="5050"/>
    <cellStyle name="Note 4 11 4 3" xfId="3740"/>
    <cellStyle name="Note 4 11 5" xfId="1771"/>
    <cellStyle name="Note 4 11 5 2" xfId="4396"/>
    <cellStyle name="Note 4 11 6" xfId="3085"/>
    <cellStyle name="Note 4 12" xfId="348"/>
    <cellStyle name="Note 4 12 2" xfId="578"/>
    <cellStyle name="Note 4 12 2 2" xfId="906"/>
    <cellStyle name="Note 4 12 2 2 2" xfId="1564"/>
    <cellStyle name="Note 4 12 2 2 2 2" xfId="2877"/>
    <cellStyle name="Note 4 12 2 2 2 2 2" xfId="5501"/>
    <cellStyle name="Note 4 12 2 2 2 3" xfId="4191"/>
    <cellStyle name="Note 4 12 2 2 3" xfId="2223"/>
    <cellStyle name="Note 4 12 2 2 3 2" xfId="4847"/>
    <cellStyle name="Note 4 12 2 2 4" xfId="3537"/>
    <cellStyle name="Note 4 12 2 3" xfId="1250"/>
    <cellStyle name="Note 4 12 2 3 2" xfId="2564"/>
    <cellStyle name="Note 4 12 2 3 2 2" xfId="5188"/>
    <cellStyle name="Note 4 12 2 3 3" xfId="3878"/>
    <cellStyle name="Note 4 12 2 4" xfId="1910"/>
    <cellStyle name="Note 4 12 2 4 2" xfId="4534"/>
    <cellStyle name="Note 4 12 2 5" xfId="3224"/>
    <cellStyle name="Note 4 12 3" xfId="767"/>
    <cellStyle name="Note 4 12 3 2" xfId="1427"/>
    <cellStyle name="Note 4 12 3 2 2" xfId="2740"/>
    <cellStyle name="Note 4 12 3 2 2 2" xfId="5364"/>
    <cellStyle name="Note 4 12 3 2 3" xfId="4054"/>
    <cellStyle name="Note 4 12 3 3" xfId="2086"/>
    <cellStyle name="Note 4 12 3 3 2" xfId="4710"/>
    <cellStyle name="Note 4 12 3 4" xfId="3400"/>
    <cellStyle name="Note 4 12 4" xfId="1112"/>
    <cellStyle name="Note 4 12 4 2" xfId="2427"/>
    <cellStyle name="Note 4 12 4 2 2" xfId="5051"/>
    <cellStyle name="Note 4 12 4 3" xfId="3741"/>
    <cellStyle name="Note 4 12 5" xfId="1772"/>
    <cellStyle name="Note 4 12 5 2" xfId="4397"/>
    <cellStyle name="Note 4 12 6" xfId="3086"/>
    <cellStyle name="Note 4 13" xfId="575"/>
    <cellStyle name="Note 4 13 2" xfId="903"/>
    <cellStyle name="Note 4 13 2 2" xfId="1561"/>
    <cellStyle name="Note 4 13 2 2 2" xfId="2874"/>
    <cellStyle name="Note 4 13 2 2 2 2" xfId="5498"/>
    <cellStyle name="Note 4 13 2 2 3" xfId="4188"/>
    <cellStyle name="Note 4 13 2 3" xfId="2220"/>
    <cellStyle name="Note 4 13 2 3 2" xfId="4844"/>
    <cellStyle name="Note 4 13 2 4" xfId="3534"/>
    <cellStyle name="Note 4 13 3" xfId="1247"/>
    <cellStyle name="Note 4 13 3 2" xfId="2561"/>
    <cellStyle name="Note 4 13 3 2 2" xfId="5185"/>
    <cellStyle name="Note 4 13 3 3" xfId="3875"/>
    <cellStyle name="Note 4 13 4" xfId="1907"/>
    <cellStyle name="Note 4 13 4 2" xfId="4531"/>
    <cellStyle name="Note 4 13 5" xfId="3221"/>
    <cellStyle name="Note 4 14" xfId="764"/>
    <cellStyle name="Note 4 14 2" xfId="1424"/>
    <cellStyle name="Note 4 14 2 2" xfId="2737"/>
    <cellStyle name="Note 4 14 2 2 2" xfId="5361"/>
    <cellStyle name="Note 4 14 2 3" xfId="4051"/>
    <cellStyle name="Note 4 14 3" xfId="2083"/>
    <cellStyle name="Note 4 14 3 2" xfId="4707"/>
    <cellStyle name="Note 4 14 4" xfId="3397"/>
    <cellStyle name="Note 4 15" xfId="1109"/>
    <cellStyle name="Note 4 15 2" xfId="2424"/>
    <cellStyle name="Note 4 15 2 2" xfId="5048"/>
    <cellStyle name="Note 4 15 3" xfId="3738"/>
    <cellStyle name="Note 4 16" xfId="1769"/>
    <cellStyle name="Note 4 16 2" xfId="4394"/>
    <cellStyle name="Note 4 17" xfId="3083"/>
    <cellStyle name="Note 4 2" xfId="349"/>
    <cellStyle name="Note 4 2 2" xfId="579"/>
    <cellStyle name="Note 4 2 2 2" xfId="907"/>
    <cellStyle name="Note 4 2 2 2 2" xfId="1565"/>
    <cellStyle name="Note 4 2 2 2 2 2" xfId="2878"/>
    <cellStyle name="Note 4 2 2 2 2 2 2" xfId="5502"/>
    <cellStyle name="Note 4 2 2 2 2 3" xfId="4192"/>
    <cellStyle name="Note 4 2 2 2 3" xfId="2224"/>
    <cellStyle name="Note 4 2 2 2 3 2" xfId="4848"/>
    <cellStyle name="Note 4 2 2 2 4" xfId="3538"/>
    <cellStyle name="Note 4 2 2 3" xfId="1251"/>
    <cellStyle name="Note 4 2 2 3 2" xfId="2565"/>
    <cellStyle name="Note 4 2 2 3 2 2" xfId="5189"/>
    <cellStyle name="Note 4 2 2 3 3" xfId="3879"/>
    <cellStyle name="Note 4 2 2 4" xfId="1911"/>
    <cellStyle name="Note 4 2 2 4 2" xfId="4535"/>
    <cellStyle name="Note 4 2 2 5" xfId="3225"/>
    <cellStyle name="Note 4 2 3" xfId="768"/>
    <cellStyle name="Note 4 2 3 2" xfId="1428"/>
    <cellStyle name="Note 4 2 3 2 2" xfId="2741"/>
    <cellStyle name="Note 4 2 3 2 2 2" xfId="5365"/>
    <cellStyle name="Note 4 2 3 2 3" xfId="4055"/>
    <cellStyle name="Note 4 2 3 3" xfId="2087"/>
    <cellStyle name="Note 4 2 3 3 2" xfId="4711"/>
    <cellStyle name="Note 4 2 3 4" xfId="3401"/>
    <cellStyle name="Note 4 2 4" xfId="1113"/>
    <cellStyle name="Note 4 2 4 2" xfId="2428"/>
    <cellStyle name="Note 4 2 4 2 2" xfId="5052"/>
    <cellStyle name="Note 4 2 4 3" xfId="3742"/>
    <cellStyle name="Note 4 2 5" xfId="1773"/>
    <cellStyle name="Note 4 2 5 2" xfId="4398"/>
    <cellStyle name="Note 4 2 6" xfId="3087"/>
    <cellStyle name="Note 4 3" xfId="350"/>
    <cellStyle name="Note 4 3 2" xfId="580"/>
    <cellStyle name="Note 4 3 2 2" xfId="908"/>
    <cellStyle name="Note 4 3 2 2 2" xfId="1566"/>
    <cellStyle name="Note 4 3 2 2 2 2" xfId="2879"/>
    <cellStyle name="Note 4 3 2 2 2 2 2" xfId="5503"/>
    <cellStyle name="Note 4 3 2 2 2 3" xfId="4193"/>
    <cellStyle name="Note 4 3 2 2 3" xfId="2225"/>
    <cellStyle name="Note 4 3 2 2 3 2" xfId="4849"/>
    <cellStyle name="Note 4 3 2 2 4" xfId="3539"/>
    <cellStyle name="Note 4 3 2 3" xfId="1252"/>
    <cellStyle name="Note 4 3 2 3 2" xfId="2566"/>
    <cellStyle name="Note 4 3 2 3 2 2" xfId="5190"/>
    <cellStyle name="Note 4 3 2 3 3" xfId="3880"/>
    <cellStyle name="Note 4 3 2 4" xfId="1912"/>
    <cellStyle name="Note 4 3 2 4 2" xfId="4536"/>
    <cellStyle name="Note 4 3 2 5" xfId="3226"/>
    <cellStyle name="Note 4 3 3" xfId="769"/>
    <cellStyle name="Note 4 3 3 2" xfId="1429"/>
    <cellStyle name="Note 4 3 3 2 2" xfId="2742"/>
    <cellStyle name="Note 4 3 3 2 2 2" xfId="5366"/>
    <cellStyle name="Note 4 3 3 2 3" xfId="4056"/>
    <cellStyle name="Note 4 3 3 3" xfId="2088"/>
    <cellStyle name="Note 4 3 3 3 2" xfId="4712"/>
    <cellStyle name="Note 4 3 3 4" xfId="3402"/>
    <cellStyle name="Note 4 3 4" xfId="1114"/>
    <cellStyle name="Note 4 3 4 2" xfId="2429"/>
    <cellStyle name="Note 4 3 4 2 2" xfId="5053"/>
    <cellStyle name="Note 4 3 4 3" xfId="3743"/>
    <cellStyle name="Note 4 3 5" xfId="1774"/>
    <cellStyle name="Note 4 3 5 2" xfId="4399"/>
    <cellStyle name="Note 4 3 6" xfId="3088"/>
    <cellStyle name="Note 4 4" xfId="351"/>
    <cellStyle name="Note 4 4 2" xfId="581"/>
    <cellStyle name="Note 4 4 2 2" xfId="909"/>
    <cellStyle name="Note 4 4 2 2 2" xfId="1567"/>
    <cellStyle name="Note 4 4 2 2 2 2" xfId="2880"/>
    <cellStyle name="Note 4 4 2 2 2 2 2" xfId="5504"/>
    <cellStyle name="Note 4 4 2 2 2 3" xfId="4194"/>
    <cellStyle name="Note 4 4 2 2 3" xfId="2226"/>
    <cellStyle name="Note 4 4 2 2 3 2" xfId="4850"/>
    <cellStyle name="Note 4 4 2 2 4" xfId="3540"/>
    <cellStyle name="Note 4 4 2 3" xfId="1253"/>
    <cellStyle name="Note 4 4 2 3 2" xfId="2567"/>
    <cellStyle name="Note 4 4 2 3 2 2" xfId="5191"/>
    <cellStyle name="Note 4 4 2 3 3" xfId="3881"/>
    <cellStyle name="Note 4 4 2 4" xfId="1913"/>
    <cellStyle name="Note 4 4 2 4 2" xfId="4537"/>
    <cellStyle name="Note 4 4 2 5" xfId="3227"/>
    <cellStyle name="Note 4 4 3" xfId="770"/>
    <cellStyle name="Note 4 4 3 2" xfId="1430"/>
    <cellStyle name="Note 4 4 3 2 2" xfId="2743"/>
    <cellStyle name="Note 4 4 3 2 2 2" xfId="5367"/>
    <cellStyle name="Note 4 4 3 2 3" xfId="4057"/>
    <cellStyle name="Note 4 4 3 3" xfId="2089"/>
    <cellStyle name="Note 4 4 3 3 2" xfId="4713"/>
    <cellStyle name="Note 4 4 3 4" xfId="3403"/>
    <cellStyle name="Note 4 4 4" xfId="1115"/>
    <cellStyle name="Note 4 4 4 2" xfId="2430"/>
    <cellStyle name="Note 4 4 4 2 2" xfId="5054"/>
    <cellStyle name="Note 4 4 4 3" xfId="3744"/>
    <cellStyle name="Note 4 4 5" xfId="1775"/>
    <cellStyle name="Note 4 4 5 2" xfId="4400"/>
    <cellStyle name="Note 4 4 6" xfId="3089"/>
    <cellStyle name="Note 4 5" xfId="352"/>
    <cellStyle name="Note 4 5 2" xfId="582"/>
    <cellStyle name="Note 4 5 2 2" xfId="910"/>
    <cellStyle name="Note 4 5 2 2 2" xfId="1568"/>
    <cellStyle name="Note 4 5 2 2 2 2" xfId="2881"/>
    <cellStyle name="Note 4 5 2 2 2 2 2" xfId="5505"/>
    <cellStyle name="Note 4 5 2 2 2 3" xfId="4195"/>
    <cellStyle name="Note 4 5 2 2 3" xfId="2227"/>
    <cellStyle name="Note 4 5 2 2 3 2" xfId="4851"/>
    <cellStyle name="Note 4 5 2 2 4" xfId="3541"/>
    <cellStyle name="Note 4 5 2 3" xfId="1254"/>
    <cellStyle name="Note 4 5 2 3 2" xfId="2568"/>
    <cellStyle name="Note 4 5 2 3 2 2" xfId="5192"/>
    <cellStyle name="Note 4 5 2 3 3" xfId="3882"/>
    <cellStyle name="Note 4 5 2 4" xfId="1914"/>
    <cellStyle name="Note 4 5 2 4 2" xfId="4538"/>
    <cellStyle name="Note 4 5 2 5" xfId="3228"/>
    <cellStyle name="Note 4 5 3" xfId="771"/>
    <cellStyle name="Note 4 5 3 2" xfId="1431"/>
    <cellStyle name="Note 4 5 3 2 2" xfId="2744"/>
    <cellStyle name="Note 4 5 3 2 2 2" xfId="5368"/>
    <cellStyle name="Note 4 5 3 2 3" xfId="4058"/>
    <cellStyle name="Note 4 5 3 3" xfId="2090"/>
    <cellStyle name="Note 4 5 3 3 2" xfId="4714"/>
    <cellStyle name="Note 4 5 3 4" xfId="3404"/>
    <cellStyle name="Note 4 5 4" xfId="1116"/>
    <cellStyle name="Note 4 5 4 2" xfId="2431"/>
    <cellStyle name="Note 4 5 4 2 2" xfId="5055"/>
    <cellStyle name="Note 4 5 4 3" xfId="3745"/>
    <cellStyle name="Note 4 5 5" xfId="1776"/>
    <cellStyle name="Note 4 5 5 2" xfId="4401"/>
    <cellStyle name="Note 4 5 6" xfId="3090"/>
    <cellStyle name="Note 4 6" xfId="353"/>
    <cellStyle name="Note 4 6 2" xfId="583"/>
    <cellStyle name="Note 4 6 2 2" xfId="911"/>
    <cellStyle name="Note 4 6 2 2 2" xfId="1569"/>
    <cellStyle name="Note 4 6 2 2 2 2" xfId="2882"/>
    <cellStyle name="Note 4 6 2 2 2 2 2" xfId="5506"/>
    <cellStyle name="Note 4 6 2 2 2 3" xfId="4196"/>
    <cellStyle name="Note 4 6 2 2 3" xfId="2228"/>
    <cellStyle name="Note 4 6 2 2 3 2" xfId="4852"/>
    <cellStyle name="Note 4 6 2 2 4" xfId="3542"/>
    <cellStyle name="Note 4 6 2 3" xfId="1255"/>
    <cellStyle name="Note 4 6 2 3 2" xfId="2569"/>
    <cellStyle name="Note 4 6 2 3 2 2" xfId="5193"/>
    <cellStyle name="Note 4 6 2 3 3" xfId="3883"/>
    <cellStyle name="Note 4 6 2 4" xfId="1915"/>
    <cellStyle name="Note 4 6 2 4 2" xfId="4539"/>
    <cellStyle name="Note 4 6 2 5" xfId="3229"/>
    <cellStyle name="Note 4 6 3" xfId="772"/>
    <cellStyle name="Note 4 6 3 2" xfId="1432"/>
    <cellStyle name="Note 4 6 3 2 2" xfId="2745"/>
    <cellStyle name="Note 4 6 3 2 2 2" xfId="5369"/>
    <cellStyle name="Note 4 6 3 2 3" xfId="4059"/>
    <cellStyle name="Note 4 6 3 3" xfId="2091"/>
    <cellStyle name="Note 4 6 3 3 2" xfId="4715"/>
    <cellStyle name="Note 4 6 3 4" xfId="3405"/>
    <cellStyle name="Note 4 6 4" xfId="1117"/>
    <cellStyle name="Note 4 6 4 2" xfId="2432"/>
    <cellStyle name="Note 4 6 4 2 2" xfId="5056"/>
    <cellStyle name="Note 4 6 4 3" xfId="3746"/>
    <cellStyle name="Note 4 6 5" xfId="1777"/>
    <cellStyle name="Note 4 6 5 2" xfId="4402"/>
    <cellStyle name="Note 4 6 6" xfId="3091"/>
    <cellStyle name="Note 4 7" xfId="354"/>
    <cellStyle name="Note 4 7 2" xfId="584"/>
    <cellStyle name="Note 4 7 2 2" xfId="912"/>
    <cellStyle name="Note 4 7 2 2 2" xfId="1570"/>
    <cellStyle name="Note 4 7 2 2 2 2" xfId="2883"/>
    <cellStyle name="Note 4 7 2 2 2 2 2" xfId="5507"/>
    <cellStyle name="Note 4 7 2 2 2 3" xfId="4197"/>
    <cellStyle name="Note 4 7 2 2 3" xfId="2229"/>
    <cellStyle name="Note 4 7 2 2 3 2" xfId="4853"/>
    <cellStyle name="Note 4 7 2 2 4" xfId="3543"/>
    <cellStyle name="Note 4 7 2 3" xfId="1256"/>
    <cellStyle name="Note 4 7 2 3 2" xfId="2570"/>
    <cellStyle name="Note 4 7 2 3 2 2" xfId="5194"/>
    <cellStyle name="Note 4 7 2 3 3" xfId="3884"/>
    <cellStyle name="Note 4 7 2 4" xfId="1916"/>
    <cellStyle name="Note 4 7 2 4 2" xfId="4540"/>
    <cellStyle name="Note 4 7 2 5" xfId="3230"/>
    <cellStyle name="Note 4 7 3" xfId="773"/>
    <cellStyle name="Note 4 7 3 2" xfId="1433"/>
    <cellStyle name="Note 4 7 3 2 2" xfId="2746"/>
    <cellStyle name="Note 4 7 3 2 2 2" xfId="5370"/>
    <cellStyle name="Note 4 7 3 2 3" xfId="4060"/>
    <cellStyle name="Note 4 7 3 3" xfId="2092"/>
    <cellStyle name="Note 4 7 3 3 2" xfId="4716"/>
    <cellStyle name="Note 4 7 3 4" xfId="3406"/>
    <cellStyle name="Note 4 7 4" xfId="1118"/>
    <cellStyle name="Note 4 7 4 2" xfId="2433"/>
    <cellStyle name="Note 4 7 4 2 2" xfId="5057"/>
    <cellStyle name="Note 4 7 4 3" xfId="3747"/>
    <cellStyle name="Note 4 7 5" xfId="1778"/>
    <cellStyle name="Note 4 7 5 2" xfId="4403"/>
    <cellStyle name="Note 4 7 6" xfId="3092"/>
    <cellStyle name="Note 4 8" xfId="355"/>
    <cellStyle name="Note 4 8 2" xfId="585"/>
    <cellStyle name="Note 4 8 2 2" xfId="913"/>
    <cellStyle name="Note 4 8 2 2 2" xfId="1571"/>
    <cellStyle name="Note 4 8 2 2 2 2" xfId="2884"/>
    <cellStyle name="Note 4 8 2 2 2 2 2" xfId="5508"/>
    <cellStyle name="Note 4 8 2 2 2 3" xfId="4198"/>
    <cellStyle name="Note 4 8 2 2 3" xfId="2230"/>
    <cellStyle name="Note 4 8 2 2 3 2" xfId="4854"/>
    <cellStyle name="Note 4 8 2 2 4" xfId="3544"/>
    <cellStyle name="Note 4 8 2 3" xfId="1257"/>
    <cellStyle name="Note 4 8 2 3 2" xfId="2571"/>
    <cellStyle name="Note 4 8 2 3 2 2" xfId="5195"/>
    <cellStyle name="Note 4 8 2 3 3" xfId="3885"/>
    <cellStyle name="Note 4 8 2 4" xfId="1917"/>
    <cellStyle name="Note 4 8 2 4 2" xfId="4541"/>
    <cellStyle name="Note 4 8 2 5" xfId="3231"/>
    <cellStyle name="Note 4 8 3" xfId="774"/>
    <cellStyle name="Note 4 8 3 2" xfId="1434"/>
    <cellStyle name="Note 4 8 3 2 2" xfId="2747"/>
    <cellStyle name="Note 4 8 3 2 2 2" xfId="5371"/>
    <cellStyle name="Note 4 8 3 2 3" xfId="4061"/>
    <cellStyle name="Note 4 8 3 3" xfId="2093"/>
    <cellStyle name="Note 4 8 3 3 2" xfId="4717"/>
    <cellStyle name="Note 4 8 3 4" xfId="3407"/>
    <cellStyle name="Note 4 8 4" xfId="1119"/>
    <cellStyle name="Note 4 8 4 2" xfId="2434"/>
    <cellStyle name="Note 4 8 4 2 2" xfId="5058"/>
    <cellStyle name="Note 4 8 4 3" xfId="3748"/>
    <cellStyle name="Note 4 8 5" xfId="1779"/>
    <cellStyle name="Note 4 8 5 2" xfId="4404"/>
    <cellStyle name="Note 4 8 6" xfId="3093"/>
    <cellStyle name="Note 4 9" xfId="356"/>
    <cellStyle name="Note 4 9 2" xfId="586"/>
    <cellStyle name="Note 4 9 2 2" xfId="914"/>
    <cellStyle name="Note 4 9 2 2 2" xfId="1572"/>
    <cellStyle name="Note 4 9 2 2 2 2" xfId="2885"/>
    <cellStyle name="Note 4 9 2 2 2 2 2" xfId="5509"/>
    <cellStyle name="Note 4 9 2 2 2 3" xfId="4199"/>
    <cellStyle name="Note 4 9 2 2 3" xfId="2231"/>
    <cellStyle name="Note 4 9 2 2 3 2" xfId="4855"/>
    <cellStyle name="Note 4 9 2 2 4" xfId="3545"/>
    <cellStyle name="Note 4 9 2 3" xfId="1258"/>
    <cellStyle name="Note 4 9 2 3 2" xfId="2572"/>
    <cellStyle name="Note 4 9 2 3 2 2" xfId="5196"/>
    <cellStyle name="Note 4 9 2 3 3" xfId="3886"/>
    <cellStyle name="Note 4 9 2 4" xfId="1918"/>
    <cellStyle name="Note 4 9 2 4 2" xfId="4542"/>
    <cellStyle name="Note 4 9 2 5" xfId="3232"/>
    <cellStyle name="Note 4 9 3" xfId="775"/>
    <cellStyle name="Note 4 9 3 2" xfId="1435"/>
    <cellStyle name="Note 4 9 3 2 2" xfId="2748"/>
    <cellStyle name="Note 4 9 3 2 2 2" xfId="5372"/>
    <cellStyle name="Note 4 9 3 2 3" xfId="4062"/>
    <cellStyle name="Note 4 9 3 3" xfId="2094"/>
    <cellStyle name="Note 4 9 3 3 2" xfId="4718"/>
    <cellStyle name="Note 4 9 3 4" xfId="3408"/>
    <cellStyle name="Note 4 9 4" xfId="1120"/>
    <cellStyle name="Note 4 9 4 2" xfId="2435"/>
    <cellStyle name="Note 4 9 4 2 2" xfId="5059"/>
    <cellStyle name="Note 4 9 4 3" xfId="3749"/>
    <cellStyle name="Note 4 9 5" xfId="1780"/>
    <cellStyle name="Note 4 9 5 2" xfId="4405"/>
    <cellStyle name="Note 4 9 6" xfId="3094"/>
    <cellStyle name="Note 5" xfId="357"/>
    <cellStyle name="Note 5 10" xfId="776"/>
    <cellStyle name="Note 5 10 2" xfId="1436"/>
    <cellStyle name="Note 5 10 2 2" xfId="2749"/>
    <cellStyle name="Note 5 10 2 2 2" xfId="5373"/>
    <cellStyle name="Note 5 10 2 3" xfId="4063"/>
    <cellStyle name="Note 5 10 3" xfId="2095"/>
    <cellStyle name="Note 5 10 3 2" xfId="4719"/>
    <cellStyle name="Note 5 10 4" xfId="3409"/>
    <cellStyle name="Note 5 11" xfId="1121"/>
    <cellStyle name="Note 5 11 2" xfId="2436"/>
    <cellStyle name="Note 5 11 2 2" xfId="5060"/>
    <cellStyle name="Note 5 11 3" xfId="3750"/>
    <cellStyle name="Note 5 12" xfId="1781"/>
    <cellStyle name="Note 5 12 2" xfId="4406"/>
    <cellStyle name="Note 5 13" xfId="3095"/>
    <cellStyle name="Note 5 2" xfId="358"/>
    <cellStyle name="Note 5 2 2" xfId="588"/>
    <cellStyle name="Note 5 2 2 2" xfId="916"/>
    <cellStyle name="Note 5 2 2 2 2" xfId="1574"/>
    <cellStyle name="Note 5 2 2 2 2 2" xfId="2887"/>
    <cellStyle name="Note 5 2 2 2 2 2 2" xfId="5511"/>
    <cellStyle name="Note 5 2 2 2 2 3" xfId="4201"/>
    <cellStyle name="Note 5 2 2 2 3" xfId="2233"/>
    <cellStyle name="Note 5 2 2 2 3 2" xfId="4857"/>
    <cellStyle name="Note 5 2 2 2 4" xfId="3547"/>
    <cellStyle name="Note 5 2 2 3" xfId="1260"/>
    <cellStyle name="Note 5 2 2 3 2" xfId="2574"/>
    <cellStyle name="Note 5 2 2 3 2 2" xfId="5198"/>
    <cellStyle name="Note 5 2 2 3 3" xfId="3888"/>
    <cellStyle name="Note 5 2 2 4" xfId="1920"/>
    <cellStyle name="Note 5 2 2 4 2" xfId="4544"/>
    <cellStyle name="Note 5 2 2 5" xfId="3234"/>
    <cellStyle name="Note 5 2 3" xfId="777"/>
    <cellStyle name="Note 5 2 3 2" xfId="1437"/>
    <cellStyle name="Note 5 2 3 2 2" xfId="2750"/>
    <cellStyle name="Note 5 2 3 2 2 2" xfId="5374"/>
    <cellStyle name="Note 5 2 3 2 3" xfId="4064"/>
    <cellStyle name="Note 5 2 3 3" xfId="2096"/>
    <cellStyle name="Note 5 2 3 3 2" xfId="4720"/>
    <cellStyle name="Note 5 2 3 4" xfId="3410"/>
    <cellStyle name="Note 5 2 4" xfId="1122"/>
    <cellStyle name="Note 5 2 4 2" xfId="2437"/>
    <cellStyle name="Note 5 2 4 2 2" xfId="5061"/>
    <cellStyle name="Note 5 2 4 3" xfId="3751"/>
    <cellStyle name="Note 5 2 5" xfId="1782"/>
    <cellStyle name="Note 5 2 5 2" xfId="4407"/>
    <cellStyle name="Note 5 2 6" xfId="3096"/>
    <cellStyle name="Note 5 3" xfId="359"/>
    <cellStyle name="Note 5 3 2" xfId="589"/>
    <cellStyle name="Note 5 3 2 2" xfId="917"/>
    <cellStyle name="Note 5 3 2 2 2" xfId="1575"/>
    <cellStyle name="Note 5 3 2 2 2 2" xfId="2888"/>
    <cellStyle name="Note 5 3 2 2 2 2 2" xfId="5512"/>
    <cellStyle name="Note 5 3 2 2 2 3" xfId="4202"/>
    <cellStyle name="Note 5 3 2 2 3" xfId="2234"/>
    <cellStyle name="Note 5 3 2 2 3 2" xfId="4858"/>
    <cellStyle name="Note 5 3 2 2 4" xfId="3548"/>
    <cellStyle name="Note 5 3 2 3" xfId="1261"/>
    <cellStyle name="Note 5 3 2 3 2" xfId="2575"/>
    <cellStyle name="Note 5 3 2 3 2 2" xfId="5199"/>
    <cellStyle name="Note 5 3 2 3 3" xfId="3889"/>
    <cellStyle name="Note 5 3 2 4" xfId="1921"/>
    <cellStyle name="Note 5 3 2 4 2" xfId="4545"/>
    <cellStyle name="Note 5 3 2 5" xfId="3235"/>
    <cellStyle name="Note 5 3 3" xfId="778"/>
    <cellStyle name="Note 5 3 3 2" xfId="1438"/>
    <cellStyle name="Note 5 3 3 2 2" xfId="2751"/>
    <cellStyle name="Note 5 3 3 2 2 2" xfId="5375"/>
    <cellStyle name="Note 5 3 3 2 3" xfId="4065"/>
    <cellStyle name="Note 5 3 3 3" xfId="2097"/>
    <cellStyle name="Note 5 3 3 3 2" xfId="4721"/>
    <cellStyle name="Note 5 3 3 4" xfId="3411"/>
    <cellStyle name="Note 5 3 4" xfId="1123"/>
    <cellStyle name="Note 5 3 4 2" xfId="2438"/>
    <cellStyle name="Note 5 3 4 2 2" xfId="5062"/>
    <cellStyle name="Note 5 3 4 3" xfId="3752"/>
    <cellStyle name="Note 5 3 5" xfId="1783"/>
    <cellStyle name="Note 5 3 5 2" xfId="4408"/>
    <cellStyle name="Note 5 3 6" xfId="3097"/>
    <cellStyle name="Note 5 4" xfId="360"/>
    <cellStyle name="Note 5 4 2" xfId="590"/>
    <cellStyle name="Note 5 4 2 2" xfId="918"/>
    <cellStyle name="Note 5 4 2 2 2" xfId="1576"/>
    <cellStyle name="Note 5 4 2 2 2 2" xfId="2889"/>
    <cellStyle name="Note 5 4 2 2 2 2 2" xfId="5513"/>
    <cellStyle name="Note 5 4 2 2 2 3" xfId="4203"/>
    <cellStyle name="Note 5 4 2 2 3" xfId="2235"/>
    <cellStyle name="Note 5 4 2 2 3 2" xfId="4859"/>
    <cellStyle name="Note 5 4 2 2 4" xfId="3549"/>
    <cellStyle name="Note 5 4 2 3" xfId="1262"/>
    <cellStyle name="Note 5 4 2 3 2" xfId="2576"/>
    <cellStyle name="Note 5 4 2 3 2 2" xfId="5200"/>
    <cellStyle name="Note 5 4 2 3 3" xfId="3890"/>
    <cellStyle name="Note 5 4 2 4" xfId="1922"/>
    <cellStyle name="Note 5 4 2 4 2" xfId="4546"/>
    <cellStyle name="Note 5 4 2 5" xfId="3236"/>
    <cellStyle name="Note 5 4 3" xfId="779"/>
    <cellStyle name="Note 5 4 3 2" xfId="1439"/>
    <cellStyle name="Note 5 4 3 2 2" xfId="2752"/>
    <cellStyle name="Note 5 4 3 2 2 2" xfId="5376"/>
    <cellStyle name="Note 5 4 3 2 3" xfId="4066"/>
    <cellStyle name="Note 5 4 3 3" xfId="2098"/>
    <cellStyle name="Note 5 4 3 3 2" xfId="4722"/>
    <cellStyle name="Note 5 4 3 4" xfId="3412"/>
    <cellStyle name="Note 5 4 4" xfId="1124"/>
    <cellStyle name="Note 5 4 4 2" xfId="2439"/>
    <cellStyle name="Note 5 4 4 2 2" xfId="5063"/>
    <cellStyle name="Note 5 4 4 3" xfId="3753"/>
    <cellStyle name="Note 5 4 5" xfId="1784"/>
    <cellStyle name="Note 5 4 5 2" xfId="4409"/>
    <cellStyle name="Note 5 4 6" xfId="3098"/>
    <cellStyle name="Note 5 5" xfId="361"/>
    <cellStyle name="Note 5 5 2" xfId="591"/>
    <cellStyle name="Note 5 5 2 2" xfId="919"/>
    <cellStyle name="Note 5 5 2 2 2" xfId="1577"/>
    <cellStyle name="Note 5 5 2 2 2 2" xfId="2890"/>
    <cellStyle name="Note 5 5 2 2 2 2 2" xfId="5514"/>
    <cellStyle name="Note 5 5 2 2 2 3" xfId="4204"/>
    <cellStyle name="Note 5 5 2 2 3" xfId="2236"/>
    <cellStyle name="Note 5 5 2 2 3 2" xfId="4860"/>
    <cellStyle name="Note 5 5 2 2 4" xfId="3550"/>
    <cellStyle name="Note 5 5 2 3" xfId="1263"/>
    <cellStyle name="Note 5 5 2 3 2" xfId="2577"/>
    <cellStyle name="Note 5 5 2 3 2 2" xfId="5201"/>
    <cellStyle name="Note 5 5 2 3 3" xfId="3891"/>
    <cellStyle name="Note 5 5 2 4" xfId="1923"/>
    <cellStyle name="Note 5 5 2 4 2" xfId="4547"/>
    <cellStyle name="Note 5 5 2 5" xfId="3237"/>
    <cellStyle name="Note 5 5 3" xfId="780"/>
    <cellStyle name="Note 5 5 3 2" xfId="1440"/>
    <cellStyle name="Note 5 5 3 2 2" xfId="2753"/>
    <cellStyle name="Note 5 5 3 2 2 2" xfId="5377"/>
    <cellStyle name="Note 5 5 3 2 3" xfId="4067"/>
    <cellStyle name="Note 5 5 3 3" xfId="2099"/>
    <cellStyle name="Note 5 5 3 3 2" xfId="4723"/>
    <cellStyle name="Note 5 5 3 4" xfId="3413"/>
    <cellStyle name="Note 5 5 4" xfId="1125"/>
    <cellStyle name="Note 5 5 4 2" xfId="2440"/>
    <cellStyle name="Note 5 5 4 2 2" xfId="5064"/>
    <cellStyle name="Note 5 5 4 3" xfId="3754"/>
    <cellStyle name="Note 5 5 5" xfId="1785"/>
    <cellStyle name="Note 5 5 5 2" xfId="4410"/>
    <cellStyle name="Note 5 5 6" xfId="3099"/>
    <cellStyle name="Note 5 6" xfId="362"/>
    <cellStyle name="Note 5 6 2" xfId="592"/>
    <cellStyle name="Note 5 6 2 2" xfId="920"/>
    <cellStyle name="Note 5 6 2 2 2" xfId="1578"/>
    <cellStyle name="Note 5 6 2 2 2 2" xfId="2891"/>
    <cellStyle name="Note 5 6 2 2 2 2 2" xfId="5515"/>
    <cellStyle name="Note 5 6 2 2 2 3" xfId="4205"/>
    <cellStyle name="Note 5 6 2 2 3" xfId="2237"/>
    <cellStyle name="Note 5 6 2 2 3 2" xfId="4861"/>
    <cellStyle name="Note 5 6 2 2 4" xfId="3551"/>
    <cellStyle name="Note 5 6 2 3" xfId="1264"/>
    <cellStyle name="Note 5 6 2 3 2" xfId="2578"/>
    <cellStyle name="Note 5 6 2 3 2 2" xfId="5202"/>
    <cellStyle name="Note 5 6 2 3 3" xfId="3892"/>
    <cellStyle name="Note 5 6 2 4" xfId="1924"/>
    <cellStyle name="Note 5 6 2 4 2" xfId="4548"/>
    <cellStyle name="Note 5 6 2 5" xfId="3238"/>
    <cellStyle name="Note 5 6 3" xfId="781"/>
    <cellStyle name="Note 5 6 3 2" xfId="1441"/>
    <cellStyle name="Note 5 6 3 2 2" xfId="2754"/>
    <cellStyle name="Note 5 6 3 2 2 2" xfId="5378"/>
    <cellStyle name="Note 5 6 3 2 3" xfId="4068"/>
    <cellStyle name="Note 5 6 3 3" xfId="2100"/>
    <cellStyle name="Note 5 6 3 3 2" xfId="4724"/>
    <cellStyle name="Note 5 6 3 4" xfId="3414"/>
    <cellStyle name="Note 5 6 4" xfId="1126"/>
    <cellStyle name="Note 5 6 4 2" xfId="2441"/>
    <cellStyle name="Note 5 6 4 2 2" xfId="5065"/>
    <cellStyle name="Note 5 6 4 3" xfId="3755"/>
    <cellStyle name="Note 5 6 5" xfId="1786"/>
    <cellStyle name="Note 5 6 5 2" xfId="4411"/>
    <cellStyle name="Note 5 6 6" xfId="3100"/>
    <cellStyle name="Note 5 7" xfId="363"/>
    <cellStyle name="Note 5 7 2" xfId="593"/>
    <cellStyle name="Note 5 7 2 2" xfId="921"/>
    <cellStyle name="Note 5 7 2 2 2" xfId="1579"/>
    <cellStyle name="Note 5 7 2 2 2 2" xfId="2892"/>
    <cellStyle name="Note 5 7 2 2 2 2 2" xfId="5516"/>
    <cellStyle name="Note 5 7 2 2 2 3" xfId="4206"/>
    <cellStyle name="Note 5 7 2 2 3" xfId="2238"/>
    <cellStyle name="Note 5 7 2 2 3 2" xfId="4862"/>
    <cellStyle name="Note 5 7 2 2 4" xfId="3552"/>
    <cellStyle name="Note 5 7 2 3" xfId="1265"/>
    <cellStyle name="Note 5 7 2 3 2" xfId="2579"/>
    <cellStyle name="Note 5 7 2 3 2 2" xfId="5203"/>
    <cellStyle name="Note 5 7 2 3 3" xfId="3893"/>
    <cellStyle name="Note 5 7 2 4" xfId="1925"/>
    <cellStyle name="Note 5 7 2 4 2" xfId="4549"/>
    <cellStyle name="Note 5 7 2 5" xfId="3239"/>
    <cellStyle name="Note 5 7 3" xfId="782"/>
    <cellStyle name="Note 5 7 3 2" xfId="1442"/>
    <cellStyle name="Note 5 7 3 2 2" xfId="2755"/>
    <cellStyle name="Note 5 7 3 2 2 2" xfId="5379"/>
    <cellStyle name="Note 5 7 3 2 3" xfId="4069"/>
    <cellStyle name="Note 5 7 3 3" xfId="2101"/>
    <cellStyle name="Note 5 7 3 3 2" xfId="4725"/>
    <cellStyle name="Note 5 7 3 4" xfId="3415"/>
    <cellStyle name="Note 5 7 4" xfId="1127"/>
    <cellStyle name="Note 5 7 4 2" xfId="2442"/>
    <cellStyle name="Note 5 7 4 2 2" xfId="5066"/>
    <cellStyle name="Note 5 7 4 3" xfId="3756"/>
    <cellStyle name="Note 5 7 5" xfId="1787"/>
    <cellStyle name="Note 5 7 5 2" xfId="4412"/>
    <cellStyle name="Note 5 7 6" xfId="3101"/>
    <cellStyle name="Note 5 8" xfId="364"/>
    <cellStyle name="Note 5 8 2" xfId="594"/>
    <cellStyle name="Note 5 8 2 2" xfId="922"/>
    <cellStyle name="Note 5 8 2 2 2" xfId="1580"/>
    <cellStyle name="Note 5 8 2 2 2 2" xfId="2893"/>
    <cellStyle name="Note 5 8 2 2 2 2 2" xfId="5517"/>
    <cellStyle name="Note 5 8 2 2 2 3" xfId="4207"/>
    <cellStyle name="Note 5 8 2 2 3" xfId="2239"/>
    <cellStyle name="Note 5 8 2 2 3 2" xfId="4863"/>
    <cellStyle name="Note 5 8 2 2 4" xfId="3553"/>
    <cellStyle name="Note 5 8 2 3" xfId="1266"/>
    <cellStyle name="Note 5 8 2 3 2" xfId="2580"/>
    <cellStyle name="Note 5 8 2 3 2 2" xfId="5204"/>
    <cellStyle name="Note 5 8 2 3 3" xfId="3894"/>
    <cellStyle name="Note 5 8 2 4" xfId="1926"/>
    <cellStyle name="Note 5 8 2 4 2" xfId="4550"/>
    <cellStyle name="Note 5 8 2 5" xfId="3240"/>
    <cellStyle name="Note 5 8 3" xfId="783"/>
    <cellStyle name="Note 5 8 3 2" xfId="1443"/>
    <cellStyle name="Note 5 8 3 2 2" xfId="2756"/>
    <cellStyle name="Note 5 8 3 2 2 2" xfId="5380"/>
    <cellStyle name="Note 5 8 3 2 3" xfId="4070"/>
    <cellStyle name="Note 5 8 3 3" xfId="2102"/>
    <cellStyle name="Note 5 8 3 3 2" xfId="4726"/>
    <cellStyle name="Note 5 8 3 4" xfId="3416"/>
    <cellStyle name="Note 5 8 4" xfId="1128"/>
    <cellStyle name="Note 5 8 4 2" xfId="2443"/>
    <cellStyle name="Note 5 8 4 2 2" xfId="5067"/>
    <cellStyle name="Note 5 8 4 3" xfId="3757"/>
    <cellStyle name="Note 5 8 5" xfId="1788"/>
    <cellStyle name="Note 5 8 5 2" xfId="4413"/>
    <cellStyle name="Note 5 8 6" xfId="3102"/>
    <cellStyle name="Note 5 9" xfId="587"/>
    <cellStyle name="Note 5 9 2" xfId="915"/>
    <cellStyle name="Note 5 9 2 2" xfId="1573"/>
    <cellStyle name="Note 5 9 2 2 2" xfId="2886"/>
    <cellStyle name="Note 5 9 2 2 2 2" xfId="5510"/>
    <cellStyle name="Note 5 9 2 2 3" xfId="4200"/>
    <cellStyle name="Note 5 9 2 3" xfId="2232"/>
    <cellStyle name="Note 5 9 2 3 2" xfId="4856"/>
    <cellStyle name="Note 5 9 2 4" xfId="3546"/>
    <cellStyle name="Note 5 9 3" xfId="1259"/>
    <cellStyle name="Note 5 9 3 2" xfId="2573"/>
    <cellStyle name="Note 5 9 3 2 2" xfId="5197"/>
    <cellStyle name="Note 5 9 3 3" xfId="3887"/>
    <cellStyle name="Note 5 9 4" xfId="1919"/>
    <cellStyle name="Note 5 9 4 2" xfId="4543"/>
    <cellStyle name="Note 5 9 5" xfId="3233"/>
    <cellStyle name="Note 6" xfId="365"/>
    <cellStyle name="Note 6 10" xfId="784"/>
    <cellStyle name="Note 6 10 2" xfId="1444"/>
    <cellStyle name="Note 6 10 2 2" xfId="2757"/>
    <cellStyle name="Note 6 10 2 2 2" xfId="5381"/>
    <cellStyle name="Note 6 10 2 3" xfId="4071"/>
    <cellStyle name="Note 6 10 3" xfId="2103"/>
    <cellStyle name="Note 6 10 3 2" xfId="4727"/>
    <cellStyle name="Note 6 10 4" xfId="3417"/>
    <cellStyle name="Note 6 11" xfId="1129"/>
    <cellStyle name="Note 6 11 2" xfId="2444"/>
    <cellStyle name="Note 6 11 2 2" xfId="5068"/>
    <cellStyle name="Note 6 11 3" xfId="3758"/>
    <cellStyle name="Note 6 12" xfId="1789"/>
    <cellStyle name="Note 6 12 2" xfId="4414"/>
    <cellStyle name="Note 6 13" xfId="3103"/>
    <cellStyle name="Note 6 2" xfId="366"/>
    <cellStyle name="Note 6 2 2" xfId="596"/>
    <cellStyle name="Note 6 2 2 2" xfId="924"/>
    <cellStyle name="Note 6 2 2 2 2" xfId="1582"/>
    <cellStyle name="Note 6 2 2 2 2 2" xfId="2895"/>
    <cellStyle name="Note 6 2 2 2 2 2 2" xfId="5519"/>
    <cellStyle name="Note 6 2 2 2 2 3" xfId="4209"/>
    <cellStyle name="Note 6 2 2 2 3" xfId="2241"/>
    <cellStyle name="Note 6 2 2 2 3 2" xfId="4865"/>
    <cellStyle name="Note 6 2 2 2 4" xfId="3555"/>
    <cellStyle name="Note 6 2 2 3" xfId="1268"/>
    <cellStyle name="Note 6 2 2 3 2" xfId="2582"/>
    <cellStyle name="Note 6 2 2 3 2 2" xfId="5206"/>
    <cellStyle name="Note 6 2 2 3 3" xfId="3896"/>
    <cellStyle name="Note 6 2 2 4" xfId="1928"/>
    <cellStyle name="Note 6 2 2 4 2" xfId="4552"/>
    <cellStyle name="Note 6 2 2 5" xfId="3242"/>
    <cellStyle name="Note 6 2 3" xfId="785"/>
    <cellStyle name="Note 6 2 3 2" xfId="1445"/>
    <cellStyle name="Note 6 2 3 2 2" xfId="2758"/>
    <cellStyle name="Note 6 2 3 2 2 2" xfId="5382"/>
    <cellStyle name="Note 6 2 3 2 3" xfId="4072"/>
    <cellStyle name="Note 6 2 3 3" xfId="2104"/>
    <cellStyle name="Note 6 2 3 3 2" xfId="4728"/>
    <cellStyle name="Note 6 2 3 4" xfId="3418"/>
    <cellStyle name="Note 6 2 4" xfId="1130"/>
    <cellStyle name="Note 6 2 4 2" xfId="2445"/>
    <cellStyle name="Note 6 2 4 2 2" xfId="5069"/>
    <cellStyle name="Note 6 2 4 3" xfId="3759"/>
    <cellStyle name="Note 6 2 5" xfId="1790"/>
    <cellStyle name="Note 6 2 5 2" xfId="4415"/>
    <cellStyle name="Note 6 2 6" xfId="3104"/>
    <cellStyle name="Note 6 3" xfId="367"/>
    <cellStyle name="Note 6 3 2" xfId="597"/>
    <cellStyle name="Note 6 3 2 2" xfId="925"/>
    <cellStyle name="Note 6 3 2 2 2" xfId="1583"/>
    <cellStyle name="Note 6 3 2 2 2 2" xfId="2896"/>
    <cellStyle name="Note 6 3 2 2 2 2 2" xfId="5520"/>
    <cellStyle name="Note 6 3 2 2 2 3" xfId="4210"/>
    <cellStyle name="Note 6 3 2 2 3" xfId="2242"/>
    <cellStyle name="Note 6 3 2 2 3 2" xfId="4866"/>
    <cellStyle name="Note 6 3 2 2 4" xfId="3556"/>
    <cellStyle name="Note 6 3 2 3" xfId="1269"/>
    <cellStyle name="Note 6 3 2 3 2" xfId="2583"/>
    <cellStyle name="Note 6 3 2 3 2 2" xfId="5207"/>
    <cellStyle name="Note 6 3 2 3 3" xfId="3897"/>
    <cellStyle name="Note 6 3 2 4" xfId="1929"/>
    <cellStyle name="Note 6 3 2 4 2" xfId="4553"/>
    <cellStyle name="Note 6 3 2 5" xfId="3243"/>
    <cellStyle name="Note 6 3 3" xfId="786"/>
    <cellStyle name="Note 6 3 3 2" xfId="1446"/>
    <cellStyle name="Note 6 3 3 2 2" xfId="2759"/>
    <cellStyle name="Note 6 3 3 2 2 2" xfId="5383"/>
    <cellStyle name="Note 6 3 3 2 3" xfId="4073"/>
    <cellStyle name="Note 6 3 3 3" xfId="2105"/>
    <cellStyle name="Note 6 3 3 3 2" xfId="4729"/>
    <cellStyle name="Note 6 3 3 4" xfId="3419"/>
    <cellStyle name="Note 6 3 4" xfId="1131"/>
    <cellStyle name="Note 6 3 4 2" xfId="2446"/>
    <cellStyle name="Note 6 3 4 2 2" xfId="5070"/>
    <cellStyle name="Note 6 3 4 3" xfId="3760"/>
    <cellStyle name="Note 6 3 5" xfId="1791"/>
    <cellStyle name="Note 6 3 5 2" xfId="4416"/>
    <cellStyle name="Note 6 3 6" xfId="3105"/>
    <cellStyle name="Note 6 4" xfId="368"/>
    <cellStyle name="Note 6 4 2" xfId="598"/>
    <cellStyle name="Note 6 4 2 2" xfId="926"/>
    <cellStyle name="Note 6 4 2 2 2" xfId="1584"/>
    <cellStyle name="Note 6 4 2 2 2 2" xfId="2897"/>
    <cellStyle name="Note 6 4 2 2 2 2 2" xfId="5521"/>
    <cellStyle name="Note 6 4 2 2 2 3" xfId="4211"/>
    <cellStyle name="Note 6 4 2 2 3" xfId="2243"/>
    <cellStyle name="Note 6 4 2 2 3 2" xfId="4867"/>
    <cellStyle name="Note 6 4 2 2 4" xfId="3557"/>
    <cellStyle name="Note 6 4 2 3" xfId="1270"/>
    <cellStyle name="Note 6 4 2 3 2" xfId="2584"/>
    <cellStyle name="Note 6 4 2 3 2 2" xfId="5208"/>
    <cellStyle name="Note 6 4 2 3 3" xfId="3898"/>
    <cellStyle name="Note 6 4 2 4" xfId="1930"/>
    <cellStyle name="Note 6 4 2 4 2" xfId="4554"/>
    <cellStyle name="Note 6 4 2 5" xfId="3244"/>
    <cellStyle name="Note 6 4 3" xfId="787"/>
    <cellStyle name="Note 6 4 3 2" xfId="1447"/>
    <cellStyle name="Note 6 4 3 2 2" xfId="2760"/>
    <cellStyle name="Note 6 4 3 2 2 2" xfId="5384"/>
    <cellStyle name="Note 6 4 3 2 3" xfId="4074"/>
    <cellStyle name="Note 6 4 3 3" xfId="2106"/>
    <cellStyle name="Note 6 4 3 3 2" xfId="4730"/>
    <cellStyle name="Note 6 4 3 4" xfId="3420"/>
    <cellStyle name="Note 6 4 4" xfId="1132"/>
    <cellStyle name="Note 6 4 4 2" xfId="2447"/>
    <cellStyle name="Note 6 4 4 2 2" xfId="5071"/>
    <cellStyle name="Note 6 4 4 3" xfId="3761"/>
    <cellStyle name="Note 6 4 5" xfId="1792"/>
    <cellStyle name="Note 6 4 5 2" xfId="4417"/>
    <cellStyle name="Note 6 4 6" xfId="3106"/>
    <cellStyle name="Note 6 5" xfId="369"/>
    <cellStyle name="Note 6 5 2" xfId="599"/>
    <cellStyle name="Note 6 5 2 2" xfId="927"/>
    <cellStyle name="Note 6 5 2 2 2" xfId="1585"/>
    <cellStyle name="Note 6 5 2 2 2 2" xfId="2898"/>
    <cellStyle name="Note 6 5 2 2 2 2 2" xfId="5522"/>
    <cellStyle name="Note 6 5 2 2 2 3" xfId="4212"/>
    <cellStyle name="Note 6 5 2 2 3" xfId="2244"/>
    <cellStyle name="Note 6 5 2 2 3 2" xfId="4868"/>
    <cellStyle name="Note 6 5 2 2 4" xfId="3558"/>
    <cellStyle name="Note 6 5 2 3" xfId="1271"/>
    <cellStyle name="Note 6 5 2 3 2" xfId="2585"/>
    <cellStyle name="Note 6 5 2 3 2 2" xfId="5209"/>
    <cellStyle name="Note 6 5 2 3 3" xfId="3899"/>
    <cellStyle name="Note 6 5 2 4" xfId="1931"/>
    <cellStyle name="Note 6 5 2 4 2" xfId="4555"/>
    <cellStyle name="Note 6 5 2 5" xfId="3245"/>
    <cellStyle name="Note 6 5 3" xfId="788"/>
    <cellStyle name="Note 6 5 3 2" xfId="1448"/>
    <cellStyle name="Note 6 5 3 2 2" xfId="2761"/>
    <cellStyle name="Note 6 5 3 2 2 2" xfId="5385"/>
    <cellStyle name="Note 6 5 3 2 3" xfId="4075"/>
    <cellStyle name="Note 6 5 3 3" xfId="2107"/>
    <cellStyle name="Note 6 5 3 3 2" xfId="4731"/>
    <cellStyle name="Note 6 5 3 4" xfId="3421"/>
    <cellStyle name="Note 6 5 4" xfId="1133"/>
    <cellStyle name="Note 6 5 4 2" xfId="2448"/>
    <cellStyle name="Note 6 5 4 2 2" xfId="5072"/>
    <cellStyle name="Note 6 5 4 3" xfId="3762"/>
    <cellStyle name="Note 6 5 5" xfId="1793"/>
    <cellStyle name="Note 6 5 5 2" xfId="4418"/>
    <cellStyle name="Note 6 5 6" xfId="3107"/>
    <cellStyle name="Note 6 6" xfId="370"/>
    <cellStyle name="Note 6 6 2" xfId="600"/>
    <cellStyle name="Note 6 6 2 2" xfId="928"/>
    <cellStyle name="Note 6 6 2 2 2" xfId="1586"/>
    <cellStyle name="Note 6 6 2 2 2 2" xfId="2899"/>
    <cellStyle name="Note 6 6 2 2 2 2 2" xfId="5523"/>
    <cellStyle name="Note 6 6 2 2 2 3" xfId="4213"/>
    <cellStyle name="Note 6 6 2 2 3" xfId="2245"/>
    <cellStyle name="Note 6 6 2 2 3 2" xfId="4869"/>
    <cellStyle name="Note 6 6 2 2 4" xfId="3559"/>
    <cellStyle name="Note 6 6 2 3" xfId="1272"/>
    <cellStyle name="Note 6 6 2 3 2" xfId="2586"/>
    <cellStyle name="Note 6 6 2 3 2 2" xfId="5210"/>
    <cellStyle name="Note 6 6 2 3 3" xfId="3900"/>
    <cellStyle name="Note 6 6 2 4" xfId="1932"/>
    <cellStyle name="Note 6 6 2 4 2" xfId="4556"/>
    <cellStyle name="Note 6 6 2 5" xfId="3246"/>
    <cellStyle name="Note 6 6 3" xfId="789"/>
    <cellStyle name="Note 6 6 3 2" xfId="1449"/>
    <cellStyle name="Note 6 6 3 2 2" xfId="2762"/>
    <cellStyle name="Note 6 6 3 2 2 2" xfId="5386"/>
    <cellStyle name="Note 6 6 3 2 3" xfId="4076"/>
    <cellStyle name="Note 6 6 3 3" xfId="2108"/>
    <cellStyle name="Note 6 6 3 3 2" xfId="4732"/>
    <cellStyle name="Note 6 6 3 4" xfId="3422"/>
    <cellStyle name="Note 6 6 4" xfId="1134"/>
    <cellStyle name="Note 6 6 4 2" xfId="2449"/>
    <cellStyle name="Note 6 6 4 2 2" xfId="5073"/>
    <cellStyle name="Note 6 6 4 3" xfId="3763"/>
    <cellStyle name="Note 6 6 5" xfId="1794"/>
    <cellStyle name="Note 6 6 5 2" xfId="4419"/>
    <cellStyle name="Note 6 6 6" xfId="3108"/>
    <cellStyle name="Note 6 7" xfId="371"/>
    <cellStyle name="Note 6 7 2" xfId="601"/>
    <cellStyle name="Note 6 7 2 2" xfId="929"/>
    <cellStyle name="Note 6 7 2 2 2" xfId="1587"/>
    <cellStyle name="Note 6 7 2 2 2 2" xfId="2900"/>
    <cellStyle name="Note 6 7 2 2 2 2 2" xfId="5524"/>
    <cellStyle name="Note 6 7 2 2 2 3" xfId="4214"/>
    <cellStyle name="Note 6 7 2 2 3" xfId="2246"/>
    <cellStyle name="Note 6 7 2 2 3 2" xfId="4870"/>
    <cellStyle name="Note 6 7 2 2 4" xfId="3560"/>
    <cellStyle name="Note 6 7 2 3" xfId="1273"/>
    <cellStyle name="Note 6 7 2 3 2" xfId="2587"/>
    <cellStyle name="Note 6 7 2 3 2 2" xfId="5211"/>
    <cellStyle name="Note 6 7 2 3 3" xfId="3901"/>
    <cellStyle name="Note 6 7 2 4" xfId="1933"/>
    <cellStyle name="Note 6 7 2 4 2" xfId="4557"/>
    <cellStyle name="Note 6 7 2 5" xfId="3247"/>
    <cellStyle name="Note 6 7 3" xfId="790"/>
    <cellStyle name="Note 6 7 3 2" xfId="1450"/>
    <cellStyle name="Note 6 7 3 2 2" xfId="2763"/>
    <cellStyle name="Note 6 7 3 2 2 2" xfId="5387"/>
    <cellStyle name="Note 6 7 3 2 3" xfId="4077"/>
    <cellStyle name="Note 6 7 3 3" xfId="2109"/>
    <cellStyle name="Note 6 7 3 3 2" xfId="4733"/>
    <cellStyle name="Note 6 7 3 4" xfId="3423"/>
    <cellStyle name="Note 6 7 4" xfId="1135"/>
    <cellStyle name="Note 6 7 4 2" xfId="2450"/>
    <cellStyle name="Note 6 7 4 2 2" xfId="5074"/>
    <cellStyle name="Note 6 7 4 3" xfId="3764"/>
    <cellStyle name="Note 6 7 5" xfId="1795"/>
    <cellStyle name="Note 6 7 5 2" xfId="4420"/>
    <cellStyle name="Note 6 7 6" xfId="3109"/>
    <cellStyle name="Note 6 8" xfId="372"/>
    <cellStyle name="Note 6 8 2" xfId="602"/>
    <cellStyle name="Note 6 8 2 2" xfId="930"/>
    <cellStyle name="Note 6 8 2 2 2" xfId="1588"/>
    <cellStyle name="Note 6 8 2 2 2 2" xfId="2901"/>
    <cellStyle name="Note 6 8 2 2 2 2 2" xfId="5525"/>
    <cellStyle name="Note 6 8 2 2 2 3" xfId="4215"/>
    <cellStyle name="Note 6 8 2 2 3" xfId="2247"/>
    <cellStyle name="Note 6 8 2 2 3 2" xfId="4871"/>
    <cellStyle name="Note 6 8 2 2 4" xfId="3561"/>
    <cellStyle name="Note 6 8 2 3" xfId="1274"/>
    <cellStyle name="Note 6 8 2 3 2" xfId="2588"/>
    <cellStyle name="Note 6 8 2 3 2 2" xfId="5212"/>
    <cellStyle name="Note 6 8 2 3 3" xfId="3902"/>
    <cellStyle name="Note 6 8 2 4" xfId="1934"/>
    <cellStyle name="Note 6 8 2 4 2" xfId="4558"/>
    <cellStyle name="Note 6 8 2 5" xfId="3248"/>
    <cellStyle name="Note 6 8 3" xfId="791"/>
    <cellStyle name="Note 6 8 3 2" xfId="1451"/>
    <cellStyle name="Note 6 8 3 2 2" xfId="2764"/>
    <cellStyle name="Note 6 8 3 2 2 2" xfId="5388"/>
    <cellStyle name="Note 6 8 3 2 3" xfId="4078"/>
    <cellStyle name="Note 6 8 3 3" xfId="2110"/>
    <cellStyle name="Note 6 8 3 3 2" xfId="4734"/>
    <cellStyle name="Note 6 8 3 4" xfId="3424"/>
    <cellStyle name="Note 6 8 4" xfId="1136"/>
    <cellStyle name="Note 6 8 4 2" xfId="2451"/>
    <cellStyle name="Note 6 8 4 2 2" xfId="5075"/>
    <cellStyle name="Note 6 8 4 3" xfId="3765"/>
    <cellStyle name="Note 6 8 5" xfId="1796"/>
    <cellStyle name="Note 6 8 5 2" xfId="4421"/>
    <cellStyle name="Note 6 8 6" xfId="3110"/>
    <cellStyle name="Note 6 9" xfId="595"/>
    <cellStyle name="Note 6 9 2" xfId="923"/>
    <cellStyle name="Note 6 9 2 2" xfId="1581"/>
    <cellStyle name="Note 6 9 2 2 2" xfId="2894"/>
    <cellStyle name="Note 6 9 2 2 2 2" xfId="5518"/>
    <cellStyle name="Note 6 9 2 2 3" xfId="4208"/>
    <cellStyle name="Note 6 9 2 3" xfId="2240"/>
    <cellStyle name="Note 6 9 2 3 2" xfId="4864"/>
    <cellStyle name="Note 6 9 2 4" xfId="3554"/>
    <cellStyle name="Note 6 9 3" xfId="1267"/>
    <cellStyle name="Note 6 9 3 2" xfId="2581"/>
    <cellStyle name="Note 6 9 3 2 2" xfId="5205"/>
    <cellStyle name="Note 6 9 3 3" xfId="3895"/>
    <cellStyle name="Note 6 9 4" xfId="1927"/>
    <cellStyle name="Note 6 9 4 2" xfId="4551"/>
    <cellStyle name="Note 6 9 5" xfId="3241"/>
    <cellStyle name="Note 7" xfId="373"/>
    <cellStyle name="Note 7 10" xfId="792"/>
    <cellStyle name="Note 7 10 2" xfId="1452"/>
    <cellStyle name="Note 7 10 2 2" xfId="2765"/>
    <cellStyle name="Note 7 10 2 2 2" xfId="5389"/>
    <cellStyle name="Note 7 10 2 3" xfId="4079"/>
    <cellStyle name="Note 7 10 3" xfId="2111"/>
    <cellStyle name="Note 7 10 3 2" xfId="4735"/>
    <cellStyle name="Note 7 10 4" xfId="3425"/>
    <cellStyle name="Note 7 11" xfId="1137"/>
    <cellStyle name="Note 7 11 2" xfId="2452"/>
    <cellStyle name="Note 7 11 2 2" xfId="5076"/>
    <cellStyle name="Note 7 11 3" xfId="3766"/>
    <cellStyle name="Note 7 12" xfId="1797"/>
    <cellStyle name="Note 7 12 2" xfId="4422"/>
    <cellStyle name="Note 7 13" xfId="3111"/>
    <cellStyle name="Note 7 2" xfId="374"/>
    <cellStyle name="Note 7 2 2" xfId="604"/>
    <cellStyle name="Note 7 2 2 2" xfId="932"/>
    <cellStyle name="Note 7 2 2 2 2" xfId="1590"/>
    <cellStyle name="Note 7 2 2 2 2 2" xfId="2903"/>
    <cellStyle name="Note 7 2 2 2 2 2 2" xfId="5527"/>
    <cellStyle name="Note 7 2 2 2 2 3" xfId="4217"/>
    <cellStyle name="Note 7 2 2 2 3" xfId="2249"/>
    <cellStyle name="Note 7 2 2 2 3 2" xfId="4873"/>
    <cellStyle name="Note 7 2 2 2 4" xfId="3563"/>
    <cellStyle name="Note 7 2 2 3" xfId="1276"/>
    <cellStyle name="Note 7 2 2 3 2" xfId="2590"/>
    <cellStyle name="Note 7 2 2 3 2 2" xfId="5214"/>
    <cellStyle name="Note 7 2 2 3 3" xfId="3904"/>
    <cellStyle name="Note 7 2 2 4" xfId="1936"/>
    <cellStyle name="Note 7 2 2 4 2" xfId="4560"/>
    <cellStyle name="Note 7 2 2 5" xfId="3250"/>
    <cellStyle name="Note 7 2 3" xfId="793"/>
    <cellStyle name="Note 7 2 3 2" xfId="1453"/>
    <cellStyle name="Note 7 2 3 2 2" xfId="2766"/>
    <cellStyle name="Note 7 2 3 2 2 2" xfId="5390"/>
    <cellStyle name="Note 7 2 3 2 3" xfId="4080"/>
    <cellStyle name="Note 7 2 3 3" xfId="2112"/>
    <cellStyle name="Note 7 2 3 3 2" xfId="4736"/>
    <cellStyle name="Note 7 2 3 4" xfId="3426"/>
    <cellStyle name="Note 7 2 4" xfId="1138"/>
    <cellStyle name="Note 7 2 4 2" xfId="2453"/>
    <cellStyle name="Note 7 2 4 2 2" xfId="5077"/>
    <cellStyle name="Note 7 2 4 3" xfId="3767"/>
    <cellStyle name="Note 7 2 5" xfId="1798"/>
    <cellStyle name="Note 7 2 5 2" xfId="4423"/>
    <cellStyle name="Note 7 2 6" xfId="3112"/>
    <cellStyle name="Note 7 3" xfId="375"/>
    <cellStyle name="Note 7 3 2" xfId="605"/>
    <cellStyle name="Note 7 3 2 2" xfId="933"/>
    <cellStyle name="Note 7 3 2 2 2" xfId="1591"/>
    <cellStyle name="Note 7 3 2 2 2 2" xfId="2904"/>
    <cellStyle name="Note 7 3 2 2 2 2 2" xfId="5528"/>
    <cellStyle name="Note 7 3 2 2 2 3" xfId="4218"/>
    <cellStyle name="Note 7 3 2 2 3" xfId="2250"/>
    <cellStyle name="Note 7 3 2 2 3 2" xfId="4874"/>
    <cellStyle name="Note 7 3 2 2 4" xfId="3564"/>
    <cellStyle name="Note 7 3 2 3" xfId="1277"/>
    <cellStyle name="Note 7 3 2 3 2" xfId="2591"/>
    <cellStyle name="Note 7 3 2 3 2 2" xfId="5215"/>
    <cellStyle name="Note 7 3 2 3 3" xfId="3905"/>
    <cellStyle name="Note 7 3 2 4" xfId="1937"/>
    <cellStyle name="Note 7 3 2 4 2" xfId="4561"/>
    <cellStyle name="Note 7 3 2 5" xfId="3251"/>
    <cellStyle name="Note 7 3 3" xfId="794"/>
    <cellStyle name="Note 7 3 3 2" xfId="1454"/>
    <cellStyle name="Note 7 3 3 2 2" xfId="2767"/>
    <cellStyle name="Note 7 3 3 2 2 2" xfId="5391"/>
    <cellStyle name="Note 7 3 3 2 3" xfId="4081"/>
    <cellStyle name="Note 7 3 3 3" xfId="2113"/>
    <cellStyle name="Note 7 3 3 3 2" xfId="4737"/>
    <cellStyle name="Note 7 3 3 4" xfId="3427"/>
    <cellStyle name="Note 7 3 4" xfId="1139"/>
    <cellStyle name="Note 7 3 4 2" xfId="2454"/>
    <cellStyle name="Note 7 3 4 2 2" xfId="5078"/>
    <cellStyle name="Note 7 3 4 3" xfId="3768"/>
    <cellStyle name="Note 7 3 5" xfId="1799"/>
    <cellStyle name="Note 7 3 5 2" xfId="4424"/>
    <cellStyle name="Note 7 3 6" xfId="3113"/>
    <cellStyle name="Note 7 4" xfId="376"/>
    <cellStyle name="Note 7 4 2" xfId="606"/>
    <cellStyle name="Note 7 4 2 2" xfId="934"/>
    <cellStyle name="Note 7 4 2 2 2" xfId="1592"/>
    <cellStyle name="Note 7 4 2 2 2 2" xfId="2905"/>
    <cellStyle name="Note 7 4 2 2 2 2 2" xfId="5529"/>
    <cellStyle name="Note 7 4 2 2 2 3" xfId="4219"/>
    <cellStyle name="Note 7 4 2 2 3" xfId="2251"/>
    <cellStyle name="Note 7 4 2 2 3 2" xfId="4875"/>
    <cellStyle name="Note 7 4 2 2 4" xfId="3565"/>
    <cellStyle name="Note 7 4 2 3" xfId="1278"/>
    <cellStyle name="Note 7 4 2 3 2" xfId="2592"/>
    <cellStyle name="Note 7 4 2 3 2 2" xfId="5216"/>
    <cellStyle name="Note 7 4 2 3 3" xfId="3906"/>
    <cellStyle name="Note 7 4 2 4" xfId="1938"/>
    <cellStyle name="Note 7 4 2 4 2" xfId="4562"/>
    <cellStyle name="Note 7 4 2 5" xfId="3252"/>
    <cellStyle name="Note 7 4 3" xfId="795"/>
    <cellStyle name="Note 7 4 3 2" xfId="1455"/>
    <cellStyle name="Note 7 4 3 2 2" xfId="2768"/>
    <cellStyle name="Note 7 4 3 2 2 2" xfId="5392"/>
    <cellStyle name="Note 7 4 3 2 3" xfId="4082"/>
    <cellStyle name="Note 7 4 3 3" xfId="2114"/>
    <cellStyle name="Note 7 4 3 3 2" xfId="4738"/>
    <cellStyle name="Note 7 4 3 4" xfId="3428"/>
    <cellStyle name="Note 7 4 4" xfId="1140"/>
    <cellStyle name="Note 7 4 4 2" xfId="2455"/>
    <cellStyle name="Note 7 4 4 2 2" xfId="5079"/>
    <cellStyle name="Note 7 4 4 3" xfId="3769"/>
    <cellStyle name="Note 7 4 5" xfId="1800"/>
    <cellStyle name="Note 7 4 5 2" xfId="4425"/>
    <cellStyle name="Note 7 4 6" xfId="3114"/>
    <cellStyle name="Note 7 5" xfId="377"/>
    <cellStyle name="Note 7 5 2" xfId="607"/>
    <cellStyle name="Note 7 5 2 2" xfId="935"/>
    <cellStyle name="Note 7 5 2 2 2" xfId="1593"/>
    <cellStyle name="Note 7 5 2 2 2 2" xfId="2906"/>
    <cellStyle name="Note 7 5 2 2 2 2 2" xfId="5530"/>
    <cellStyle name="Note 7 5 2 2 2 3" xfId="4220"/>
    <cellStyle name="Note 7 5 2 2 3" xfId="2252"/>
    <cellStyle name="Note 7 5 2 2 3 2" xfId="4876"/>
    <cellStyle name="Note 7 5 2 2 4" xfId="3566"/>
    <cellStyle name="Note 7 5 2 3" xfId="1279"/>
    <cellStyle name="Note 7 5 2 3 2" xfId="2593"/>
    <cellStyle name="Note 7 5 2 3 2 2" xfId="5217"/>
    <cellStyle name="Note 7 5 2 3 3" xfId="3907"/>
    <cellStyle name="Note 7 5 2 4" xfId="1939"/>
    <cellStyle name="Note 7 5 2 4 2" xfId="4563"/>
    <cellStyle name="Note 7 5 2 5" xfId="3253"/>
    <cellStyle name="Note 7 5 3" xfId="796"/>
    <cellStyle name="Note 7 5 3 2" xfId="1456"/>
    <cellStyle name="Note 7 5 3 2 2" xfId="2769"/>
    <cellStyle name="Note 7 5 3 2 2 2" xfId="5393"/>
    <cellStyle name="Note 7 5 3 2 3" xfId="4083"/>
    <cellStyle name="Note 7 5 3 3" xfId="2115"/>
    <cellStyle name="Note 7 5 3 3 2" xfId="4739"/>
    <cellStyle name="Note 7 5 3 4" xfId="3429"/>
    <cellStyle name="Note 7 5 4" xfId="1141"/>
    <cellStyle name="Note 7 5 4 2" xfId="2456"/>
    <cellStyle name="Note 7 5 4 2 2" xfId="5080"/>
    <cellStyle name="Note 7 5 4 3" xfId="3770"/>
    <cellStyle name="Note 7 5 5" xfId="1801"/>
    <cellStyle name="Note 7 5 5 2" xfId="4426"/>
    <cellStyle name="Note 7 5 6" xfId="3115"/>
    <cellStyle name="Note 7 6" xfId="378"/>
    <cellStyle name="Note 7 6 2" xfId="608"/>
    <cellStyle name="Note 7 6 2 2" xfId="936"/>
    <cellStyle name="Note 7 6 2 2 2" xfId="1594"/>
    <cellStyle name="Note 7 6 2 2 2 2" xfId="2907"/>
    <cellStyle name="Note 7 6 2 2 2 2 2" xfId="5531"/>
    <cellStyle name="Note 7 6 2 2 2 3" xfId="4221"/>
    <cellStyle name="Note 7 6 2 2 3" xfId="2253"/>
    <cellStyle name="Note 7 6 2 2 3 2" xfId="4877"/>
    <cellStyle name="Note 7 6 2 2 4" xfId="3567"/>
    <cellStyle name="Note 7 6 2 3" xfId="1280"/>
    <cellStyle name="Note 7 6 2 3 2" xfId="2594"/>
    <cellStyle name="Note 7 6 2 3 2 2" xfId="5218"/>
    <cellStyle name="Note 7 6 2 3 3" xfId="3908"/>
    <cellStyle name="Note 7 6 2 4" xfId="1940"/>
    <cellStyle name="Note 7 6 2 4 2" xfId="4564"/>
    <cellStyle name="Note 7 6 2 5" xfId="3254"/>
    <cellStyle name="Note 7 6 3" xfId="797"/>
    <cellStyle name="Note 7 6 3 2" xfId="1457"/>
    <cellStyle name="Note 7 6 3 2 2" xfId="2770"/>
    <cellStyle name="Note 7 6 3 2 2 2" xfId="5394"/>
    <cellStyle name="Note 7 6 3 2 3" xfId="4084"/>
    <cellStyle name="Note 7 6 3 3" xfId="2116"/>
    <cellStyle name="Note 7 6 3 3 2" xfId="4740"/>
    <cellStyle name="Note 7 6 3 4" xfId="3430"/>
    <cellStyle name="Note 7 6 4" xfId="1142"/>
    <cellStyle name="Note 7 6 4 2" xfId="2457"/>
    <cellStyle name="Note 7 6 4 2 2" xfId="5081"/>
    <cellStyle name="Note 7 6 4 3" xfId="3771"/>
    <cellStyle name="Note 7 6 5" xfId="1802"/>
    <cellStyle name="Note 7 6 5 2" xfId="4427"/>
    <cellStyle name="Note 7 6 6" xfId="3116"/>
    <cellStyle name="Note 7 7" xfId="379"/>
    <cellStyle name="Note 7 7 2" xfId="609"/>
    <cellStyle name="Note 7 7 2 2" xfId="937"/>
    <cellStyle name="Note 7 7 2 2 2" xfId="1595"/>
    <cellStyle name="Note 7 7 2 2 2 2" xfId="2908"/>
    <cellStyle name="Note 7 7 2 2 2 2 2" xfId="5532"/>
    <cellStyle name="Note 7 7 2 2 2 3" xfId="4222"/>
    <cellStyle name="Note 7 7 2 2 3" xfId="2254"/>
    <cellStyle name="Note 7 7 2 2 3 2" xfId="4878"/>
    <cellStyle name="Note 7 7 2 2 4" xfId="3568"/>
    <cellStyle name="Note 7 7 2 3" xfId="1281"/>
    <cellStyle name="Note 7 7 2 3 2" xfId="2595"/>
    <cellStyle name="Note 7 7 2 3 2 2" xfId="5219"/>
    <cellStyle name="Note 7 7 2 3 3" xfId="3909"/>
    <cellStyle name="Note 7 7 2 4" xfId="1941"/>
    <cellStyle name="Note 7 7 2 4 2" xfId="4565"/>
    <cellStyle name="Note 7 7 2 5" xfId="3255"/>
    <cellStyle name="Note 7 7 3" xfId="798"/>
    <cellStyle name="Note 7 7 3 2" xfId="1458"/>
    <cellStyle name="Note 7 7 3 2 2" xfId="2771"/>
    <cellStyle name="Note 7 7 3 2 2 2" xfId="5395"/>
    <cellStyle name="Note 7 7 3 2 3" xfId="4085"/>
    <cellStyle name="Note 7 7 3 3" xfId="2117"/>
    <cellStyle name="Note 7 7 3 3 2" xfId="4741"/>
    <cellStyle name="Note 7 7 3 4" xfId="3431"/>
    <cellStyle name="Note 7 7 4" xfId="1143"/>
    <cellStyle name="Note 7 7 4 2" xfId="2458"/>
    <cellStyle name="Note 7 7 4 2 2" xfId="5082"/>
    <cellStyle name="Note 7 7 4 3" xfId="3772"/>
    <cellStyle name="Note 7 7 5" xfId="1803"/>
    <cellStyle name="Note 7 7 5 2" xfId="4428"/>
    <cellStyle name="Note 7 7 6" xfId="3117"/>
    <cellStyle name="Note 7 8" xfId="380"/>
    <cellStyle name="Note 7 8 2" xfId="610"/>
    <cellStyle name="Note 7 8 2 2" xfId="938"/>
    <cellStyle name="Note 7 8 2 2 2" xfId="1596"/>
    <cellStyle name="Note 7 8 2 2 2 2" xfId="2909"/>
    <cellStyle name="Note 7 8 2 2 2 2 2" xfId="5533"/>
    <cellStyle name="Note 7 8 2 2 2 3" xfId="4223"/>
    <cellStyle name="Note 7 8 2 2 3" xfId="2255"/>
    <cellStyle name="Note 7 8 2 2 3 2" xfId="4879"/>
    <cellStyle name="Note 7 8 2 2 4" xfId="3569"/>
    <cellStyle name="Note 7 8 2 3" xfId="1282"/>
    <cellStyle name="Note 7 8 2 3 2" xfId="2596"/>
    <cellStyle name="Note 7 8 2 3 2 2" xfId="5220"/>
    <cellStyle name="Note 7 8 2 3 3" xfId="3910"/>
    <cellStyle name="Note 7 8 2 4" xfId="1942"/>
    <cellStyle name="Note 7 8 2 4 2" xfId="4566"/>
    <cellStyle name="Note 7 8 2 5" xfId="3256"/>
    <cellStyle name="Note 7 8 3" xfId="799"/>
    <cellStyle name="Note 7 8 3 2" xfId="1459"/>
    <cellStyle name="Note 7 8 3 2 2" xfId="2772"/>
    <cellStyle name="Note 7 8 3 2 2 2" xfId="5396"/>
    <cellStyle name="Note 7 8 3 2 3" xfId="4086"/>
    <cellStyle name="Note 7 8 3 3" xfId="2118"/>
    <cellStyle name="Note 7 8 3 3 2" xfId="4742"/>
    <cellStyle name="Note 7 8 3 4" xfId="3432"/>
    <cellStyle name="Note 7 8 4" xfId="1144"/>
    <cellStyle name="Note 7 8 4 2" xfId="2459"/>
    <cellStyle name="Note 7 8 4 2 2" xfId="5083"/>
    <cellStyle name="Note 7 8 4 3" xfId="3773"/>
    <cellStyle name="Note 7 8 5" xfId="1804"/>
    <cellStyle name="Note 7 8 5 2" xfId="4429"/>
    <cellStyle name="Note 7 8 6" xfId="3118"/>
    <cellStyle name="Note 7 9" xfId="603"/>
    <cellStyle name="Note 7 9 2" xfId="931"/>
    <cellStyle name="Note 7 9 2 2" xfId="1589"/>
    <cellStyle name="Note 7 9 2 2 2" xfId="2902"/>
    <cellStyle name="Note 7 9 2 2 2 2" xfId="5526"/>
    <cellStyle name="Note 7 9 2 2 3" xfId="4216"/>
    <cellStyle name="Note 7 9 2 3" xfId="2248"/>
    <cellStyle name="Note 7 9 2 3 2" xfId="4872"/>
    <cellStyle name="Note 7 9 2 4" xfId="3562"/>
    <cellStyle name="Note 7 9 3" xfId="1275"/>
    <cellStyle name="Note 7 9 3 2" xfId="2589"/>
    <cellStyle name="Note 7 9 3 2 2" xfId="5213"/>
    <cellStyle name="Note 7 9 3 3" xfId="3903"/>
    <cellStyle name="Note 7 9 4" xfId="1935"/>
    <cellStyle name="Note 7 9 4 2" xfId="4559"/>
    <cellStyle name="Note 7 9 5" xfId="3249"/>
    <cellStyle name="Note 8" xfId="381"/>
    <cellStyle name="Note 8 2" xfId="611"/>
    <cellStyle name="Note 8 2 2" xfId="939"/>
    <cellStyle name="Note 8 2 2 2" xfId="1597"/>
    <cellStyle name="Note 8 2 2 2 2" xfId="2910"/>
    <cellStyle name="Note 8 2 2 2 2 2" xfId="5534"/>
    <cellStyle name="Note 8 2 2 2 3" xfId="4224"/>
    <cellStyle name="Note 8 2 2 3" xfId="2256"/>
    <cellStyle name="Note 8 2 2 3 2" xfId="4880"/>
    <cellStyle name="Note 8 2 2 4" xfId="3570"/>
    <cellStyle name="Note 8 2 3" xfId="1283"/>
    <cellStyle name="Note 8 2 3 2" xfId="2597"/>
    <cellStyle name="Note 8 2 3 2 2" xfId="5221"/>
    <cellStyle name="Note 8 2 3 3" xfId="3911"/>
    <cellStyle name="Note 8 2 4" xfId="1943"/>
    <cellStyle name="Note 8 2 4 2" xfId="4567"/>
    <cellStyle name="Note 8 2 5" xfId="3257"/>
    <cellStyle name="Note 8 3" xfId="800"/>
    <cellStyle name="Note 8 3 2" xfId="1460"/>
    <cellStyle name="Note 8 3 2 2" xfId="2773"/>
    <cellStyle name="Note 8 3 2 2 2" xfId="5397"/>
    <cellStyle name="Note 8 3 2 3" xfId="4087"/>
    <cellStyle name="Note 8 3 3" xfId="2119"/>
    <cellStyle name="Note 8 3 3 2" xfId="4743"/>
    <cellStyle name="Note 8 3 4" xfId="3433"/>
    <cellStyle name="Note 8 4" xfId="1145"/>
    <cellStyle name="Note 8 4 2" xfId="2460"/>
    <cellStyle name="Note 8 4 2 2" xfId="5084"/>
    <cellStyle name="Note 8 4 3" xfId="3774"/>
    <cellStyle name="Note 8 5" xfId="1805"/>
    <cellStyle name="Note 8 5 2" xfId="4430"/>
    <cellStyle name="Note 8 6" xfId="3119"/>
    <cellStyle name="Note 9" xfId="622"/>
    <cellStyle name="Note 9 2" xfId="940"/>
    <cellStyle name="Note 9 2 2" xfId="1598"/>
    <cellStyle name="Note 9 2 2 2" xfId="2911"/>
    <cellStyle name="Note 9 2 2 2 2" xfId="5535"/>
    <cellStyle name="Note 9 2 2 3" xfId="4225"/>
    <cellStyle name="Note 9 2 3" xfId="2257"/>
    <cellStyle name="Note 9 2 3 2" xfId="4881"/>
    <cellStyle name="Note 9 2 4" xfId="3571"/>
    <cellStyle name="Note 9 3" xfId="1284"/>
    <cellStyle name="Note 9 3 2" xfId="2598"/>
    <cellStyle name="Note 9 3 2 2" xfId="5222"/>
    <cellStyle name="Note 9 3 3" xfId="3912"/>
    <cellStyle name="Note 9 4" xfId="1944"/>
    <cellStyle name="Note 9 4 2" xfId="4568"/>
    <cellStyle name="Note 9 5" xfId="3258"/>
    <cellStyle name="Output" xfId="117" builtinId="21" customBuiltin="1"/>
    <cellStyle name="Output 2" xfId="65"/>
    <cellStyle name="Output 2 2" xfId="382"/>
    <cellStyle name="Percent 2" xfId="612"/>
    <cellStyle name="Percent 3" xfId="801"/>
    <cellStyle name="Percent 4" xfId="1146"/>
    <cellStyle name="Percent 5" xfId="1806"/>
    <cellStyle name="Percent 6" xfId="3120"/>
    <cellStyle name="Percent 7" xfId="383"/>
    <cellStyle name="Project Delayed/Postponed" xfId="384"/>
    <cellStyle name="SAPBEXaggData" xfId="66"/>
    <cellStyle name="SAPBEXaggDataEmph" xfId="67"/>
    <cellStyle name="SAPBEXaggItem" xfId="68"/>
    <cellStyle name="SAPBEXaggItemX" xfId="69"/>
    <cellStyle name="SAPBEXchaText" xfId="70"/>
    <cellStyle name="SAPBEXexcBad7" xfId="71"/>
    <cellStyle name="SAPBEXexcBad8" xfId="72"/>
    <cellStyle name="SAPBEXexcBad9" xfId="73"/>
    <cellStyle name="SAPBEXexcCritical4" xfId="74"/>
    <cellStyle name="SAPBEXexcCritical5" xfId="75"/>
    <cellStyle name="SAPBEXexcCritical6" xfId="76"/>
    <cellStyle name="SAPBEXexcGood1" xfId="77"/>
    <cellStyle name="SAPBEXexcGood2" xfId="78"/>
    <cellStyle name="SAPBEXexcGood3" xfId="79"/>
    <cellStyle name="SAPBEXfilterDrill" xfId="80"/>
    <cellStyle name="SAPBEXfilterItem" xfId="81"/>
    <cellStyle name="SAPBEXfilterText" xfId="82"/>
    <cellStyle name="SAPBEXformats" xfId="83"/>
    <cellStyle name="SAPBEXheaderItem" xfId="84"/>
    <cellStyle name="SAPBEXheaderText" xfId="85"/>
    <cellStyle name="SAPBEXHLevel0" xfId="86"/>
    <cellStyle name="SAPBEXHLevel0 2" xfId="613"/>
    <cellStyle name="SAPBEXHLevel0X" xfId="87"/>
    <cellStyle name="SAPBEXHLevel0X 2" xfId="614"/>
    <cellStyle name="SAPBEXHLevel1" xfId="88"/>
    <cellStyle name="SAPBEXHLevel1 2" xfId="615"/>
    <cellStyle name="SAPBEXHLevel1X" xfId="89"/>
    <cellStyle name="SAPBEXHLevel1X 2" xfId="616"/>
    <cellStyle name="SAPBEXHLevel2" xfId="90"/>
    <cellStyle name="SAPBEXHLevel2 2" xfId="617"/>
    <cellStyle name="SAPBEXHLevel2X" xfId="91"/>
    <cellStyle name="SAPBEXHLevel2X 2" xfId="618"/>
    <cellStyle name="SAPBEXHLevel3" xfId="92"/>
    <cellStyle name="SAPBEXHLevel3 2" xfId="619"/>
    <cellStyle name="SAPBEXHLevel3X" xfId="93"/>
    <cellStyle name="SAPBEXHLevel3X 2" xfId="620"/>
    <cellStyle name="SAPBEXinputData" xfId="94"/>
    <cellStyle name="SAPBEXinputData 2" xfId="621"/>
    <cellStyle name="SAPBEXresData" xfId="95"/>
    <cellStyle name="SAPBEXresDataEmph" xfId="96"/>
    <cellStyle name="SAPBEXresItem" xfId="97"/>
    <cellStyle name="SAPBEXresItemX" xfId="98"/>
    <cellStyle name="SAPBEXstdData" xfId="99"/>
    <cellStyle name="SAPBEXstdDataEmph" xfId="100"/>
    <cellStyle name="SAPBEXstdItem" xfId="101"/>
    <cellStyle name="SAPBEXstdItemX" xfId="102"/>
    <cellStyle name="SAPBEXtitle" xfId="103"/>
    <cellStyle name="SAPBEXundefined" xfId="104"/>
    <cellStyle name="Sheet Title" xfId="105"/>
    <cellStyle name="Title" xfId="109" builtinId="15" customBuiltin="1"/>
    <cellStyle name="Title 2" xfId="106"/>
    <cellStyle name="Total" xfId="123" builtinId="25" customBuiltin="1"/>
    <cellStyle name="Total 2" xfId="107"/>
    <cellStyle name="Total 2 2" xfId="385"/>
    <cellStyle name="Warning Text" xfId="121" builtinId="11" customBuiltin="1"/>
    <cellStyle name="Warning Text 2" xfId="108"/>
    <cellStyle name="Warning Text 2 2" xfId="386"/>
  </cellStyles>
  <dxfs count="327">
    <dxf>
      <border diagonalUp="0" diagonalDown="0">
        <left/>
        <right style="thin">
          <color theme="4"/>
        </right>
        <top/>
        <bottom/>
        <vertical/>
        <horizontal/>
      </border>
    </dxf>
    <dxf>
      <font>
        <b val="0"/>
        <i val="0"/>
        <strike val="0"/>
        <condense val="0"/>
        <extend val="0"/>
        <outline val="0"/>
        <shadow val="0"/>
        <u val="none"/>
        <vertAlign val="baseline"/>
        <sz val="12"/>
        <color theme="1"/>
        <name val="Arial"/>
        <scheme val="none"/>
      </font>
      <numFmt numFmtId="0" formatCode="General"/>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val="0"/>
        <i val="0"/>
        <strike val="0"/>
        <condense val="0"/>
        <extend val="0"/>
        <outline val="0"/>
        <shadow val="0"/>
        <u val="none"/>
        <vertAlign val="baseline"/>
        <sz val="12"/>
        <color theme="1"/>
        <name val="Arial"/>
        <scheme val="none"/>
      </font>
      <fill>
        <patternFill patternType="none">
          <fgColor indexed="64"/>
          <bgColor indexed="65"/>
        </patternFill>
      </fill>
    </dxf>
    <dxf>
      <font>
        <b/>
        <i val="0"/>
        <strike val="0"/>
        <condense val="0"/>
        <extend val="0"/>
        <outline val="0"/>
        <shadow val="0"/>
        <u val="none"/>
        <vertAlign val="baseline"/>
        <sz val="12"/>
        <color theme="0"/>
        <name val="Arial"/>
        <scheme val="none"/>
      </font>
      <fill>
        <patternFill patternType="solid">
          <fgColor theme="4"/>
          <bgColor theme="4"/>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medium">
          <color theme="0"/>
        </left>
        <right/>
        <top style="medium">
          <color theme="0"/>
        </top>
        <bottom style="medium">
          <color theme="0"/>
        </bottom>
        <vertical style="medium">
          <color theme="0"/>
        </vertical>
        <horizontal style="medium">
          <color theme="0"/>
        </horizontal>
      </border>
      <protection locked="1" hidden="0"/>
    </dxf>
    <dxf>
      <font>
        <b val="0"/>
        <i val="0"/>
        <strike val="0"/>
        <condense val="0"/>
        <extend val="0"/>
        <outline val="0"/>
        <shadow val="0"/>
        <u val="none"/>
        <vertAlign val="baseline"/>
        <sz val="10"/>
        <color auto="1"/>
        <name val="Arial"/>
        <scheme val="none"/>
      </font>
      <numFmt numFmtId="170" formatCode="[$-409]dd\-mmm\-yy;@"/>
      <fill>
        <patternFill patternType="none">
          <fgColor indexed="64"/>
          <bgColor indexed="65"/>
        </patternFill>
      </fill>
      <alignment horizontal="center" vertical="center" textRotation="0" wrapText="1" indent="0" justifyLastLine="0" shrinkToFit="0" readingOrder="0"/>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1" hidden="0"/>
    </dxf>
    <dxf>
      <font>
        <b val="0"/>
        <i val="0"/>
        <strike val="0"/>
        <condense val="0"/>
        <extend val="0"/>
        <outline val="0"/>
        <shadow val="0"/>
        <u val="none"/>
        <vertAlign val="baseline"/>
        <sz val="10"/>
        <color auto="1"/>
        <name val="Arial"/>
        <scheme val="none"/>
      </font>
      <numFmt numFmtId="169" formatCode="[$-409]d\-mmm\-yy;@"/>
      <fill>
        <patternFill patternType="none">
          <fgColor indexed="64"/>
          <bgColor indexed="65"/>
        </patternFill>
      </fill>
      <alignment horizontal="center" vertical="center" textRotation="0" wrapText="1" indent="0" justifyLastLine="0" shrinkToFit="0" readingOrder="0"/>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medium">
          <color theme="0"/>
        </left>
        <right style="medium">
          <color theme="0"/>
        </right>
        <top style="medium">
          <color theme="0"/>
        </top>
        <bottom style="medium">
          <color theme="0"/>
        </bottom>
        <vertical style="medium">
          <color theme="0"/>
        </vertical>
        <horizontal style="medium">
          <color theme="0"/>
        </horizontal>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right style="medium">
          <color theme="0"/>
        </right>
        <top style="medium">
          <color theme="0"/>
        </top>
        <bottom style="medium">
          <color theme="0"/>
        </bottom>
      </border>
      <protection locked="1" hidden="0"/>
    </dxf>
    <dxf>
      <font>
        <b/>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center" textRotation="0" wrapText="1" indent="0" justifyLastLine="0" shrinkToFit="0" readingOrder="0"/>
      <border diagonalUp="0" diagonalDown="0" outline="0">
        <left style="medium">
          <color theme="0"/>
        </left>
        <right style="medium">
          <color theme="0"/>
        </right>
        <top style="medium">
          <color theme="0"/>
        </top>
        <bottom style="medium">
          <color theme="0"/>
        </bottom>
      </border>
      <protection locked="1" hidden="0"/>
    </dxf>
    <dxf>
      <font>
        <b val="0"/>
        <i val="0"/>
        <strike val="0"/>
        <condense val="0"/>
        <extend val="0"/>
        <outline val="0"/>
        <shadow val="0"/>
        <u/>
        <vertAlign val="baseline"/>
        <sz val="10"/>
        <color indexed="12"/>
        <name val="Arial"/>
        <scheme val="none"/>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style="medium">
          <color theme="0"/>
        </left>
        <right/>
        <top style="medium">
          <color theme="0"/>
        </top>
        <bottom style="medium">
          <color theme="0"/>
        </bottom>
      </border>
      <protection locked="1"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11"/>
        <color auto="1"/>
        <name val="Arial"/>
        <scheme val="none"/>
      </font>
      <numFmt numFmtId="0" formatCode="General"/>
      <fill>
        <patternFill patternType="solid">
          <fgColor indexed="64"/>
          <bgColor rgb="FF95B3D7"/>
        </patternFill>
      </fill>
      <alignment horizontal="center" vertical="center" textRotation="0" wrapText="1" indent="0" justifyLastLine="0" shrinkToFit="0" readingOrder="0"/>
      <border diagonalUp="0" diagonalDown="0">
        <left style="medium">
          <color theme="0"/>
        </left>
        <right style="medium">
          <color theme="0"/>
        </right>
        <top/>
        <bottom/>
        <vertical style="medium">
          <color theme="0"/>
        </vertical>
        <horizontal style="medium">
          <color theme="0"/>
        </horizontal>
      </border>
      <protection locked="1" hidden="0"/>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ill>
        <patternFill>
          <bgColor rgb="FFC00000"/>
        </patternFill>
      </fill>
    </dxf>
    <dxf>
      <fill>
        <patternFill>
          <bgColor rgb="FF92D050"/>
        </patternFill>
      </fill>
    </dxf>
    <dxf>
      <fill>
        <patternFill>
          <bgColor rgb="FF92D050"/>
        </patternFill>
      </fill>
    </dxf>
    <dxf>
      <font>
        <color rgb="FF00B050"/>
      </font>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00B050"/>
      </font>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77BE77"/>
        </patternFill>
      </fill>
    </dxf>
    <dxf>
      <fill>
        <patternFill>
          <bgColor rgb="FFC23B22"/>
        </patternFill>
      </fill>
    </dxf>
    <dxf>
      <fill>
        <patternFill>
          <bgColor rgb="FFEBB347"/>
        </patternFill>
      </fill>
    </dxf>
    <dxf>
      <fill>
        <patternFill>
          <bgColor rgb="FF77BE77"/>
        </patternFill>
      </fill>
    </dxf>
    <dxf>
      <fill>
        <patternFill>
          <bgColor rgb="FFC23B22"/>
        </patternFill>
      </fill>
    </dxf>
    <dxf>
      <fill>
        <patternFill>
          <bgColor rgb="FF77BE77"/>
        </patternFill>
      </fill>
    </dxf>
    <dxf>
      <fill>
        <patternFill>
          <bgColor rgb="FFC23B22"/>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ont>
        <color theme="0" tint="-0.34998626667073579"/>
      </font>
      <fill>
        <patternFill>
          <bgColor theme="0" tint="-0.34998626667073579"/>
        </patternFill>
      </fill>
    </dxf>
    <dxf>
      <font>
        <color auto="1"/>
      </font>
      <fill>
        <patternFill>
          <bgColor rgb="FFFF0000"/>
        </patternFill>
      </fill>
    </dxf>
    <dxf>
      <font>
        <color auto="1"/>
      </font>
      <fill>
        <patternFill>
          <bgColor rgb="FF00B050"/>
        </patternFill>
      </fill>
    </dxf>
    <dxf>
      <font>
        <color auto="1"/>
      </font>
      <fill>
        <patternFill>
          <bgColor rgb="FFFFC000"/>
        </patternFill>
      </fill>
    </dxf>
    <dxf>
      <font>
        <color rgb="FFFF0000"/>
      </font>
      <fill>
        <patternFill>
          <bgColor rgb="FFFF0000"/>
        </patternFill>
      </fill>
    </dxf>
    <dxf>
      <font>
        <color rgb="FF00B050"/>
      </font>
      <fill>
        <patternFill>
          <bgColor rgb="FF00B050"/>
        </patternFill>
      </fill>
    </dxf>
    <dxf>
      <font>
        <color rgb="FFFFC000"/>
      </font>
      <fill>
        <patternFill>
          <bgColor rgb="FFFFC000"/>
        </patternFill>
      </fill>
    </dxf>
    <dxf>
      <fill>
        <patternFill>
          <bgColor rgb="FFC23B22"/>
        </patternFill>
      </fill>
    </dxf>
    <dxf>
      <font>
        <color theme="0"/>
      </font>
      <fill>
        <patternFill>
          <bgColor rgb="FFC23B22"/>
        </patternFill>
      </fill>
    </dxf>
    <dxf>
      <fill>
        <patternFill>
          <bgColor rgb="FF77BE77"/>
        </patternFill>
      </fill>
    </dxf>
    <dxf>
      <fill>
        <patternFill>
          <bgColor rgb="FFFFB347"/>
        </patternFill>
      </fill>
    </dxf>
    <dxf>
      <fill>
        <patternFill>
          <bgColor rgb="FF77BE77"/>
        </patternFill>
      </fill>
    </dxf>
    <dxf>
      <font>
        <color theme="0"/>
      </font>
      <fill>
        <patternFill>
          <bgColor rgb="FFC23B22"/>
        </patternFill>
      </fill>
    </dxf>
    <dxf>
      <fill>
        <patternFill>
          <bgColor rgb="FFFFB347"/>
        </patternFill>
      </fill>
    </dxf>
  </dxfs>
  <tableStyles count="0" defaultTableStyle="TableStyleMedium2" defaultPivotStyle="PivotStyleLight16"/>
  <colors>
    <mruColors>
      <color rgb="FFC23B22"/>
      <color rgb="FF77BE77"/>
      <color rgb="FFFFB347"/>
      <color rgb="FF622DE7"/>
      <color rgb="FFCCC0DA"/>
      <color rgb="FFDA9694"/>
      <color rgb="FF4F81BD"/>
      <color rgb="FF31869B"/>
      <color rgb="FFA50021"/>
      <color rgb="FF95B3D7"/>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'Resources Data'!$F$1</c:f>
              <c:strCache>
                <c:ptCount val="1"/>
                <c:pt idx="0">
                  <c:v>Start date</c:v>
                </c:pt>
              </c:strCache>
            </c:strRef>
          </c:tx>
          <c:spPr>
            <a:noFill/>
            <a:ln>
              <a:noFill/>
            </a:ln>
          </c:spPr>
          <c:invertIfNegative val="0"/>
          <c:cat>
            <c:multiLvlStrRef>
              <c:f>'Resources Data'!$B$2:$C$10</c:f>
              <c:multiLvlStrCache>
                <c:ptCount val="9"/>
                <c:lvl>
                  <c:pt idx="0">
                    <c:v>172 BPR &amp; Windsor House Chiller Remedial....</c:v>
                  </c:pt>
                  <c:pt idx="1">
                    <c:v>Toilet Flushing Upgrade....</c:v>
                  </c:pt>
                  <c:pt idx="2">
                    <c:v>VSH Roof and Facades Repairs....</c:v>
                  </c:pt>
                  <c:pt idx="3">
                    <c:v>Griffith House Facade Repairs....</c:v>
                  </c:pt>
                  <c:pt idx="4">
                    <c:v>Building Facades Risk Assessments (7 Building)....</c:v>
                  </c:pt>
                  <c:pt idx="5">
                    <c:v>Bringing Back to use Staircase/chained door leading to....</c:v>
                  </c:pt>
                  <c:pt idx="6">
                    <c:v>Albany House - Plant Optimisation....</c:v>
                  </c:pt>
                  <c:pt idx="7">
                    <c:v>Baker Street Complex - Fire Compliance - Fire Alarms n....</c:v>
                  </c:pt>
                  <c:pt idx="8">
                    <c:v>172 BPR LV Infrastructure Upgrade....</c:v>
                  </c:pt>
                </c:lvl>
                <c:lvl>
                  <c:pt idx="0">
                    <c:v>John Cousins</c:v>
                  </c:pt>
                  <c:pt idx="4">
                    <c:v>John Murphy</c:v>
                  </c:pt>
                  <c:pt idx="6">
                    <c:v>Outside Consultant</c:v>
                  </c:pt>
                </c:lvl>
              </c:multiLvlStrCache>
            </c:multiLvlStrRef>
          </c:cat>
          <c:val>
            <c:numRef>
              <c:f>'Resources Data'!$F$2:$F$10</c:f>
              <c:numCache>
                <c:formatCode>m/d/yyyy</c:formatCode>
                <c:ptCount val="9"/>
                <c:pt idx="0">
                  <c:v>41645</c:v>
                </c:pt>
                <c:pt idx="1">
                  <c:v>42262</c:v>
                </c:pt>
                <c:pt idx="2">
                  <c:v>42269</c:v>
                </c:pt>
                <c:pt idx="3">
                  <c:v>42689</c:v>
                </c:pt>
                <c:pt idx="4">
                  <c:v>42571</c:v>
                </c:pt>
                <c:pt idx="5">
                  <c:v>42689</c:v>
                </c:pt>
                <c:pt idx="6">
                  <c:v>40938</c:v>
                </c:pt>
                <c:pt idx="7">
                  <c:v>41183</c:v>
                </c:pt>
                <c:pt idx="8">
                  <c:v>42355</c:v>
                </c:pt>
              </c:numCache>
            </c:numRef>
          </c:val>
        </c:ser>
        <c:ser>
          <c:idx val="1"/>
          <c:order val="1"/>
          <c:tx>
            <c:v>Days</c:v>
          </c:tx>
          <c:spPr>
            <a:solidFill>
              <a:schemeClr val="tx1"/>
            </a:solidFill>
            <a:scene3d>
              <a:camera prst="orthographicFront"/>
              <a:lightRig rig="threePt" dir="t"/>
            </a:scene3d>
          </c:spPr>
          <c:invertIfNegative val="0"/>
          <c:dPt>
            <c:idx val="0"/>
            <c:invertIfNegative val="0"/>
            <c:bubble3D val="0"/>
            <c:spPr>
              <a:solidFill>
                <a:srgbClr val="CCC0DA"/>
              </a:solidFill>
              <a:scene3d>
                <a:camera prst="orthographicFront"/>
                <a:lightRig rig="threePt" dir="t"/>
              </a:scene3d>
            </c:spPr>
          </c:dPt>
          <c:dPt>
            <c:idx val="1"/>
            <c:invertIfNegative val="0"/>
            <c:bubble3D val="0"/>
            <c:spPr>
              <a:solidFill>
                <a:srgbClr val="CCC0DA"/>
              </a:solidFill>
              <a:scene3d>
                <a:camera prst="orthographicFront"/>
                <a:lightRig rig="threePt" dir="t"/>
              </a:scene3d>
            </c:spPr>
          </c:dPt>
          <c:dPt>
            <c:idx val="2"/>
            <c:invertIfNegative val="0"/>
            <c:bubble3D val="0"/>
            <c:spPr>
              <a:solidFill>
                <a:srgbClr val="DA9694"/>
              </a:solidFill>
              <a:scene3d>
                <a:camera prst="orthographicFront"/>
                <a:lightRig rig="threePt" dir="t"/>
              </a:scene3d>
            </c:spPr>
          </c:dPt>
          <c:dPt>
            <c:idx val="3"/>
            <c:invertIfNegative val="0"/>
            <c:bubble3D val="0"/>
            <c:spPr>
              <a:solidFill>
                <a:srgbClr val="DA9694"/>
              </a:solidFill>
              <a:scene3d>
                <a:camera prst="orthographicFront"/>
                <a:lightRig rig="threePt" dir="t"/>
              </a:scene3d>
            </c:spPr>
          </c:dPt>
          <c:dPt>
            <c:idx val="4"/>
            <c:invertIfNegative val="0"/>
            <c:bubble3D val="0"/>
            <c:spPr>
              <a:solidFill>
                <a:srgbClr val="31869B"/>
              </a:solidFill>
              <a:scene3d>
                <a:camera prst="orthographicFront"/>
                <a:lightRig rig="threePt" dir="t"/>
              </a:scene3d>
            </c:spPr>
          </c:dPt>
          <c:dPt>
            <c:idx val="5"/>
            <c:invertIfNegative val="0"/>
            <c:bubble3D val="0"/>
            <c:spPr>
              <a:solidFill>
                <a:srgbClr val="DA9694"/>
              </a:solidFill>
              <a:scene3d>
                <a:camera prst="orthographicFront"/>
                <a:lightRig rig="threePt" dir="t"/>
              </a:scene3d>
            </c:spPr>
          </c:dPt>
          <c:dPt>
            <c:idx val="6"/>
            <c:invertIfNegative val="0"/>
            <c:bubble3D val="0"/>
            <c:spPr>
              <a:solidFill>
                <a:srgbClr val="7693A0"/>
              </a:solidFill>
              <a:scene3d>
                <a:camera prst="orthographicFront"/>
                <a:lightRig rig="threePt" dir="t"/>
              </a:scene3d>
            </c:spPr>
          </c:dPt>
          <c:dPt>
            <c:idx val="7"/>
            <c:invertIfNegative val="0"/>
            <c:bubble3D val="0"/>
            <c:spPr>
              <a:solidFill>
                <a:srgbClr val="CCC0DA"/>
              </a:solidFill>
              <a:scene3d>
                <a:camera prst="orthographicFront"/>
                <a:lightRig rig="threePt" dir="t"/>
              </a:scene3d>
            </c:spPr>
          </c:dPt>
          <c:dPt>
            <c:idx val="8"/>
            <c:invertIfNegative val="0"/>
            <c:bubble3D val="0"/>
            <c:spPr>
              <a:solidFill>
                <a:srgbClr val="CCC0DA"/>
              </a:solidFill>
              <a:scene3d>
                <a:camera prst="orthographicFront"/>
                <a:lightRig rig="threePt" dir="t"/>
              </a:scene3d>
            </c:spPr>
          </c:dPt>
          <c:dPt>
            <c:idx val="9"/>
            <c:invertIfNegative val="0"/>
            <c:bubble3D val="0"/>
            <c:spPr>
              <a:solidFill>
                <a:srgbClr val="CCC0DA"/>
              </a:solidFill>
              <a:scene3d>
                <a:camera prst="orthographicFront"/>
                <a:lightRig rig="threePt" dir="t"/>
              </a:scene3d>
            </c:spPr>
          </c:dPt>
          <c:dPt>
            <c:idx val="10"/>
            <c:invertIfNegative val="0"/>
            <c:bubble3D val="0"/>
            <c:spPr>
              <a:solidFill>
                <a:srgbClr val="CCC0DA"/>
              </a:solidFill>
              <a:scene3d>
                <a:camera prst="orthographicFront"/>
                <a:lightRig rig="threePt" dir="t"/>
              </a:scene3d>
            </c:spPr>
          </c:dPt>
          <c:dPt>
            <c:idx val="11"/>
            <c:invertIfNegative val="0"/>
            <c:bubble3D val="0"/>
            <c:spPr>
              <a:solidFill>
                <a:srgbClr val="CCC0DA"/>
              </a:solidFill>
              <a:scene3d>
                <a:camera prst="orthographicFront"/>
                <a:lightRig rig="threePt" dir="t"/>
              </a:scene3d>
            </c:spPr>
          </c:dPt>
          <c:dPt>
            <c:idx val="12"/>
            <c:invertIfNegative val="0"/>
            <c:bubble3D val="0"/>
            <c:spPr>
              <a:solidFill>
                <a:srgbClr val="CCC0DA"/>
              </a:solidFill>
              <a:scene3d>
                <a:camera prst="orthographicFront"/>
                <a:lightRig rig="threePt" dir="t"/>
              </a:scene3d>
            </c:spPr>
          </c:dPt>
          <c:dPt>
            <c:idx val="13"/>
            <c:invertIfNegative val="0"/>
            <c:bubble3D val="0"/>
            <c:spPr>
              <a:solidFill>
                <a:srgbClr val="DA9694"/>
              </a:solidFill>
              <a:scene3d>
                <a:camera prst="orthographicFront"/>
                <a:lightRig rig="threePt" dir="t"/>
              </a:scene3d>
            </c:spPr>
          </c:dPt>
          <c:dPt>
            <c:idx val="14"/>
            <c:invertIfNegative val="0"/>
            <c:bubble3D val="0"/>
            <c:spPr>
              <a:solidFill>
                <a:srgbClr val="CCC0DA"/>
              </a:solidFill>
              <a:scene3d>
                <a:camera prst="orthographicFront"/>
                <a:lightRig rig="threePt" dir="t"/>
              </a:scene3d>
            </c:spPr>
          </c:dPt>
          <c:dPt>
            <c:idx val="15"/>
            <c:invertIfNegative val="0"/>
            <c:bubble3D val="0"/>
            <c:spPr>
              <a:solidFill>
                <a:srgbClr val="CCC0DA"/>
              </a:solidFill>
              <a:scene3d>
                <a:camera prst="orthographicFront"/>
                <a:lightRig rig="threePt" dir="t"/>
              </a:scene3d>
            </c:spPr>
          </c:dPt>
          <c:dPt>
            <c:idx val="16"/>
            <c:invertIfNegative val="0"/>
            <c:bubble3D val="0"/>
            <c:spPr>
              <a:solidFill>
                <a:srgbClr val="CCC0DA"/>
              </a:solidFill>
              <a:scene3d>
                <a:camera prst="orthographicFront"/>
                <a:lightRig rig="threePt" dir="t"/>
              </a:scene3d>
            </c:spPr>
          </c:dPt>
          <c:dPt>
            <c:idx val="17"/>
            <c:invertIfNegative val="0"/>
            <c:bubble3D val="0"/>
            <c:spPr>
              <a:solidFill>
                <a:srgbClr val="CCC0DA"/>
              </a:solidFill>
              <a:scene3d>
                <a:camera prst="orthographicFront"/>
                <a:lightRig rig="threePt" dir="t"/>
              </a:scene3d>
            </c:spPr>
          </c:dPt>
          <c:dPt>
            <c:idx val="18"/>
            <c:invertIfNegative val="0"/>
            <c:bubble3D val="0"/>
            <c:spPr>
              <a:solidFill>
                <a:srgbClr val="CCC0DA"/>
              </a:solidFill>
              <a:scene3d>
                <a:camera prst="orthographicFront"/>
                <a:lightRig rig="threePt" dir="t"/>
              </a:scene3d>
            </c:spPr>
          </c:dPt>
          <c:dPt>
            <c:idx val="19"/>
            <c:invertIfNegative val="0"/>
            <c:bubble3D val="0"/>
            <c:spPr>
              <a:solidFill>
                <a:srgbClr val="CCC0DA"/>
              </a:solidFill>
              <a:scene3d>
                <a:camera prst="orthographicFront"/>
                <a:lightRig rig="threePt" dir="t"/>
              </a:scene3d>
            </c:spPr>
          </c:dPt>
          <c:dPt>
            <c:idx val="20"/>
            <c:invertIfNegative val="0"/>
            <c:bubble3D val="0"/>
            <c:spPr>
              <a:solidFill>
                <a:srgbClr val="CCC0DA"/>
              </a:solidFill>
              <a:scene3d>
                <a:camera prst="orthographicFront"/>
                <a:lightRig rig="threePt" dir="t"/>
              </a:scene3d>
            </c:spPr>
          </c:dPt>
          <c:dPt>
            <c:idx val="21"/>
            <c:invertIfNegative val="0"/>
            <c:bubble3D val="0"/>
            <c:spPr>
              <a:solidFill>
                <a:srgbClr val="CCC0DA"/>
              </a:solidFill>
              <a:scene3d>
                <a:camera prst="orthographicFront"/>
                <a:lightRig rig="threePt" dir="t"/>
              </a:scene3d>
            </c:spPr>
          </c:dPt>
          <c:dPt>
            <c:idx val="22"/>
            <c:invertIfNegative val="0"/>
            <c:bubble3D val="0"/>
            <c:spPr>
              <a:solidFill>
                <a:srgbClr val="CCC0DA"/>
              </a:solidFill>
              <a:scene3d>
                <a:camera prst="orthographicFront"/>
                <a:lightRig rig="threePt" dir="t"/>
              </a:scene3d>
            </c:spPr>
          </c:dPt>
          <c:dPt>
            <c:idx val="23"/>
            <c:invertIfNegative val="0"/>
            <c:bubble3D val="0"/>
            <c:spPr>
              <a:solidFill>
                <a:srgbClr val="CCC0DA"/>
              </a:solidFill>
              <a:scene3d>
                <a:camera prst="orthographicFront"/>
                <a:lightRig rig="threePt" dir="t"/>
              </a:scene3d>
            </c:spPr>
          </c:dPt>
          <c:dPt>
            <c:idx val="24"/>
            <c:invertIfNegative val="0"/>
            <c:bubble3D val="0"/>
            <c:spPr>
              <a:solidFill>
                <a:srgbClr val="CCC0DA"/>
              </a:solidFill>
              <a:scene3d>
                <a:camera prst="orthographicFront"/>
                <a:lightRig rig="threePt" dir="t"/>
              </a:scene3d>
            </c:spPr>
          </c:dPt>
          <c:cat>
            <c:multiLvlStrRef>
              <c:f>'Resources Data'!$B$2:$C$10</c:f>
              <c:multiLvlStrCache>
                <c:ptCount val="9"/>
                <c:lvl>
                  <c:pt idx="0">
                    <c:v>172 BPR &amp; Windsor House Chiller Remedial....</c:v>
                  </c:pt>
                  <c:pt idx="1">
                    <c:v>Toilet Flushing Upgrade....</c:v>
                  </c:pt>
                  <c:pt idx="2">
                    <c:v>VSH Roof and Facades Repairs....</c:v>
                  </c:pt>
                  <c:pt idx="3">
                    <c:v>Griffith House Facade Repairs....</c:v>
                  </c:pt>
                  <c:pt idx="4">
                    <c:v>Building Facades Risk Assessments (7 Building)....</c:v>
                  </c:pt>
                  <c:pt idx="5">
                    <c:v>Bringing Back to use Staircase/chained door leading to....</c:v>
                  </c:pt>
                  <c:pt idx="6">
                    <c:v>Albany House - Plant Optimisation....</c:v>
                  </c:pt>
                  <c:pt idx="7">
                    <c:v>Baker Street Complex - Fire Compliance - Fire Alarms n....</c:v>
                  </c:pt>
                  <c:pt idx="8">
                    <c:v>172 BPR LV Infrastructure Upgrade....</c:v>
                  </c:pt>
                </c:lvl>
                <c:lvl>
                  <c:pt idx="0">
                    <c:v>John Cousins</c:v>
                  </c:pt>
                  <c:pt idx="4">
                    <c:v>John Murphy</c:v>
                  </c:pt>
                  <c:pt idx="6">
                    <c:v>Outside Consultant</c:v>
                  </c:pt>
                </c:lvl>
              </c:multiLvlStrCache>
            </c:multiLvlStrRef>
          </c:cat>
          <c:val>
            <c:numRef>
              <c:f>'Resources Data'!$I$2:$I$10</c:f>
              <c:numCache>
                <c:formatCode>General</c:formatCode>
                <c:ptCount val="9"/>
                <c:pt idx="0">
                  <c:v>1169</c:v>
                </c:pt>
                <c:pt idx="1">
                  <c:v>553</c:v>
                </c:pt>
                <c:pt idx="2">
                  <c:v>619</c:v>
                </c:pt>
                <c:pt idx="3">
                  <c:v>0</c:v>
                </c:pt>
                <c:pt idx="4">
                  <c:v>337</c:v>
                </c:pt>
                <c:pt idx="5">
                  <c:v>244</c:v>
                </c:pt>
                <c:pt idx="6">
                  <c:v>1944</c:v>
                </c:pt>
                <c:pt idx="7">
                  <c:v>1825</c:v>
                </c:pt>
                <c:pt idx="8">
                  <c:v>714</c:v>
                </c:pt>
              </c:numCache>
            </c:numRef>
          </c:val>
        </c:ser>
        <c:dLbls>
          <c:showLegendKey val="0"/>
          <c:showVal val="0"/>
          <c:showCatName val="0"/>
          <c:showSerName val="0"/>
          <c:showPercent val="0"/>
          <c:showBubbleSize val="0"/>
        </c:dLbls>
        <c:gapWidth val="150"/>
        <c:overlap val="100"/>
        <c:axId val="148345216"/>
        <c:axId val="148346752"/>
      </c:barChart>
      <c:scatterChart>
        <c:scatterStyle val="lineMarker"/>
        <c:varyColors val="0"/>
        <c:ser>
          <c:idx val="2"/>
          <c:order val="2"/>
          <c:tx>
            <c:v>Today</c:v>
          </c:tx>
          <c:spPr>
            <a:ln>
              <a:solidFill>
                <a:schemeClr val="tx1"/>
              </a:solidFill>
            </a:ln>
            <a:effectLst/>
          </c:spPr>
          <c:marker>
            <c:symbol val="none"/>
          </c:marker>
          <c:dLbls>
            <c:dLbl>
              <c:idx val="0"/>
              <c:layout>
                <c:manualLayout>
                  <c:x val="-1.6573441060700228E-3"/>
                  <c:y val="-2.0942411254814591E-2"/>
                </c:manualLayout>
              </c:layout>
              <c:dLblPos val="r"/>
              <c:showLegendKey val="0"/>
              <c:showVal val="0"/>
              <c:showCatName val="1"/>
              <c:showSerName val="1"/>
              <c:showPercent val="0"/>
              <c:showBubbleSize val="0"/>
              <c:separator>
</c:separator>
            </c:dLbl>
            <c:dLbl>
              <c:idx val="1"/>
              <c:delete val="1"/>
            </c:dLbl>
            <c:txPr>
              <a:bodyPr/>
              <a:lstStyle/>
              <a:p>
                <a:pPr>
                  <a:defRPr b="1" i="0" baseline="0"/>
                </a:pPr>
                <a:endParaRPr lang="en-US"/>
              </a:p>
            </c:txPr>
            <c:dLblPos val="r"/>
            <c:showLegendKey val="0"/>
            <c:showVal val="0"/>
            <c:showCatName val="1"/>
            <c:showSerName val="1"/>
            <c:showPercent val="0"/>
            <c:showBubbleSize val="0"/>
            <c:separator>
</c:separator>
            <c:showLeaderLines val="0"/>
          </c:dLbls>
          <c:trendline>
            <c:trendlineType val="linear"/>
            <c:dispRSqr val="0"/>
            <c:dispEq val="0"/>
          </c:trendline>
          <c:trendline>
            <c:trendlineType val="linear"/>
            <c:dispRSqr val="0"/>
            <c:dispEq val="0"/>
          </c:trendline>
          <c:xVal>
            <c:numRef>
              <c:f>'Rag Coding'!$H$1:$H$2</c:f>
              <c:numCache>
                <c:formatCode>m/d/yyyy</c:formatCode>
                <c:ptCount val="2"/>
                <c:pt idx="0">
                  <c:v>42943</c:v>
                </c:pt>
                <c:pt idx="1">
                  <c:v>42943</c:v>
                </c:pt>
              </c:numCache>
            </c:numRef>
          </c:xVal>
          <c:yVal>
            <c:numRef>
              <c:f>'Rag Coding'!$I$1:$I$2</c:f>
              <c:numCache>
                <c:formatCode>General</c:formatCode>
                <c:ptCount val="2"/>
                <c:pt idx="0">
                  <c:v>0</c:v>
                </c:pt>
                <c:pt idx="1">
                  <c:v>1</c:v>
                </c:pt>
              </c:numCache>
            </c:numRef>
          </c:yVal>
          <c:smooth val="0"/>
        </c:ser>
        <c:dLbls>
          <c:showLegendKey val="0"/>
          <c:showVal val="0"/>
          <c:showCatName val="0"/>
          <c:showSerName val="0"/>
          <c:showPercent val="0"/>
          <c:showBubbleSize val="0"/>
        </c:dLbls>
        <c:axId val="148350080"/>
        <c:axId val="148348288"/>
      </c:scatterChart>
      <c:catAx>
        <c:axId val="148345216"/>
        <c:scaling>
          <c:orientation val="maxMin"/>
        </c:scaling>
        <c:delete val="0"/>
        <c:axPos val="l"/>
        <c:majorGridlines>
          <c:spPr>
            <a:ln w="19050" cmpd="sng">
              <a:noFill/>
            </a:ln>
          </c:spPr>
        </c:majorGridlines>
        <c:minorGridlines>
          <c:spPr>
            <a:ln>
              <a:noFill/>
            </a:ln>
          </c:spPr>
        </c:minorGridlines>
        <c:majorTickMark val="out"/>
        <c:minorTickMark val="none"/>
        <c:tickLblPos val="low"/>
        <c:spPr>
          <a:effectLst/>
        </c:spPr>
        <c:txPr>
          <a:bodyPr rot="0" vert="horz" anchor="ctr" anchorCtr="1"/>
          <a:lstStyle/>
          <a:p>
            <a:pPr>
              <a:defRPr/>
            </a:pPr>
            <a:endParaRPr lang="en-US"/>
          </a:p>
        </c:txPr>
        <c:crossAx val="148346752"/>
        <c:crosses val="autoZero"/>
        <c:auto val="1"/>
        <c:lblAlgn val="ctr"/>
        <c:lblOffset val="100"/>
        <c:noMultiLvlLbl val="0"/>
      </c:catAx>
      <c:valAx>
        <c:axId val="148346752"/>
        <c:scaling>
          <c:orientation val="minMax"/>
          <c:max val="43074"/>
          <c:min val="42896"/>
        </c:scaling>
        <c:delete val="0"/>
        <c:axPos val="t"/>
        <c:majorGridlines/>
        <c:minorGridlines>
          <c:spPr>
            <a:ln w="9525">
              <a:solidFill>
                <a:schemeClr val="bg1">
                  <a:lumMod val="85000"/>
                </a:schemeClr>
              </a:solidFill>
            </a:ln>
          </c:spPr>
        </c:minorGridlines>
        <c:numFmt formatCode="d\-mmm\-yy" sourceLinked="0"/>
        <c:majorTickMark val="none"/>
        <c:minorTickMark val="none"/>
        <c:tickLblPos val="nextTo"/>
        <c:txPr>
          <a:bodyPr rot="0" vert="horz"/>
          <a:lstStyle/>
          <a:p>
            <a:pPr>
              <a:defRPr sz="900" kern="1200" cap="none" normalizeH="0" baseline="0"/>
            </a:pPr>
            <a:endParaRPr lang="en-US"/>
          </a:p>
        </c:txPr>
        <c:crossAx val="148345216"/>
        <c:crosses val="autoZero"/>
        <c:crossBetween val="between"/>
        <c:majorUnit val="12"/>
      </c:valAx>
      <c:valAx>
        <c:axId val="148348288"/>
        <c:scaling>
          <c:orientation val="minMax"/>
          <c:max val="1"/>
          <c:min val="0"/>
        </c:scaling>
        <c:delete val="1"/>
        <c:axPos val="l"/>
        <c:numFmt formatCode="General" sourceLinked="1"/>
        <c:majorTickMark val="out"/>
        <c:minorTickMark val="none"/>
        <c:tickLblPos val="nextTo"/>
        <c:crossAx val="148350080"/>
        <c:crosses val="autoZero"/>
        <c:crossBetween val="midCat"/>
      </c:valAx>
      <c:valAx>
        <c:axId val="148350080"/>
        <c:scaling>
          <c:orientation val="minMax"/>
        </c:scaling>
        <c:delete val="1"/>
        <c:axPos val="b"/>
        <c:numFmt formatCode="m/d/yyyy" sourceLinked="1"/>
        <c:majorTickMark val="out"/>
        <c:minorTickMark val="none"/>
        <c:tickLblPos val="nextTo"/>
        <c:crossAx val="148348288"/>
        <c:crosses val="autoZero"/>
        <c:crossBetween val="midCat"/>
      </c:valAx>
      <c:spPr>
        <a:effectLst/>
      </c:spPr>
    </c:plotArea>
    <c:plotVisOnly val="1"/>
    <c:dispBlanksAs val="gap"/>
    <c:showDLblsOverMax val="0"/>
  </c:chart>
  <c:spPr>
    <a:ln>
      <a:noFill/>
    </a:ln>
    <a:effectLst>
      <a:outerShdw blurRad="63500" sx="102000" sy="102000" algn="ctr" rotWithShape="0">
        <a:prstClr val="black">
          <a:alpha val="40000"/>
        </a:prstClr>
      </a:outerShdw>
    </a:effectLst>
  </c:spPr>
  <c:printSettings>
    <c:headerFooter>
      <c:oddHeader>&amp;CProjects Resource Allocation</c:oddHeader>
    </c:headerFooter>
    <c:pageMargins b="0" l="0" r="0" t="0" header="0.31496062992125984" footer="0"/>
    <c:pageSetup paperSize="8"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croll" dx="16" fmlaLink="$B$39" horiz="1" max="12" min="1" page="2" val="12"/>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104776</xdr:rowOff>
    </xdr:from>
    <xdr:ext cx="2876549" cy="450012"/>
    <xdr:sp macro="" textlink="">
      <xdr:nvSpPr>
        <xdr:cNvPr id="2" name="Rectangle 1"/>
        <xdr:cNvSpPr/>
      </xdr:nvSpPr>
      <xdr:spPr>
        <a:xfrm>
          <a:off x="0" y="104776"/>
          <a:ext cx="2876549" cy="450012"/>
        </a:xfrm>
        <a:prstGeom prst="rect">
          <a:avLst/>
        </a:prstGeom>
        <a:noFill/>
      </xdr:spPr>
      <xdr:txBody>
        <a:bodyPr wrap="none" lIns="91440" tIns="45720" rIns="91440" bIns="45720" anchor="ctr">
          <a:noAutofit/>
        </a:bodyPr>
        <a:lstStyle/>
        <a:p>
          <a:pPr algn="l"/>
          <a:r>
            <a:rPr lang="en-US" sz="4400" b="1" cap="none" spc="0" baseline="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rPr>
            <a:t>Dashboard</a:t>
          </a:r>
          <a:endParaRPr lang="en-US" sz="3200" b="1" cap="none" spc="0">
            <a:ln w="17780" cmpd="sng">
              <a:solidFill>
                <a:srgbClr val="FFFFFF"/>
              </a:solidFill>
              <a:prstDash val="solid"/>
              <a:miter lim="800000"/>
            </a:ln>
            <a:gradFill rotWithShape="1">
              <a:gsLst>
                <a:gs pos="0">
                  <a:srgbClr val="000000">
                    <a:tint val="92000"/>
                    <a:shade val="100000"/>
                    <a:satMod val="150000"/>
                  </a:srgbClr>
                </a:gs>
                <a:gs pos="49000">
                  <a:srgbClr val="000000">
                    <a:tint val="89000"/>
                    <a:shade val="90000"/>
                    <a:satMod val="150000"/>
                  </a:srgbClr>
                </a:gs>
                <a:gs pos="50000">
                  <a:srgbClr val="000000">
                    <a:tint val="100000"/>
                    <a:shade val="75000"/>
                    <a:satMod val="150000"/>
                  </a:srgbClr>
                </a:gs>
                <a:gs pos="95000">
                  <a:srgbClr val="000000">
                    <a:shade val="47000"/>
                    <a:satMod val="150000"/>
                  </a:srgbClr>
                </a:gs>
                <a:gs pos="100000">
                  <a:srgbClr val="000000">
                    <a:shade val="39000"/>
                    <a:satMod val="150000"/>
                  </a:srgbClr>
                </a:gs>
              </a:gsLst>
              <a:lin ang="5400000"/>
            </a:gradFill>
            <a:effectLst>
              <a:outerShdw blurRad="50800" algn="tl" rotWithShape="0">
                <a:srgbClr val="000000"/>
              </a:outerShdw>
            </a:effectLst>
          </a:endParaRPr>
        </a:p>
      </xdr:txBody>
    </xdr:sp>
    <xdr:clientData/>
  </xdr:oneCellAnchor>
  <mc:AlternateContent xmlns:mc="http://schemas.openxmlformats.org/markup-compatibility/2006">
    <mc:Choice xmlns:a14="http://schemas.microsoft.com/office/drawing/2010/main" Requires="a14">
      <xdr:twoCellAnchor>
        <xdr:from>
          <xdr:col>13</xdr:col>
          <xdr:colOff>390525</xdr:colOff>
          <xdr:row>0</xdr:row>
          <xdr:rowOff>38100</xdr:rowOff>
        </xdr:from>
        <xdr:to>
          <xdr:col>14</xdr:col>
          <xdr:colOff>361950</xdr:colOff>
          <xdr:row>0</xdr:row>
          <xdr:rowOff>276225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Protect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390525</xdr:colOff>
          <xdr:row>0</xdr:row>
          <xdr:rowOff>285750</xdr:rowOff>
        </xdr:from>
        <xdr:to>
          <xdr:col>14</xdr:col>
          <xdr:colOff>361950</xdr:colOff>
          <xdr:row>1</xdr:row>
          <xdr:rowOff>76200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Un-Protect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0</xdr:row>
          <xdr:rowOff>38100</xdr:rowOff>
        </xdr:from>
        <xdr:to>
          <xdr:col>16</xdr:col>
          <xdr:colOff>219075</xdr:colOff>
          <xdr:row>0</xdr:row>
          <xdr:rowOff>276225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Add 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0</xdr:row>
          <xdr:rowOff>285750</xdr:rowOff>
        </xdr:from>
        <xdr:to>
          <xdr:col>16</xdr:col>
          <xdr:colOff>209550</xdr:colOff>
          <xdr:row>1</xdr:row>
          <xdr:rowOff>76200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Archive Project</a:t>
              </a:r>
            </a:p>
            <a:p>
              <a:pPr algn="ctr" rtl="0">
                <a:defRPr sz="1000"/>
              </a:pPr>
              <a:endParaRPr lang="en-GB" sz="1200" b="1"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1</xdr:row>
          <xdr:rowOff>95250</xdr:rowOff>
        </xdr:from>
        <xdr:to>
          <xdr:col>16</xdr:col>
          <xdr:colOff>219075</xdr:colOff>
          <xdr:row>1</xdr:row>
          <xdr:rowOff>323850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Update Project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95250</xdr:colOff>
          <xdr:row>0</xdr:row>
          <xdr:rowOff>66675</xdr:rowOff>
        </xdr:from>
        <xdr:to>
          <xdr:col>10</xdr:col>
          <xdr:colOff>714375</xdr:colOff>
          <xdr:row>0</xdr:row>
          <xdr:rowOff>400050</xdr:rowOff>
        </xdr:to>
        <xdr:sp macro="" textlink="">
          <xdr:nvSpPr>
            <xdr:cNvPr id="13316" name="Button 4" hidden="1">
              <a:extLst>
                <a:ext uri="{63B3BB69-23CF-44E3-9099-C40C66FF867C}">
                  <a14:compatExt spid="_x0000_s133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 Report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238125</xdr:colOff>
      <xdr:row>0</xdr:row>
      <xdr:rowOff>123826</xdr:rowOff>
    </xdr:from>
    <xdr:to>
      <xdr:col>20</xdr:col>
      <xdr:colOff>323850</xdr:colOff>
      <xdr:row>35</xdr:row>
      <xdr:rowOff>161926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209550</xdr:colOff>
          <xdr:row>36</xdr:row>
          <xdr:rowOff>47625</xdr:rowOff>
        </xdr:from>
        <xdr:to>
          <xdr:col>20</xdr:col>
          <xdr:colOff>314325</xdr:colOff>
          <xdr:row>37</xdr:row>
          <xdr:rowOff>95250</xdr:rowOff>
        </xdr:to>
        <xdr:sp macro="" textlink="">
          <xdr:nvSpPr>
            <xdr:cNvPr id="28673" name="Scroll Bar 1" hidden="1">
              <a:extLst>
                <a:ext uri="{63B3BB69-23CF-44E3-9099-C40C66FF867C}">
                  <a14:compatExt spid="_x0000_s28673"/>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ject_Tracker_Report%20Platform%20V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Page"/>
      <sheetName val="Tracker Sheet"/>
      <sheetName val="Health and Saftey"/>
      <sheetName val="Stage Gate 5"/>
      <sheetName val="Closed Projects (Stage Gate 6)"/>
      <sheetName val="Archive"/>
      <sheetName val="Change Control Register"/>
      <sheetName val="Finance"/>
      <sheetName val="Rag Coding"/>
      <sheetName val="Sheet2"/>
      <sheetName val="Head Office Buildings"/>
      <sheetName val="Project Managers &amp; FacOps Reps"/>
      <sheetName val="Resources Data"/>
      <sheetName val="Resources Planner"/>
    </sheetNames>
    <sheetDataSet>
      <sheetData sheetId="0"/>
      <sheetData sheetId="1">
        <row r="1">
          <cell r="W1"/>
          <cell r="AH1"/>
          <cell r="AS1"/>
          <cell r="BE1" t="str">
            <v>Project Finance</v>
          </cell>
          <cell r="BM1" t="str">
            <v>Project Comments</v>
          </cell>
          <cell r="BP1"/>
        </row>
        <row r="2">
          <cell r="W2" t="str">
            <v>RAG Status</v>
          </cell>
          <cell r="AH2" t="str">
            <v>RAG Status</v>
          </cell>
          <cell r="AS2" t="str">
            <v>RAG Status</v>
          </cell>
          <cell r="BE2" t="str">
            <v>Approved Budget</v>
          </cell>
          <cell r="BM2" t="str">
            <v>Risk &amp; Issues:</v>
          </cell>
          <cell r="BP2" t="str">
            <v>Stakeholder Comments</v>
          </cell>
        </row>
        <row r="3">
          <cell r="W3" t="str">
            <v/>
          </cell>
          <cell r="AH3" t="str">
            <v>G</v>
          </cell>
          <cell r="AS3" t="str">
            <v/>
          </cell>
          <cell r="BE3">
            <v>100000</v>
          </cell>
          <cell r="BM3"/>
          <cell r="BP3">
            <v>0</v>
          </cell>
        </row>
        <row r="4">
          <cell r="W4" t="str">
            <v/>
          </cell>
          <cell r="AH4" t="str">
            <v/>
          </cell>
          <cell r="AS4" t="str">
            <v/>
          </cell>
          <cell r="BE4"/>
          <cell r="BM4"/>
          <cell r="BP4">
            <v>0</v>
          </cell>
        </row>
        <row r="5">
          <cell r="W5" t="str">
            <v/>
          </cell>
          <cell r="AH5" t="str">
            <v/>
          </cell>
          <cell r="AS5" t="str">
            <v/>
          </cell>
          <cell r="BE5"/>
          <cell r="BM5"/>
          <cell r="BP5">
            <v>0</v>
          </cell>
        </row>
        <row r="6">
          <cell r="W6" t="str">
            <v/>
          </cell>
          <cell r="AH6" t="str">
            <v/>
          </cell>
          <cell r="AS6" t="str">
            <v/>
          </cell>
          <cell r="BE6"/>
          <cell r="BM6"/>
          <cell r="BP6">
            <v>0</v>
          </cell>
        </row>
        <row r="7">
          <cell r="W7" t="str">
            <v/>
          </cell>
          <cell r="AH7" t="str">
            <v/>
          </cell>
          <cell r="AS7" t="str">
            <v/>
          </cell>
          <cell r="BE7"/>
          <cell r="BM7"/>
          <cell r="BP7">
            <v>0</v>
          </cell>
        </row>
        <row r="8">
          <cell r="W8" t="str">
            <v/>
          </cell>
          <cell r="AH8" t="str">
            <v/>
          </cell>
          <cell r="AS8" t="str">
            <v/>
          </cell>
          <cell r="BE8"/>
          <cell r="BM8"/>
          <cell r="BP8">
            <v>0</v>
          </cell>
        </row>
        <row r="9">
          <cell r="W9" t="str">
            <v/>
          </cell>
          <cell r="AH9" t="str">
            <v/>
          </cell>
          <cell r="AS9" t="str">
            <v/>
          </cell>
          <cell r="BE9"/>
          <cell r="BM9"/>
          <cell r="BP9">
            <v>0</v>
          </cell>
        </row>
        <row r="10">
          <cell r="W10" t="str">
            <v/>
          </cell>
          <cell r="AH10" t="str">
            <v/>
          </cell>
          <cell r="AS10" t="str">
            <v/>
          </cell>
          <cell r="BE10"/>
          <cell r="BM10"/>
          <cell r="BP10">
            <v>0</v>
          </cell>
        </row>
        <row r="11">
          <cell r="W11" t="str">
            <v/>
          </cell>
          <cell r="AH11" t="str">
            <v/>
          </cell>
          <cell r="AS11" t="str">
            <v/>
          </cell>
          <cell r="BE11"/>
          <cell r="BM11"/>
          <cell r="BP11">
            <v>0</v>
          </cell>
        </row>
        <row r="12">
          <cell r="W12" t="str">
            <v/>
          </cell>
          <cell r="AH12" t="str">
            <v/>
          </cell>
          <cell r="AS12" t="str">
            <v/>
          </cell>
          <cell r="BE12"/>
          <cell r="BM12"/>
          <cell r="BP12">
            <v>0</v>
          </cell>
        </row>
        <row r="13">
          <cell r="W13" t="str">
            <v/>
          </cell>
          <cell r="AH13" t="str">
            <v/>
          </cell>
          <cell r="AS13" t="str">
            <v/>
          </cell>
          <cell r="BE13"/>
          <cell r="BM13"/>
          <cell r="BP13">
            <v>0</v>
          </cell>
        </row>
        <row r="14">
          <cell r="W14" t="str">
            <v/>
          </cell>
          <cell r="AH14" t="str">
            <v/>
          </cell>
          <cell r="AS14" t="str">
            <v/>
          </cell>
          <cell r="BE14"/>
          <cell r="BM14"/>
          <cell r="BP14">
            <v>0</v>
          </cell>
        </row>
        <row r="15">
          <cell r="W15" t="str">
            <v/>
          </cell>
          <cell r="AH15" t="str">
            <v/>
          </cell>
          <cell r="AS15" t="str">
            <v/>
          </cell>
          <cell r="BE15"/>
          <cell r="BM15"/>
          <cell r="BP15">
            <v>0</v>
          </cell>
        </row>
        <row r="16">
          <cell r="W16" t="str">
            <v/>
          </cell>
          <cell r="AH16" t="str">
            <v/>
          </cell>
          <cell r="AS16" t="str">
            <v/>
          </cell>
          <cell r="BE16"/>
          <cell r="BM16"/>
          <cell r="BP16">
            <v>0</v>
          </cell>
        </row>
        <row r="17">
          <cell r="W17" t="str">
            <v/>
          </cell>
          <cell r="AH17" t="str">
            <v/>
          </cell>
          <cell r="AS17" t="str">
            <v/>
          </cell>
          <cell r="BE17"/>
          <cell r="BM17"/>
          <cell r="BP17">
            <v>0</v>
          </cell>
        </row>
        <row r="18">
          <cell r="W18" t="str">
            <v/>
          </cell>
          <cell r="AH18" t="str">
            <v/>
          </cell>
          <cell r="AS18" t="str">
            <v/>
          </cell>
          <cell r="BE18"/>
          <cell r="BM18"/>
          <cell r="BP18">
            <v>0</v>
          </cell>
        </row>
        <row r="19">
          <cell r="W19" t="str">
            <v/>
          </cell>
          <cell r="AH19" t="str">
            <v/>
          </cell>
          <cell r="AS19" t="str">
            <v/>
          </cell>
          <cell r="BE19"/>
          <cell r="BM19"/>
          <cell r="BP19">
            <v>0</v>
          </cell>
        </row>
        <row r="20">
          <cell r="W20" t="str">
            <v/>
          </cell>
          <cell r="AH20" t="str">
            <v/>
          </cell>
          <cell r="AS20" t="str">
            <v/>
          </cell>
          <cell r="BE20"/>
          <cell r="BM20"/>
          <cell r="BP20">
            <v>0</v>
          </cell>
        </row>
        <row r="21">
          <cell r="W21" t="str">
            <v/>
          </cell>
          <cell r="AH21" t="str">
            <v/>
          </cell>
          <cell r="AS21" t="str">
            <v/>
          </cell>
          <cell r="BE21"/>
          <cell r="BM21"/>
          <cell r="BP21">
            <v>0</v>
          </cell>
        </row>
        <row r="22">
          <cell r="W22" t="str">
            <v/>
          </cell>
          <cell r="AH22" t="str">
            <v/>
          </cell>
          <cell r="AS22" t="str">
            <v/>
          </cell>
          <cell r="BE22"/>
          <cell r="BM22"/>
          <cell r="BP22">
            <v>0</v>
          </cell>
        </row>
        <row r="23">
          <cell r="W23" t="str">
            <v/>
          </cell>
          <cell r="AH23" t="str">
            <v/>
          </cell>
          <cell r="AS23" t="str">
            <v/>
          </cell>
          <cell r="BE23"/>
          <cell r="BM23"/>
          <cell r="BP23">
            <v>0</v>
          </cell>
        </row>
        <row r="24">
          <cell r="W24" t="str">
            <v/>
          </cell>
          <cell r="AH24" t="str">
            <v/>
          </cell>
          <cell r="AS24" t="str">
            <v/>
          </cell>
          <cell r="BE24"/>
          <cell r="BM24"/>
          <cell r="BP24">
            <v>0</v>
          </cell>
        </row>
        <row r="25">
          <cell r="W25" t="str">
            <v/>
          </cell>
          <cell r="AH25" t="str">
            <v/>
          </cell>
          <cell r="AS25" t="str">
            <v/>
          </cell>
          <cell r="BE25"/>
          <cell r="BM25"/>
          <cell r="BP25">
            <v>0</v>
          </cell>
        </row>
        <row r="26">
          <cell r="W26" t="str">
            <v/>
          </cell>
          <cell r="AH26" t="str">
            <v/>
          </cell>
          <cell r="AS26" t="str">
            <v/>
          </cell>
          <cell r="BE26"/>
          <cell r="BM26"/>
          <cell r="BP26">
            <v>0</v>
          </cell>
        </row>
        <row r="27">
          <cell r="W27" t="str">
            <v/>
          </cell>
          <cell r="AH27" t="str">
            <v/>
          </cell>
          <cell r="AS27" t="str">
            <v/>
          </cell>
          <cell r="BE27"/>
          <cell r="BM27"/>
          <cell r="BP27">
            <v>0</v>
          </cell>
        </row>
        <row r="28">
          <cell r="W28" t="str">
            <v/>
          </cell>
          <cell r="AH28" t="str">
            <v/>
          </cell>
          <cell r="AS28" t="str">
            <v/>
          </cell>
          <cell r="BE28"/>
          <cell r="BM28"/>
          <cell r="BP28">
            <v>0</v>
          </cell>
        </row>
        <row r="29">
          <cell r="W29" t="str">
            <v/>
          </cell>
          <cell r="AH29" t="str">
            <v/>
          </cell>
          <cell r="AS29" t="str">
            <v/>
          </cell>
          <cell r="BE29"/>
          <cell r="BM29"/>
          <cell r="BP29">
            <v>0</v>
          </cell>
        </row>
        <row r="30">
          <cell r="W30" t="str">
            <v/>
          </cell>
          <cell r="AH30" t="str">
            <v/>
          </cell>
          <cell r="AS30" t="str">
            <v/>
          </cell>
          <cell r="BE30"/>
          <cell r="BM30"/>
          <cell r="BP30">
            <v>0</v>
          </cell>
        </row>
        <row r="31">
          <cell r="W31" t="str">
            <v/>
          </cell>
          <cell r="AH31" t="str">
            <v/>
          </cell>
          <cell r="AS31" t="str">
            <v/>
          </cell>
          <cell r="BE31"/>
          <cell r="BM31"/>
          <cell r="BP31">
            <v>0</v>
          </cell>
        </row>
        <row r="32">
          <cell r="W32" t="str">
            <v/>
          </cell>
          <cell r="AH32" t="str">
            <v/>
          </cell>
          <cell r="AS32" t="str">
            <v/>
          </cell>
          <cell r="BE32"/>
          <cell r="BM32"/>
          <cell r="BP32">
            <v>0</v>
          </cell>
        </row>
        <row r="33">
          <cell r="W33" t="str">
            <v/>
          </cell>
          <cell r="AH33" t="str">
            <v/>
          </cell>
          <cell r="AS33" t="str">
            <v/>
          </cell>
          <cell r="BE33"/>
          <cell r="BM33"/>
          <cell r="BP33">
            <v>0</v>
          </cell>
        </row>
        <row r="34">
          <cell r="W34" t="str">
            <v/>
          </cell>
          <cell r="AH34" t="str">
            <v/>
          </cell>
          <cell r="AS34" t="str">
            <v/>
          </cell>
          <cell r="BE34"/>
          <cell r="BM34"/>
          <cell r="BP34">
            <v>0</v>
          </cell>
        </row>
        <row r="35">
          <cell r="W35" t="str">
            <v/>
          </cell>
          <cell r="AH35" t="str">
            <v/>
          </cell>
          <cell r="AS35" t="str">
            <v/>
          </cell>
          <cell r="BE35"/>
          <cell r="BM35"/>
          <cell r="BP35">
            <v>0</v>
          </cell>
        </row>
        <row r="36">
          <cell r="W36" t="str">
            <v/>
          </cell>
          <cell r="AH36" t="str">
            <v/>
          </cell>
          <cell r="AS36" t="str">
            <v/>
          </cell>
          <cell r="BE36"/>
          <cell r="BM36"/>
          <cell r="BP36">
            <v>0</v>
          </cell>
        </row>
        <row r="37">
          <cell r="W37" t="str">
            <v/>
          </cell>
          <cell r="AH37" t="str">
            <v/>
          </cell>
          <cell r="AS37" t="str">
            <v/>
          </cell>
          <cell r="BE37"/>
          <cell r="BM37"/>
          <cell r="BP37">
            <v>0</v>
          </cell>
        </row>
        <row r="38">
          <cell r="W38" t="str">
            <v/>
          </cell>
          <cell r="AH38" t="str">
            <v/>
          </cell>
          <cell r="AS38" t="str">
            <v/>
          </cell>
          <cell r="BE38"/>
          <cell r="BM38"/>
          <cell r="BP38">
            <v>0</v>
          </cell>
        </row>
        <row r="39">
          <cell r="W39" t="str">
            <v/>
          </cell>
          <cell r="AH39" t="str">
            <v/>
          </cell>
          <cell r="AS39" t="str">
            <v/>
          </cell>
          <cell r="BE39"/>
          <cell r="BM39"/>
          <cell r="BP39">
            <v>0</v>
          </cell>
        </row>
        <row r="40">
          <cell r="W40" t="str">
            <v/>
          </cell>
          <cell r="AH40" t="str">
            <v/>
          </cell>
          <cell r="AS40" t="str">
            <v/>
          </cell>
          <cell r="BE40"/>
          <cell r="BM40"/>
          <cell r="BP40">
            <v>0</v>
          </cell>
        </row>
        <row r="44">
          <cell r="BM44"/>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ables/table1.xml><?xml version="1.0" encoding="utf-8"?>
<table xmlns="http://schemas.openxmlformats.org/spreadsheetml/2006/main" id="2" name="Table2" displayName="Table2" ref="A2:I49" totalsRowShown="0" headerRowDxfId="25" dataDxfId="24">
  <autoFilter ref="A2:I49">
    <filterColumn colId="5">
      <filters>
        <filter val="John Murphy"/>
      </filters>
    </filterColumn>
  </autoFilter>
  <sortState ref="A3:I47">
    <sortCondition ref="A2:A47"/>
  </sortState>
  <tableColumns count="9">
    <tableColumn id="2" name="Project ID" dataDxfId="23"/>
    <tableColumn id="3" name="Project Details" dataDxfId="22"/>
    <tableColumn id="4" name="Change Request Description" dataDxfId="21"/>
    <tableColumn id="5" name="Summary of Impact _x000a_(Cost / Schedule / Quality )" dataDxfId="20"/>
    <tableColumn id="6" name="Reason for Change" dataDxfId="19"/>
    <tableColumn id="7" name="Submitted By" dataDxfId="18"/>
    <tableColumn id="8" name="Date Submitted" dataDxfId="17"/>
    <tableColumn id="10" name="Date Approved / Rejected" dataDxfId="16"/>
    <tableColumn id="11" name="Approval / Rejection comment" dataDxfId="15"/>
  </tableColumns>
  <tableStyleInfo name="TableStyleMedium9" showFirstColumn="0" showLastColumn="0" showRowStripes="1" showColumnStripes="0"/>
</table>
</file>

<file path=xl/tables/table2.xml><?xml version="1.0" encoding="utf-8"?>
<table xmlns="http://schemas.openxmlformats.org/spreadsheetml/2006/main" id="1" name="Table1" displayName="Table1" ref="A1:L10" totalsRowShown="0" headerRowDxfId="14" dataDxfId="13">
  <autoFilter ref="A1:L10"/>
  <tableColumns count="12">
    <tableColumn id="1" name="Project ID" dataDxfId="12"/>
    <tableColumn id="2" name="Project Managers" dataDxfId="11"/>
    <tableColumn id="3" name="Column1" dataDxfId="10">
      <calculatedColumnFormula>IF(D2="","",CONCATENATE(LEFT(D2,54),"...."))</calculatedColumnFormula>
    </tableColumn>
    <tableColumn id="4" name="Project Description" dataDxfId="9"/>
    <tableColumn id="5" name="Pulled Project Manager" dataDxfId="8"/>
    <tableColumn id="6" name="Start date" dataDxfId="7"/>
    <tableColumn id="7" name="PulledCompletion" dataDxfId="6"/>
    <tableColumn id="8" name="Completion" dataDxfId="5"/>
    <tableColumn id="9" name="Days" dataDxfId="4">
      <calculatedColumnFormula>IF(K2&gt;=0,K2,0)</calculatedColumnFormula>
    </tableColumn>
    <tableColumn id="10" name="Today" dataDxfId="3"/>
    <tableColumn id="11" name="Pulled DaysColumn1" dataDxfId="2"/>
    <tableColumn id="12" name="Pulled DaysColumn2" dataDxfId="1">
      <calculatedColumnFormula>IFERROR(VLOOKUP($A2,'Tracker Sheet'!$A$3:$BZ$40,79,FALSE), "")</calculatedColumnFormula>
    </tableColumn>
  </tableColumns>
  <tableStyleInfo name="TableStyleLight9" showFirstColumn="0" showLastColumn="0" showRowStripes="1" showColumnStripes="0"/>
</table>
</file>

<file path=xl/tables/table3.xml><?xml version="1.0" encoding="utf-8"?>
<table xmlns="http://schemas.openxmlformats.org/spreadsheetml/2006/main" id="3" name="Table3" displayName="Table3" ref="A1:I21" totalsRowShown="0">
  <autoFilter ref="A1:I21"/>
  <tableColumns count="9">
    <tableColumn id="1" name="Project Names " dataDxfId="0"/>
    <tableColumn id="2" name="ACR/MAP/BMP"/>
    <tableColumn id="3" name="Date Received "/>
    <tableColumn id="4" name="Received from "/>
    <tableColumn id="5" name="Building "/>
    <tableColumn id="6" name="Project Sponsor "/>
    <tableColumn id="7" name="Potential PM"/>
    <tableColumn id="8" name="Potential budget"/>
    <tableColumn id="9" name="Completed by date (indicated)"/>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docmanager.onelondon.tfl.local/livelink/llisapi.dll?func=ll&amp;objId=367783991&amp;objAction=browse" TargetMode="External"/><Relationship Id="rId13" Type="http://schemas.openxmlformats.org/officeDocument/2006/relationships/comments" Target="../comments1.xml"/><Relationship Id="rId3" Type="http://schemas.openxmlformats.org/officeDocument/2006/relationships/hyperlink" Target="http://docmanager.onelondon.tfl.local/livelink/llisapi.dll?func=ll&amp;objId=349205439&amp;objAction=browse" TargetMode="External"/><Relationship Id="rId7" Type="http://schemas.openxmlformats.org/officeDocument/2006/relationships/hyperlink" Target="http://docmanager.onelondon.tfl.local/livelink/llisapi.dll?func=ll&amp;objId=349214569&amp;objAction=browse" TargetMode="External"/><Relationship Id="rId12" Type="http://schemas.openxmlformats.org/officeDocument/2006/relationships/vmlDrawing" Target="../drawings/vmlDrawing2.vml"/><Relationship Id="rId2" Type="http://schemas.openxmlformats.org/officeDocument/2006/relationships/hyperlink" Target="http://docmanager.onelondon.tfl.local/livelink/llisapi.dll?func=ll&amp;objId=336179935&amp;objAction=browse" TargetMode="External"/><Relationship Id="rId1" Type="http://schemas.openxmlformats.org/officeDocument/2006/relationships/hyperlink" Target="http://docmanager.onelondon.tfl.local/livelink/llisapi.dll?func=ll&amp;objId=335757796&amp;objAction=browse" TargetMode="External"/><Relationship Id="rId6" Type="http://schemas.openxmlformats.org/officeDocument/2006/relationships/hyperlink" Target="http://docmanager.onelondon.tfl.local/livelink/llisapi.dll?func=ll&amp;objId=348805377&amp;objAction=browse" TargetMode="External"/><Relationship Id="rId11" Type="http://schemas.openxmlformats.org/officeDocument/2006/relationships/printerSettings" Target="../printerSettings/printerSettings2.bin"/><Relationship Id="rId5" Type="http://schemas.openxmlformats.org/officeDocument/2006/relationships/hyperlink" Target="http://docmanager.onelondon.tfl.local/livelink/llisapi.dll?func=ll&amp;objId=345762375&amp;objAction=browse" TargetMode="External"/><Relationship Id="rId10" Type="http://schemas.openxmlformats.org/officeDocument/2006/relationships/hyperlink" Target="http://docmanager.onelondon.tfl.local/livelink/llisapi.dll?func=ll&amp;objId=368897680&amp;objAction=browse&amp;viewType=1" TargetMode="External"/><Relationship Id="rId4" Type="http://schemas.openxmlformats.org/officeDocument/2006/relationships/hyperlink" Target="http://docmanager.onelondon.tfl.local/livelink/llisapi.dll?func=ll&amp;objId=335856458&amp;objAction=browse" TargetMode="External"/><Relationship Id="rId9" Type="http://schemas.openxmlformats.org/officeDocument/2006/relationships/hyperlink" Target="http://docmanager.onelondon.tfl.local/livelink/llisapi.dll/open/369379920"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http://docmanager.onelondon.tfl.local/livelink/llisapi.dll?func=ll&amp;objId=360623222&amp;objAction=browse" TargetMode="External"/><Relationship Id="rId21" Type="http://schemas.openxmlformats.org/officeDocument/2006/relationships/hyperlink" Target="http://docmanager.onelondon.tfl.local/livelink/llisapi.dll?func=ll&amp;objId=336180039&amp;objAction=browse&amp;viewType=1" TargetMode="External"/><Relationship Id="rId42" Type="http://schemas.openxmlformats.org/officeDocument/2006/relationships/hyperlink" Target="http://docmanager.onelondon.tfl.local/livelink/llisapi.dll?func=ll&amp;objId=345762451&amp;objAction=browse" TargetMode="External"/><Relationship Id="rId63" Type="http://schemas.openxmlformats.org/officeDocument/2006/relationships/hyperlink" Target="http://docmanager.onelondon.tfl.local/livelink/llisapi.dll?func=ll&amp;objId=344153944&amp;objAction=browse" TargetMode="External"/><Relationship Id="rId84" Type="http://schemas.openxmlformats.org/officeDocument/2006/relationships/hyperlink" Target="http://docmanager.onelondon.tfl.local/livelink/llisapi.dll?func=ll&amp;objId=349214649&amp;objAction=browse" TargetMode="External"/><Relationship Id="rId138" Type="http://schemas.openxmlformats.org/officeDocument/2006/relationships/hyperlink" Target="http://docmanager.onelondon.tfl.local/livelink/llisapi.dll?func=ll&amp;objId=362062045&amp;objAction=browse" TargetMode="External"/><Relationship Id="rId159" Type="http://schemas.openxmlformats.org/officeDocument/2006/relationships/hyperlink" Target="http://docmanager.onelondon.tfl.local/livelink/llisapi.dll?func=ll&amp;objId=349547447&amp;objAction=browse" TargetMode="External"/><Relationship Id="rId170" Type="http://schemas.openxmlformats.org/officeDocument/2006/relationships/hyperlink" Target="http://docmanager.onelondon.tfl.local/livelink/llisapi.dll?func=ll&amp;objId=344161981&amp;objAction=browse" TargetMode="External"/><Relationship Id="rId191" Type="http://schemas.openxmlformats.org/officeDocument/2006/relationships/hyperlink" Target="http://docmanager.onelondon.tfl.local/livelink/llisapi.dll?func=ll&amp;objId=361132684&amp;objAction=browse" TargetMode="External"/><Relationship Id="rId205" Type="http://schemas.openxmlformats.org/officeDocument/2006/relationships/hyperlink" Target="http://docmanager.onelondon.tfl.local/livelink/llisapi.dll?func=ll&amp;objId=362062593&amp;objAction=browse" TargetMode="External"/><Relationship Id="rId226" Type="http://schemas.openxmlformats.org/officeDocument/2006/relationships/hyperlink" Target="http://docmanager.onelondon.tfl.local/livelink/llisapi.dll?func=ll&amp;objId=362062277&amp;objAction=browse&amp;viewType=1" TargetMode="External"/><Relationship Id="rId247" Type="http://schemas.openxmlformats.org/officeDocument/2006/relationships/hyperlink" Target="http://docmanager.onelondon.tfl.local/livelink/llisapi.dll?func=ll&amp;objId=367784071&amp;objAction=browse&amp;viewType=1" TargetMode="External"/><Relationship Id="rId107" Type="http://schemas.openxmlformats.org/officeDocument/2006/relationships/hyperlink" Target="http://docmanager.onelondon.tfl.local/livelink/llisapi.dll?func=ll&amp;objId=358808194&amp;objAction=browse" TargetMode="External"/><Relationship Id="rId11" Type="http://schemas.openxmlformats.org/officeDocument/2006/relationships/hyperlink" Target="http://docmanager.onelondon.tfl.local/livelink/llisapi.dll?func=ll&amp;objId=341363114&amp;objAction=browse&amp;viewType=1" TargetMode="External"/><Relationship Id="rId32" Type="http://schemas.openxmlformats.org/officeDocument/2006/relationships/hyperlink" Target="http://docmanager.onelondon.tfl.local/livelink/llisapi.dll?func=ll&amp;objId=335854873&amp;objAction=browse&amp;viewType=1" TargetMode="External"/><Relationship Id="rId53" Type="http://schemas.openxmlformats.org/officeDocument/2006/relationships/hyperlink" Target="http://docmanager.onelondon.tfl.local/livelink/llisapi.dll?func=ll&amp;objId=345728000&amp;objAction=browse" TargetMode="External"/><Relationship Id="rId74" Type="http://schemas.openxmlformats.org/officeDocument/2006/relationships/hyperlink" Target="http://docmanager.onelondon.tfl.local/livelink/llisapi.dll?func=ll&amp;objId=348812218&amp;objAction=browse" TargetMode="External"/><Relationship Id="rId128" Type="http://schemas.openxmlformats.org/officeDocument/2006/relationships/hyperlink" Target="http://docmanager.onelondon.tfl.local/livelink/llisapi.dll?func=ll&amp;objId=351656374&amp;objAction=browse" TargetMode="External"/><Relationship Id="rId149" Type="http://schemas.openxmlformats.org/officeDocument/2006/relationships/hyperlink" Target="http://docmanager.onelondon.tfl.local/livelink/llisapi.dll?func=ll&amp;objId=349547556&amp;objAction=browse" TargetMode="External"/><Relationship Id="rId5" Type="http://schemas.openxmlformats.org/officeDocument/2006/relationships/hyperlink" Target="http://docmanager.onelondon.tfl.local/livelink/llisapi.dll?func=ll&amp;objId=341363116&amp;objAction=browse&amp;viewType=1" TargetMode="External"/><Relationship Id="rId95" Type="http://schemas.openxmlformats.org/officeDocument/2006/relationships/hyperlink" Target="http://docmanager.onelondon.tfl.local/livelink/llisapi.dll?func=ll&amp;objId=349205519&amp;objAction=browse" TargetMode="External"/><Relationship Id="rId160" Type="http://schemas.openxmlformats.org/officeDocument/2006/relationships/hyperlink" Target="http://docmanager.onelondon.tfl.local/livelink/llisapi.dll?func=ll&amp;objId=349547447&amp;objAction=browse" TargetMode="External"/><Relationship Id="rId181" Type="http://schemas.openxmlformats.org/officeDocument/2006/relationships/hyperlink" Target="http://docmanager.onelondon.tfl.local/livelink/llisapi.dll?func=ll&amp;objId=344161981&amp;objAction=browse" TargetMode="External"/><Relationship Id="rId216" Type="http://schemas.openxmlformats.org/officeDocument/2006/relationships/hyperlink" Target="http://docmanager.onelondon.tfl.local/livelink/llisapi.dll?func=ll&amp;objId=335745835&amp;objAction=browse&amp;viewType=1" TargetMode="External"/><Relationship Id="rId237" Type="http://schemas.openxmlformats.org/officeDocument/2006/relationships/hyperlink" Target="http://docmanager.onelondon.tfl.local/livelink/llisapi.dll?func=ll&amp;objId=345727998&amp;objAction=browse" TargetMode="External"/><Relationship Id="rId258" Type="http://schemas.openxmlformats.org/officeDocument/2006/relationships/printerSettings" Target="../printerSettings/printerSettings3.bin"/><Relationship Id="rId22" Type="http://schemas.openxmlformats.org/officeDocument/2006/relationships/hyperlink" Target="http://docmanager.onelondon.tfl.local/livelink/llisapi.dll?func=ll&amp;objId=336182992&amp;objAction=browse&amp;viewType=1" TargetMode="External"/><Relationship Id="rId43" Type="http://schemas.openxmlformats.org/officeDocument/2006/relationships/hyperlink" Target="http://docmanager.onelondon.tfl.local/livelink/llisapi.dll?func=ll&amp;objId=345762449&amp;objAction=browse" TargetMode="External"/><Relationship Id="rId64" Type="http://schemas.openxmlformats.org/officeDocument/2006/relationships/hyperlink" Target="http://docmanager.onelondon.tfl.local/livelink/llisapi.dll?func=ll&amp;objId=344153944&amp;objAction=browse" TargetMode="External"/><Relationship Id="rId118" Type="http://schemas.openxmlformats.org/officeDocument/2006/relationships/hyperlink" Target="http://docmanager.onelondon.tfl.local/livelink/llisapi.dll?func=ll&amp;objId=360623218&amp;objAction=browse" TargetMode="External"/><Relationship Id="rId139" Type="http://schemas.openxmlformats.org/officeDocument/2006/relationships/hyperlink" Target="http://docmanager.onelondon.tfl.local/livelink/llisapi.dll?func=ll&amp;objId=362062045&amp;objAction=browse" TargetMode="External"/><Relationship Id="rId85" Type="http://schemas.openxmlformats.org/officeDocument/2006/relationships/hyperlink" Target="http://docmanager.onelondon.tfl.local/livelink/llisapi.dll?func=ll&amp;objId=349214649&amp;objAction=browse" TargetMode="External"/><Relationship Id="rId150" Type="http://schemas.openxmlformats.org/officeDocument/2006/relationships/hyperlink" Target="http://docmanager.onelondon.tfl.local/livelink/llisapi.dll?func=ll&amp;objId=349547556&amp;objAction=browse" TargetMode="External"/><Relationship Id="rId171" Type="http://schemas.openxmlformats.org/officeDocument/2006/relationships/hyperlink" Target="http://docmanager.onelondon.tfl.local/livelink/llisapi.dll?func=ll&amp;objId=344161981&amp;objAction=browse" TargetMode="External"/><Relationship Id="rId192" Type="http://schemas.openxmlformats.org/officeDocument/2006/relationships/hyperlink" Target="http://docmanager.onelondon.tfl.local/livelink/llisapi.dll?func=ll&amp;objId=361132684&amp;objAction=browse" TargetMode="External"/><Relationship Id="rId206" Type="http://schemas.openxmlformats.org/officeDocument/2006/relationships/hyperlink" Target="http://docmanager.onelondon.tfl.local/livelink/llisapi.dll?func=ll&amp;objId=362062593&amp;objAction=browse" TargetMode="External"/><Relationship Id="rId227" Type="http://schemas.openxmlformats.org/officeDocument/2006/relationships/hyperlink" Target="http://docmanager.onelondon.tfl.local/livelink/llisapi.dll?func=ll&amp;objId=362062281&amp;objAction=browse&amp;viewType=1" TargetMode="External"/><Relationship Id="rId248" Type="http://schemas.openxmlformats.org/officeDocument/2006/relationships/hyperlink" Target="http://docmanager.onelondon.tfl.local/livelink/llisapi.dll?func=ll&amp;objId=367784071&amp;objAction=browse&amp;viewType=1" TargetMode="External"/><Relationship Id="rId12" Type="http://schemas.openxmlformats.org/officeDocument/2006/relationships/hyperlink" Target="http://docmanager.onelondon.tfl.local/livelink/llisapi.dll?func=ll&amp;objId=336181238&amp;objAction=browse&amp;viewType=1" TargetMode="External"/><Relationship Id="rId33" Type="http://schemas.openxmlformats.org/officeDocument/2006/relationships/hyperlink" Target="http://docmanager.onelondon.tfl.local/livelink/llisapi.dll?func=ll&amp;objId=335855272&amp;objAction=browse&amp;viewType=1http://docmanager.onelondon.tfl.local/livelink/llisapi.dll?func=ll&amp;objId=335855272&amp;objAction=browse&amp;viewType=1" TargetMode="External"/><Relationship Id="rId108" Type="http://schemas.openxmlformats.org/officeDocument/2006/relationships/hyperlink" Target="http://docmanager.onelondon.tfl.local/livelink/llisapi.dll?func=ll&amp;objId=358808190&amp;objAction=browse" TargetMode="External"/><Relationship Id="rId129" Type="http://schemas.openxmlformats.org/officeDocument/2006/relationships/hyperlink" Target="http://docmanager.onelondon.tfl.local/livelink/llisapi.dll?func=ll&amp;objId=351656374&amp;objAction=browse" TargetMode="External"/><Relationship Id="rId54" Type="http://schemas.openxmlformats.org/officeDocument/2006/relationships/hyperlink" Target="http://docmanager.onelondon.tfl.local/livelink/llisapi.dll?func=ll&amp;objId=345728000&amp;objAction=browse" TargetMode="External"/><Relationship Id="rId70" Type="http://schemas.openxmlformats.org/officeDocument/2006/relationships/hyperlink" Target="http://docmanager.onelondon.tfl.local/livelink/llisapi.dll?func=ll&amp;objId=344159339&amp;objAction=browse" TargetMode="External"/><Relationship Id="rId75" Type="http://schemas.openxmlformats.org/officeDocument/2006/relationships/hyperlink" Target="http://docmanager.onelondon.tfl.local/livelink/llisapi.dll?func=ll&amp;objId=348812218&amp;objAction=browse" TargetMode="External"/><Relationship Id="rId91" Type="http://schemas.openxmlformats.org/officeDocument/2006/relationships/hyperlink" Target="http://docmanager.onelondon.tfl.local/livelink/llisapi.dll?func=ll&amp;objId=349205519&amp;objAction=browse" TargetMode="External"/><Relationship Id="rId96" Type="http://schemas.openxmlformats.org/officeDocument/2006/relationships/hyperlink" Target="http://docmanager.onelondon.tfl.local/livelink/llisapi.dll?func=ll&amp;objId=349205519&amp;objAction=browse" TargetMode="External"/><Relationship Id="rId140" Type="http://schemas.openxmlformats.org/officeDocument/2006/relationships/hyperlink" Target="http://docmanager.onelondon.tfl.local/livelink/llisapi.dll?func=ll&amp;objId=362062043&amp;objAction=browse" TargetMode="External"/><Relationship Id="rId145" Type="http://schemas.openxmlformats.org/officeDocument/2006/relationships/hyperlink" Target="http://docmanager.onelondon.tfl.local/livelink/llisapi.dll?func=ll&amp;objId=362062167&amp;objAction=browse" TargetMode="External"/><Relationship Id="rId161" Type="http://schemas.openxmlformats.org/officeDocument/2006/relationships/hyperlink" Target="http://docmanager.onelondon.tfl.local/livelink/llisapi.dll?func=ll&amp;objId=349547445&amp;objAction=browse" TargetMode="External"/><Relationship Id="rId166" Type="http://schemas.openxmlformats.org/officeDocument/2006/relationships/hyperlink" Target="http://docmanager.onelondon.tfl.local/livelink/llisapi.dll?func=ll&amp;objId=350502328&amp;objAction=browse" TargetMode="External"/><Relationship Id="rId182" Type="http://schemas.openxmlformats.org/officeDocument/2006/relationships/hyperlink" Target="http://docmanager.onelondon.tfl.local/livelink/llisapi.dll?func=ll&amp;objId=344161981&amp;objAction=browse" TargetMode="External"/><Relationship Id="rId187" Type="http://schemas.openxmlformats.org/officeDocument/2006/relationships/hyperlink" Target="http://docmanager.onelondon.tfl.local/livelink/llisapi.dll?func=ll&amp;objId=361603353&amp;objAction=browse" TargetMode="External"/><Relationship Id="rId217" Type="http://schemas.openxmlformats.org/officeDocument/2006/relationships/hyperlink" Target="http://docmanager.onelondon.tfl.local/livelink/llisapi.dll?func=ll&amp;objId=335745835&amp;objAction=browse&amp;viewType=1" TargetMode="External"/><Relationship Id="rId1" Type="http://schemas.openxmlformats.org/officeDocument/2006/relationships/hyperlink" Target="http://docmanager.onelondon.tfl.local/livelink/llisapi.dll?func=ll&amp;objId=341363116&amp;objAction=browse&amp;viewType=1" TargetMode="External"/><Relationship Id="rId6" Type="http://schemas.openxmlformats.org/officeDocument/2006/relationships/hyperlink" Target="http://docmanager.onelondon.tfl.local/livelink/llisapi.dll?func=ll&amp;objId=341363116&amp;objAction=browse&amp;viewType=1" TargetMode="External"/><Relationship Id="rId212" Type="http://schemas.openxmlformats.org/officeDocument/2006/relationships/hyperlink" Target="http://docmanager.onelondon.tfl.local/livelink/llisapi.dll?func=ll&amp;objId=335752653&amp;objAction=browse&amp;viewType=1" TargetMode="External"/><Relationship Id="rId233" Type="http://schemas.openxmlformats.org/officeDocument/2006/relationships/hyperlink" Target="http://docmanager.onelondon.tfl.local/livelink/llisapi.dll?func=ll&amp;objId=345762453&amp;objAction=browse" TargetMode="External"/><Relationship Id="rId238" Type="http://schemas.openxmlformats.org/officeDocument/2006/relationships/hyperlink" Target="http://docmanager.onelondon.tfl.local/livelink/llisapi.dll?func=ll&amp;objId=344153062&amp;objAction=browse" TargetMode="External"/><Relationship Id="rId254" Type="http://schemas.openxmlformats.org/officeDocument/2006/relationships/hyperlink" Target="http://docmanager.onelondon.tfl.local/livelink/llisapi.dll?func=ll&amp;objId=348805402&amp;objAction=browse" TargetMode="External"/><Relationship Id="rId23" Type="http://schemas.openxmlformats.org/officeDocument/2006/relationships/hyperlink" Target="http://docmanager.onelondon.tfl.local/livelink/llisapi.dll?func=ll&amp;objId=335855673&amp;objAction=browse&amp;viewType=1" TargetMode="External"/><Relationship Id="rId28" Type="http://schemas.openxmlformats.org/officeDocument/2006/relationships/hyperlink" Target="http://docmanager.onelondon.tfl.local/livelink/llisapi.dll?func=ll&amp;objId=335855272&amp;objAction=browse&amp;viewType=1" TargetMode="External"/><Relationship Id="rId49" Type="http://schemas.openxmlformats.org/officeDocument/2006/relationships/hyperlink" Target="http://docmanager.onelondon.tfl.local/livelink/llisapi.dll?func=ll&amp;objId=344822564&amp;objAction=browse" TargetMode="External"/><Relationship Id="rId114" Type="http://schemas.openxmlformats.org/officeDocument/2006/relationships/hyperlink" Target="http://docmanager.onelondon.tfl.local/livelink/llisapi.dll?func=ll&amp;objId=360623222&amp;objAction=browse" TargetMode="External"/><Relationship Id="rId119" Type="http://schemas.openxmlformats.org/officeDocument/2006/relationships/hyperlink" Target="http://docmanager.onelondon.tfl.local/livelink/llisapi.dll?func=ll&amp;objId=360623218&amp;objAction=browse" TargetMode="External"/><Relationship Id="rId44" Type="http://schemas.openxmlformats.org/officeDocument/2006/relationships/hyperlink" Target="http://docmanager.onelondon.tfl.local/livelink/llisapi.dll?func=ll&amp;objId=344822568&amp;objAction=browse" TargetMode="External"/><Relationship Id="rId60" Type="http://schemas.openxmlformats.org/officeDocument/2006/relationships/hyperlink" Target="http://docmanager.onelondon.tfl.local/livelink/llisapi.dll?func=ll&amp;objId=345727994&amp;objAction=browse" TargetMode="External"/><Relationship Id="rId65" Type="http://schemas.openxmlformats.org/officeDocument/2006/relationships/hyperlink" Target="http://docmanager.onelondon.tfl.local/livelink/llisapi.dll?func=ll&amp;objId=344153944&amp;objAction=browse" TargetMode="External"/><Relationship Id="rId81" Type="http://schemas.openxmlformats.org/officeDocument/2006/relationships/hyperlink" Target="http://docmanager.onelondon.tfl.local/livelink/llisapi.dll?func=ll&amp;objId=349214649&amp;objAction=browse" TargetMode="External"/><Relationship Id="rId86" Type="http://schemas.openxmlformats.org/officeDocument/2006/relationships/hyperlink" Target="http://docmanager.onelondon.tfl.local/livelink/llisapi.dll?func=ll&amp;objId=349214649&amp;objAction=browse" TargetMode="External"/><Relationship Id="rId130" Type="http://schemas.openxmlformats.org/officeDocument/2006/relationships/hyperlink" Target="http://docmanager.onelondon.tfl.local/livelink/llisapi.dll?func=ll&amp;objId=351656372&amp;objAction=browse" TargetMode="External"/><Relationship Id="rId135" Type="http://schemas.openxmlformats.org/officeDocument/2006/relationships/hyperlink" Target="http://docmanager.onelondon.tfl.local/livelink/llisapi.dll?func=ll&amp;objId=362062049&amp;objAction=browse" TargetMode="External"/><Relationship Id="rId151" Type="http://schemas.openxmlformats.org/officeDocument/2006/relationships/hyperlink" Target="http://docmanager.onelondon.tfl.local/livelink/llisapi.dll?func=ll&amp;objId=349547556&amp;objAction=browse" TargetMode="External"/><Relationship Id="rId156" Type="http://schemas.openxmlformats.org/officeDocument/2006/relationships/hyperlink" Target="http://docmanager.onelondon.tfl.local/livelink/llisapi.dll?func=ll&amp;objId=349547451&amp;objAction=browse" TargetMode="External"/><Relationship Id="rId177" Type="http://schemas.openxmlformats.org/officeDocument/2006/relationships/hyperlink" Target="http://docmanager.onelondon.tfl.local/livelink/llisapi.dll?func=ll&amp;objId=344161981&amp;objAction=browse" TargetMode="External"/><Relationship Id="rId198" Type="http://schemas.openxmlformats.org/officeDocument/2006/relationships/hyperlink" Target="http://docmanager.onelondon.tfl.local/livelink/llisapi.dll?func=ll&amp;objId=346086457&amp;objAction=browse" TargetMode="External"/><Relationship Id="rId172" Type="http://schemas.openxmlformats.org/officeDocument/2006/relationships/hyperlink" Target="http://docmanager.onelondon.tfl.local/livelink/llisapi.dll?func=ll&amp;objId=344161981&amp;objAction=browse" TargetMode="External"/><Relationship Id="rId193" Type="http://schemas.openxmlformats.org/officeDocument/2006/relationships/hyperlink" Target="http://docmanager.onelondon.tfl.local/livelink/llisapi.dll?func=ll&amp;objId=361132682&amp;objAction=browse" TargetMode="External"/><Relationship Id="rId202" Type="http://schemas.openxmlformats.org/officeDocument/2006/relationships/hyperlink" Target="http://docmanager.onelondon.tfl.local/livelink/llisapi.dll?func=ll&amp;objId=362062381&amp;objAction=browse" TargetMode="External"/><Relationship Id="rId207" Type="http://schemas.openxmlformats.org/officeDocument/2006/relationships/hyperlink" Target="http://docmanager.onelondon.tfl.local/livelink/llisapi.dll?func=ll&amp;objId=362062593&amp;objAction=browse" TargetMode="External"/><Relationship Id="rId223" Type="http://schemas.openxmlformats.org/officeDocument/2006/relationships/hyperlink" Target="http://docmanager.onelondon.tfl.local/livelink/llisapi.dll?func=ll&amp;objId=362062281&amp;objAction=browse&amp;viewType=1" TargetMode="External"/><Relationship Id="rId228" Type="http://schemas.openxmlformats.org/officeDocument/2006/relationships/hyperlink" Target="http://docmanager.onelondon.tfl.local/livelink/llisapi.dll?func=ll&amp;objId=362062275&amp;objAction=browse&amp;viewType=1" TargetMode="External"/><Relationship Id="rId244" Type="http://schemas.openxmlformats.org/officeDocument/2006/relationships/hyperlink" Target="http://docmanager.onelondon.tfl.local/livelink/llisapi.dll/open/367919412" TargetMode="External"/><Relationship Id="rId249" Type="http://schemas.openxmlformats.org/officeDocument/2006/relationships/hyperlink" Target="http://docmanager.onelondon.tfl.local/livelink/llisapi.dll?func=ll&amp;objId=367784071&amp;objAction=browse&amp;viewType=1" TargetMode="External"/><Relationship Id="rId13" Type="http://schemas.openxmlformats.org/officeDocument/2006/relationships/hyperlink" Target="http://docmanager.onelondon.tfl.local/livelink/llisapi.dll?func=ll&amp;objId=336181238&amp;objAction=browse&amp;viewType=1" TargetMode="External"/><Relationship Id="rId18" Type="http://schemas.openxmlformats.org/officeDocument/2006/relationships/hyperlink" Target="http://docmanager.onelondon.tfl.local/livelink/llisapi.dll?func=ll&amp;objId=336181238&amp;objAction=browse&amp;viewType=1" TargetMode="External"/><Relationship Id="rId39" Type="http://schemas.openxmlformats.org/officeDocument/2006/relationships/hyperlink" Target="http://docmanager.onelondon.tfl.local/livelink/llisapi.dll?func=ll&amp;objId=345764197&amp;objAction=browse&amp;viewType=1" TargetMode="External"/><Relationship Id="rId109" Type="http://schemas.openxmlformats.org/officeDocument/2006/relationships/hyperlink" Target="http://docmanager.onelondon.tfl.local/livelink/llisapi.dll?func=ll&amp;objId=358808190&amp;objAction=browse" TargetMode="External"/><Relationship Id="rId34" Type="http://schemas.openxmlformats.org/officeDocument/2006/relationships/hyperlink" Target="http://docmanager.onelondon.tfl.local/livelink/llisapi.dll?func=ll&amp;objId=345764199&amp;objAction=browse&amp;viewType=1" TargetMode="External"/><Relationship Id="rId50" Type="http://schemas.openxmlformats.org/officeDocument/2006/relationships/hyperlink" Target="http://docmanager.onelondon.tfl.local/livelink/llisapi.dll?func=ll&amp;objId=344822562&amp;objAction=browse" TargetMode="External"/><Relationship Id="rId55" Type="http://schemas.openxmlformats.org/officeDocument/2006/relationships/hyperlink" Target="http://docmanager.onelondon.tfl.local/livelink/llisapi.dll?func=ll&amp;objId=345728000&amp;objAction=browse" TargetMode="External"/><Relationship Id="rId76" Type="http://schemas.openxmlformats.org/officeDocument/2006/relationships/hyperlink" Target="http://docmanager.onelondon.tfl.local/livelink/llisapi.dll?func=ll&amp;objId=348812218&amp;objAction=browse" TargetMode="External"/><Relationship Id="rId97" Type="http://schemas.openxmlformats.org/officeDocument/2006/relationships/hyperlink" Target="http://docmanager.onelondon.tfl.local/livelink/llisapi.dll?func=ll&amp;objId=349205519&amp;objAction=browse" TargetMode="External"/><Relationship Id="rId104" Type="http://schemas.openxmlformats.org/officeDocument/2006/relationships/hyperlink" Target="http://docmanager.onelondon.tfl.local/livelink/llisapi.dll?func=ll&amp;objId=358808194&amp;objAction=browse" TargetMode="External"/><Relationship Id="rId120" Type="http://schemas.openxmlformats.org/officeDocument/2006/relationships/hyperlink" Target="http://docmanager.onelondon.tfl.local/livelink/llisapi.dll?func=ll&amp;objId=360623216&amp;objAction=browse" TargetMode="External"/><Relationship Id="rId125" Type="http://schemas.openxmlformats.org/officeDocument/2006/relationships/hyperlink" Target="http://docmanager.onelondon.tfl.local/livelink/llisapi.dll?func=ll&amp;objId=351656378&amp;objAction=browse" TargetMode="External"/><Relationship Id="rId141" Type="http://schemas.openxmlformats.org/officeDocument/2006/relationships/hyperlink" Target="http://docmanager.onelondon.tfl.local/livelink/llisapi.dll?func=ll&amp;objId=362062171&amp;objAction=browse" TargetMode="External"/><Relationship Id="rId146" Type="http://schemas.openxmlformats.org/officeDocument/2006/relationships/hyperlink" Target="http://docmanager.onelondon.tfl.local/livelink/llisapi.dll?func=ll&amp;objId=362062167&amp;objAction=browse" TargetMode="External"/><Relationship Id="rId167" Type="http://schemas.openxmlformats.org/officeDocument/2006/relationships/hyperlink" Target="http://docmanager.onelondon.tfl.local/livelink/llisapi.dll?func=ll&amp;objId=350502328&amp;objAction=browse" TargetMode="External"/><Relationship Id="rId188" Type="http://schemas.openxmlformats.org/officeDocument/2006/relationships/hyperlink" Target="http://docmanager.onelondon.tfl.local/livelink/llisapi.dll?func=ll&amp;objId=361603353&amp;objAction=browse" TargetMode="External"/><Relationship Id="rId7" Type="http://schemas.openxmlformats.org/officeDocument/2006/relationships/hyperlink" Target="http://docmanager.onelondon.tfl.local/livelink/llisapi.dll?func=ll&amp;objId=341363116&amp;objAction=browse&amp;viewType=1" TargetMode="External"/><Relationship Id="rId71" Type="http://schemas.openxmlformats.org/officeDocument/2006/relationships/hyperlink" Target="http://docmanager.onelondon.tfl.local/livelink/llisapi.dll?func=ll&amp;objId=348812218&amp;objAction=browse" TargetMode="External"/><Relationship Id="rId92" Type="http://schemas.openxmlformats.org/officeDocument/2006/relationships/hyperlink" Target="http://docmanager.onelondon.tfl.local/livelink/llisapi.dll?func=ll&amp;objId=349205519&amp;objAction=browse" TargetMode="External"/><Relationship Id="rId162" Type="http://schemas.openxmlformats.org/officeDocument/2006/relationships/hyperlink" Target="http://docmanager.onelondon.tfl.local/livelink/llisapi.dll?func=ll&amp;objId=350502332&amp;objAction=browse" TargetMode="External"/><Relationship Id="rId183" Type="http://schemas.openxmlformats.org/officeDocument/2006/relationships/hyperlink" Target="http://docmanager.onelondon.tfl.local/livelink/llisapi.dll?func=ll&amp;objId=361603357&amp;objAction=browse" TargetMode="External"/><Relationship Id="rId213" Type="http://schemas.openxmlformats.org/officeDocument/2006/relationships/hyperlink" Target="http://docmanager.onelondon.tfl.local/livelink/llisapi.dll?func=ll&amp;objId=335752653&amp;objAction=browse&amp;viewType=1" TargetMode="External"/><Relationship Id="rId218" Type="http://schemas.openxmlformats.org/officeDocument/2006/relationships/hyperlink" Target="http://docmanager.onelondon.tfl.local/livelink/llisapi.dll?func=ll&amp;objId=335745835&amp;objAction=browse&amp;viewType=1" TargetMode="External"/><Relationship Id="rId234" Type="http://schemas.openxmlformats.org/officeDocument/2006/relationships/hyperlink" Target="http://docmanager.onelondon.tfl.local/livelink/llisapi.dll?func=ll&amp;objId=345764148&amp;objAction=browse" TargetMode="External"/><Relationship Id="rId239" Type="http://schemas.openxmlformats.org/officeDocument/2006/relationships/hyperlink" Target="http://docmanager.onelondon.tfl.local/livelink/llisapi.dll?func=ll&amp;objId=348812216&amp;objAction=browse" TargetMode="External"/><Relationship Id="rId2" Type="http://schemas.openxmlformats.org/officeDocument/2006/relationships/hyperlink" Target="http://docmanager.onelondon.tfl.local/livelink/llisapi.dll?func=ll&amp;objId=341363116&amp;objAction=browse&amp;viewType=1" TargetMode="External"/><Relationship Id="rId29" Type="http://schemas.openxmlformats.org/officeDocument/2006/relationships/hyperlink" Target="http://docmanager.onelondon.tfl.local/livelink/llisapi.dll?func=ll&amp;objId=335855272&amp;objAction=browse&amp;viewType=1" TargetMode="External"/><Relationship Id="rId250" Type="http://schemas.openxmlformats.org/officeDocument/2006/relationships/hyperlink" Target="http://docmanager.onelondon.tfl.local/livelink/llisapi.dll?func=ll&amp;objId=367784071&amp;objAction=browse&amp;viewType=1" TargetMode="External"/><Relationship Id="rId255" Type="http://schemas.openxmlformats.org/officeDocument/2006/relationships/hyperlink" Target="http://docmanager.onelondon.tfl.local/livelink/llisapi.dll?func=ll&amp;objId=345762400&amp;objAction=browse" TargetMode="External"/><Relationship Id="rId24" Type="http://schemas.openxmlformats.org/officeDocument/2006/relationships/hyperlink" Target="http://docmanager.onelondon.tfl.local/livelink/llisapi.dll?func=ll&amp;objId=335855673&amp;objAction=browse&amp;viewType=1" TargetMode="External"/><Relationship Id="rId40" Type="http://schemas.openxmlformats.org/officeDocument/2006/relationships/hyperlink" Target="http://docmanager.onelondon.tfl.local/livelink/llisapi.dll?func=ll&amp;objId=345764197&amp;objAction=browse&amp;viewType=1" TargetMode="External"/><Relationship Id="rId45" Type="http://schemas.openxmlformats.org/officeDocument/2006/relationships/hyperlink" Target="http://docmanager.onelondon.tfl.local/livelink/llisapi.dll?func=ll&amp;objId=344822568&amp;objAction=browse" TargetMode="External"/><Relationship Id="rId66" Type="http://schemas.openxmlformats.org/officeDocument/2006/relationships/hyperlink" Target="http://docmanager.onelondon.tfl.local/livelink/llisapi.dll?func=ll&amp;objId=344153944&amp;objAction=browse" TargetMode="External"/><Relationship Id="rId87" Type="http://schemas.openxmlformats.org/officeDocument/2006/relationships/hyperlink" Target="http://docmanager.onelondon.tfl.local/livelink/llisapi.dll?func=ll&amp;objId=349214649&amp;objAction=browse" TargetMode="External"/><Relationship Id="rId110" Type="http://schemas.openxmlformats.org/officeDocument/2006/relationships/hyperlink" Target="http://docmanager.onelondon.tfl.local/livelink/llisapi.dll?func=ll&amp;objId=358808188&amp;objAction=browse" TargetMode="External"/><Relationship Id="rId115" Type="http://schemas.openxmlformats.org/officeDocument/2006/relationships/hyperlink" Target="http://docmanager.onelondon.tfl.local/livelink/llisapi.dll?func=ll&amp;objId=360623222&amp;objAction=browse" TargetMode="External"/><Relationship Id="rId131" Type="http://schemas.openxmlformats.org/officeDocument/2006/relationships/hyperlink" Target="http://docmanager.onelondon.tfl.local/livelink/llisapi.dll?func=ll&amp;objId=362062049&amp;objAction=browse" TargetMode="External"/><Relationship Id="rId136" Type="http://schemas.openxmlformats.org/officeDocument/2006/relationships/hyperlink" Target="http://docmanager.onelondon.tfl.local/livelink/llisapi.dll?func=ll&amp;objId=362062049&amp;objAction=browse" TargetMode="External"/><Relationship Id="rId157" Type="http://schemas.openxmlformats.org/officeDocument/2006/relationships/hyperlink" Target="http://docmanager.onelondon.tfl.local/livelink/llisapi.dll?func=ll&amp;objId=349547451&amp;objAction=browse" TargetMode="External"/><Relationship Id="rId178" Type="http://schemas.openxmlformats.org/officeDocument/2006/relationships/hyperlink" Target="http://docmanager.onelondon.tfl.local/livelink/llisapi.dll?func=ll&amp;objId=344161981&amp;objAction=browse" TargetMode="External"/><Relationship Id="rId61" Type="http://schemas.openxmlformats.org/officeDocument/2006/relationships/hyperlink" Target="http://docmanager.onelondon.tfl.local/livelink/llisapi.dll?func=ll&amp;objId=344153944&amp;objAction=browse" TargetMode="External"/><Relationship Id="rId82" Type="http://schemas.openxmlformats.org/officeDocument/2006/relationships/hyperlink" Target="http://docmanager.onelondon.tfl.local/livelink/llisapi.dll?func=ll&amp;objId=349214649&amp;objAction=browse" TargetMode="External"/><Relationship Id="rId152" Type="http://schemas.openxmlformats.org/officeDocument/2006/relationships/hyperlink" Target="http://docmanager.onelondon.tfl.local/livelink/llisapi.dll?func=ll&amp;objId=349547552&amp;objAction=browse" TargetMode="External"/><Relationship Id="rId173" Type="http://schemas.openxmlformats.org/officeDocument/2006/relationships/hyperlink" Target="http://docmanager.onelondon.tfl.local/livelink/llisapi.dll?func=ll&amp;objId=344161981&amp;objAction=browse" TargetMode="External"/><Relationship Id="rId194" Type="http://schemas.openxmlformats.org/officeDocument/2006/relationships/hyperlink" Target="http://docmanager.onelondon.tfl.local/livelink/llisapi.dll?func=ll&amp;objId=346086461&amp;objAction=browse" TargetMode="External"/><Relationship Id="rId199" Type="http://schemas.openxmlformats.org/officeDocument/2006/relationships/hyperlink" Target="http://docmanager.onelondon.tfl.local/livelink/llisapi.dll?func=ll&amp;objId=346086457&amp;objAction=browse" TargetMode="External"/><Relationship Id="rId203" Type="http://schemas.openxmlformats.org/officeDocument/2006/relationships/hyperlink" Target="http://docmanager.onelondon.tfl.local/livelink/llisapi.dll?func=ll&amp;objId=362062381&amp;objAction=browse" TargetMode="External"/><Relationship Id="rId208" Type="http://schemas.openxmlformats.org/officeDocument/2006/relationships/hyperlink" Target="http://docmanager.onelondon.tfl.local/livelink/llisapi.dll?func=ll&amp;objId=362062593&amp;objAction=browse" TargetMode="External"/><Relationship Id="rId229" Type="http://schemas.openxmlformats.org/officeDocument/2006/relationships/hyperlink" Target="file:///\\docmanager.onelondon.tfl.local\DavWWWRoot\otcsdav\nodes\351712192\Project%20Tracker%20Report-2.2%2011%20May%2016.xls" TargetMode="External"/><Relationship Id="rId19" Type="http://schemas.openxmlformats.org/officeDocument/2006/relationships/hyperlink" Target="http://docmanager.onelondon.tfl.local/livelink/llisapi.dll?func=ll&amp;objId=336182683&amp;objAction=browse&amp;viewType=1" TargetMode="External"/><Relationship Id="rId224" Type="http://schemas.openxmlformats.org/officeDocument/2006/relationships/hyperlink" Target="http://docmanager.onelondon.tfl.local/livelink/llisapi.dll?func=ll&amp;objId=362062281&amp;objAction=browse&amp;viewType=1" TargetMode="External"/><Relationship Id="rId240" Type="http://schemas.openxmlformats.org/officeDocument/2006/relationships/hyperlink" Target="http://docmanager.onelondon.tfl.local/livelink/llisapi.dll?func=ll&amp;objId=349214647&amp;objAction=browse" TargetMode="External"/><Relationship Id="rId245" Type="http://schemas.openxmlformats.org/officeDocument/2006/relationships/hyperlink" Target="http://docmanager.onelondon.tfl.local/livelink/llisapi.dll?func=ll&amp;objId=345762455&amp;objAction=browse&amp;viewType=1" TargetMode="External"/><Relationship Id="rId14" Type="http://schemas.openxmlformats.org/officeDocument/2006/relationships/hyperlink" Target="http://docmanager.onelondon.tfl.local/livelink/llisapi.dll?func=ll&amp;objId=336181238&amp;objAction=browse&amp;viewType=1" TargetMode="External"/><Relationship Id="rId30" Type="http://schemas.openxmlformats.org/officeDocument/2006/relationships/hyperlink" Target="http://docmanager.onelondon.tfl.local/livelink/llisapi.dll?func=ll&amp;objId=335855673&amp;objAction=browse&amp;viewType=1" TargetMode="External"/><Relationship Id="rId35" Type="http://schemas.openxmlformats.org/officeDocument/2006/relationships/hyperlink" Target="http://docmanager.onelondon.tfl.local/livelink/llisapi.dll?func=ll&amp;objId=345764197&amp;objAction=browse&amp;viewType=1" TargetMode="External"/><Relationship Id="rId56" Type="http://schemas.openxmlformats.org/officeDocument/2006/relationships/hyperlink" Target="http://docmanager.onelondon.tfl.local/livelink/llisapi.dll?func=ll&amp;objId=345728000&amp;objAction=browse" TargetMode="External"/><Relationship Id="rId77" Type="http://schemas.openxmlformats.org/officeDocument/2006/relationships/hyperlink" Target="http://docmanager.onelondon.tfl.local/livelink/llisapi.dll?func=ll&amp;objId=348812218&amp;objAction=browse" TargetMode="External"/><Relationship Id="rId100" Type="http://schemas.openxmlformats.org/officeDocument/2006/relationships/hyperlink" Target="http://docmanager.onelondon.tfl.local/livelink/llisapi.dll?func=ll&amp;objId=349205513&amp;objAction=browse" TargetMode="External"/><Relationship Id="rId105" Type="http://schemas.openxmlformats.org/officeDocument/2006/relationships/hyperlink" Target="http://docmanager.onelondon.tfl.local/livelink/llisapi.dll?func=ll&amp;objId=358808194&amp;objAction=browse" TargetMode="External"/><Relationship Id="rId126" Type="http://schemas.openxmlformats.org/officeDocument/2006/relationships/hyperlink" Target="http://docmanager.onelondon.tfl.local/livelink/llisapi.dll?func=ll&amp;objId=351656378&amp;objAction=browse" TargetMode="External"/><Relationship Id="rId147" Type="http://schemas.openxmlformats.org/officeDocument/2006/relationships/hyperlink" Target="http://docmanager.onelondon.tfl.local/livelink/llisapi.dll?func=ll&amp;objId=362062165&amp;objAction=browse" TargetMode="External"/><Relationship Id="rId168" Type="http://schemas.openxmlformats.org/officeDocument/2006/relationships/hyperlink" Target="http://docmanager.onelondon.tfl.local/livelink/llisapi.dll?func=ll&amp;objId=350502326&amp;objAction=browse" TargetMode="External"/><Relationship Id="rId8" Type="http://schemas.openxmlformats.org/officeDocument/2006/relationships/hyperlink" Target="http://docmanager.onelondon.tfl.local/livelink/llisapi.dll?func=ll&amp;objId=341363112&amp;objAction=browse&amp;viewType=1" TargetMode="External"/><Relationship Id="rId51" Type="http://schemas.openxmlformats.org/officeDocument/2006/relationships/hyperlink" Target="http://docmanager.onelondon.tfl.local/livelink/llisapi.dll?func=ll&amp;objId=345728000&amp;objAction=browse" TargetMode="External"/><Relationship Id="rId72" Type="http://schemas.openxmlformats.org/officeDocument/2006/relationships/hyperlink" Target="http://docmanager.onelondon.tfl.local/livelink/llisapi.dll?func=ll&amp;objId=348812218&amp;objAction=browse" TargetMode="External"/><Relationship Id="rId93" Type="http://schemas.openxmlformats.org/officeDocument/2006/relationships/hyperlink" Target="http://docmanager.onelondon.tfl.local/livelink/llisapi.dll?func=ll&amp;objId=349205519&amp;objAction=browse" TargetMode="External"/><Relationship Id="rId98" Type="http://schemas.openxmlformats.org/officeDocument/2006/relationships/hyperlink" Target="http://docmanager.onelondon.tfl.local/livelink/llisapi.dll?func=ll&amp;objId=349205515&amp;objAction=browse" TargetMode="External"/><Relationship Id="rId121" Type="http://schemas.openxmlformats.org/officeDocument/2006/relationships/hyperlink" Target="http://docmanager.onelondon.tfl.local/livelink/llisapi.dll?func=ll&amp;objId=351656378&amp;objAction=browse" TargetMode="External"/><Relationship Id="rId142" Type="http://schemas.openxmlformats.org/officeDocument/2006/relationships/hyperlink" Target="http://docmanager.onelondon.tfl.local/livelink/llisapi.dll?func=ll&amp;objId=362062171&amp;objAction=browse" TargetMode="External"/><Relationship Id="rId163" Type="http://schemas.openxmlformats.org/officeDocument/2006/relationships/hyperlink" Target="http://docmanager.onelondon.tfl.local/livelink/llisapi.dll?func=ll&amp;objId=350502332&amp;objAction=browse" TargetMode="External"/><Relationship Id="rId184" Type="http://schemas.openxmlformats.org/officeDocument/2006/relationships/hyperlink" Target="http://docmanager.onelondon.tfl.local/livelink/llisapi.dll?func=ll&amp;objId=361603357&amp;objAction=browse" TargetMode="External"/><Relationship Id="rId189" Type="http://schemas.openxmlformats.org/officeDocument/2006/relationships/hyperlink" Target="http://docmanager.onelondon.tfl.local/livelink/llisapi.dll?func=ll&amp;objId=361603351&amp;objAction=browse" TargetMode="External"/><Relationship Id="rId219" Type="http://schemas.openxmlformats.org/officeDocument/2006/relationships/hyperlink" Target="http://docmanager.onelondon.tfl.local/livelink/llisapi.dll?func=ll&amp;objId=362062281&amp;objAction=browse&amp;viewType=1" TargetMode="External"/><Relationship Id="rId3" Type="http://schemas.openxmlformats.org/officeDocument/2006/relationships/hyperlink" Target="http://docmanager.onelondon.tfl.local/livelink/llisapi.dll?func=ll&amp;objId=341363116&amp;objAction=browse&amp;viewType=1" TargetMode="External"/><Relationship Id="rId214" Type="http://schemas.openxmlformats.org/officeDocument/2006/relationships/hyperlink" Target="http://docmanager.onelondon.tfl.local/livelink/llisapi.dll?func=ll&amp;objId=335752653&amp;objAction=browse&amp;viewType=1" TargetMode="External"/><Relationship Id="rId230" Type="http://schemas.openxmlformats.org/officeDocument/2006/relationships/hyperlink" Target="file:///\\docmanager.onelondon.tfl.local\DavWWWRoot\otcsdav\nodes\351712192\Project%20Tracker%20Report-2.2%2011%20May%2016.xls" TargetMode="External"/><Relationship Id="rId235" Type="http://schemas.openxmlformats.org/officeDocument/2006/relationships/hyperlink" Target="http://docmanager.onelondon.tfl.local/livelink/llisapi.dll?func=ll&amp;objId=344822566&amp;objAction=browse" TargetMode="External"/><Relationship Id="rId251" Type="http://schemas.openxmlformats.org/officeDocument/2006/relationships/hyperlink" Target="http://docmanager.onelondon.tfl.local/livelink/llisapi.dll?func=ll&amp;objId=367784071&amp;objAction=browse&amp;viewType=1" TargetMode="External"/><Relationship Id="rId256" Type="http://schemas.openxmlformats.org/officeDocument/2006/relationships/hyperlink" Target="http://docmanager.onelondon.tfl.local/livelink/llisapi.dll?func=ll&amp;objId=345727998&amp;objAction=browse" TargetMode="External"/><Relationship Id="rId25" Type="http://schemas.openxmlformats.org/officeDocument/2006/relationships/hyperlink" Target="http://docmanager.onelondon.tfl.local/livelink/llisapi.dll?func=ll&amp;objId=335855673&amp;objAction=browse&amp;viewType=1" TargetMode="External"/><Relationship Id="rId46" Type="http://schemas.openxmlformats.org/officeDocument/2006/relationships/hyperlink" Target="http://docmanager.onelondon.tfl.local/livelink/llisapi.dll?func=ll&amp;objId=344822568&amp;objAction=browse" TargetMode="External"/><Relationship Id="rId67" Type="http://schemas.openxmlformats.org/officeDocument/2006/relationships/hyperlink" Target="http://docmanager.onelondon.tfl.local/livelink/llisapi.dll?func=ll&amp;objId=344153944&amp;objAction=browse" TargetMode="External"/><Relationship Id="rId116" Type="http://schemas.openxmlformats.org/officeDocument/2006/relationships/hyperlink" Target="http://docmanager.onelondon.tfl.local/livelink/llisapi.dll?func=ll&amp;objId=360623222&amp;objAction=browse" TargetMode="External"/><Relationship Id="rId137" Type="http://schemas.openxmlformats.org/officeDocument/2006/relationships/hyperlink" Target="http://docmanager.onelondon.tfl.local/livelink/llisapi.dll?func=ll&amp;objId=362062049&amp;objAction=browse" TargetMode="External"/><Relationship Id="rId158" Type="http://schemas.openxmlformats.org/officeDocument/2006/relationships/hyperlink" Target="http://docmanager.onelondon.tfl.local/livelink/llisapi.dll?func=ll&amp;objId=349547451&amp;objAction=browse" TargetMode="External"/><Relationship Id="rId20" Type="http://schemas.openxmlformats.org/officeDocument/2006/relationships/hyperlink" Target="http://docmanager.onelondon.tfl.local/livelink/llisapi.dll?func=ll&amp;objId=336182683&amp;objAction=browse&amp;viewType=1" TargetMode="External"/><Relationship Id="rId41" Type="http://schemas.openxmlformats.org/officeDocument/2006/relationships/hyperlink" Target="http://docmanager.onelondon.tfl.local/livelink/llisapi.dll?func=ll&amp;objId=345762451&amp;objAction=browse" TargetMode="External"/><Relationship Id="rId62" Type="http://schemas.openxmlformats.org/officeDocument/2006/relationships/hyperlink" Target="http://docmanager.onelondon.tfl.local/livelink/llisapi.dll?func=ll&amp;objId=344153944&amp;objAction=browse" TargetMode="External"/><Relationship Id="rId83" Type="http://schemas.openxmlformats.org/officeDocument/2006/relationships/hyperlink" Target="http://docmanager.onelondon.tfl.local/livelink/llisapi.dll?func=ll&amp;objId=349214649&amp;objAction=browse" TargetMode="External"/><Relationship Id="rId88" Type="http://schemas.openxmlformats.org/officeDocument/2006/relationships/hyperlink" Target="http://docmanager.onelondon.tfl.local/livelink/llisapi.dll?func=ll&amp;objId=349214645&amp;objAction=browse" TargetMode="External"/><Relationship Id="rId111" Type="http://schemas.openxmlformats.org/officeDocument/2006/relationships/hyperlink" Target="http://docmanager.onelondon.tfl.local/livelink/llisapi.dll?func=ll&amp;objId=360623222&amp;objAction=browse" TargetMode="External"/><Relationship Id="rId132" Type="http://schemas.openxmlformats.org/officeDocument/2006/relationships/hyperlink" Target="http://docmanager.onelondon.tfl.local/livelink/llisapi.dll?func=ll&amp;objId=362062049&amp;objAction=browse" TargetMode="External"/><Relationship Id="rId153" Type="http://schemas.openxmlformats.org/officeDocument/2006/relationships/hyperlink" Target="http://docmanager.onelondon.tfl.local/livelink/llisapi.dll?func=ll&amp;objId=349547552&amp;objAction=browse" TargetMode="External"/><Relationship Id="rId174" Type="http://schemas.openxmlformats.org/officeDocument/2006/relationships/hyperlink" Target="http://docmanager.onelondon.tfl.local/livelink/llisapi.dll?func=ll&amp;objId=344161981&amp;objAction=browse" TargetMode="External"/><Relationship Id="rId179" Type="http://schemas.openxmlformats.org/officeDocument/2006/relationships/hyperlink" Target="http://docmanager.onelondon.tfl.local/livelink/llisapi.dll?func=ll&amp;objId=344161981&amp;objAction=browse" TargetMode="External"/><Relationship Id="rId195" Type="http://schemas.openxmlformats.org/officeDocument/2006/relationships/hyperlink" Target="http://docmanager.onelondon.tfl.local/livelink/llisapi.dll?func=ll&amp;objId=346086461&amp;objAction=browse" TargetMode="External"/><Relationship Id="rId209" Type="http://schemas.openxmlformats.org/officeDocument/2006/relationships/hyperlink" Target="http://docmanager.onelondon.tfl.local/livelink/llisapi.dll?func=ll&amp;objId=362062589&amp;objAction=browse" TargetMode="External"/><Relationship Id="rId190" Type="http://schemas.openxmlformats.org/officeDocument/2006/relationships/hyperlink" Target="http://docmanager.onelondon.tfl.local/livelink/llisapi.dll?func=ll&amp;objId=361132688&amp;objAction=browse" TargetMode="External"/><Relationship Id="rId204" Type="http://schemas.openxmlformats.org/officeDocument/2006/relationships/hyperlink" Target="http://docmanager.onelondon.tfl.local/livelink/llisapi.dll?func=ll&amp;objId=362062379&amp;objAction=browse" TargetMode="External"/><Relationship Id="rId220" Type="http://schemas.openxmlformats.org/officeDocument/2006/relationships/hyperlink" Target="http://docmanager.onelondon.tfl.local/livelink/llisapi.dll?func=ll&amp;objId=362062281&amp;objAction=browse&amp;viewType=1" TargetMode="External"/><Relationship Id="rId225" Type="http://schemas.openxmlformats.org/officeDocument/2006/relationships/hyperlink" Target="http://docmanager.onelondon.tfl.local/livelink/llisapi.dll?func=ll&amp;objId=362062277&amp;objAction=browse&amp;viewType=1" TargetMode="External"/><Relationship Id="rId241" Type="http://schemas.openxmlformats.org/officeDocument/2006/relationships/hyperlink" Target="http://docmanager.onelondon.tfl.local/livelink/llisapi.dll?func=ll&amp;objId=349205517&amp;objAction=browse" TargetMode="External"/><Relationship Id="rId246" Type="http://schemas.openxmlformats.org/officeDocument/2006/relationships/hyperlink" Target="http://docmanager.onelondon.tfl.local/livelink/llisapi.dll?func=ll&amp;objId=367784071&amp;objAction=browse&amp;viewType=1" TargetMode="External"/><Relationship Id="rId15" Type="http://schemas.openxmlformats.org/officeDocument/2006/relationships/hyperlink" Target="http://docmanager.onelondon.tfl.local/livelink/llisapi.dll?func=ll&amp;objId=336181238&amp;objAction=browse&amp;viewType=1" TargetMode="External"/><Relationship Id="rId36" Type="http://schemas.openxmlformats.org/officeDocument/2006/relationships/hyperlink" Target="http://docmanager.onelondon.tfl.local/livelink/llisapi.dll?func=ll&amp;objId=345764199&amp;objAction=browse&amp;viewType=1" TargetMode="External"/><Relationship Id="rId57" Type="http://schemas.openxmlformats.org/officeDocument/2006/relationships/hyperlink" Target="http://docmanager.onelondon.tfl.local/livelink/llisapi.dll?func=ll&amp;objId=345728000&amp;objAction=browse" TargetMode="External"/><Relationship Id="rId106" Type="http://schemas.openxmlformats.org/officeDocument/2006/relationships/hyperlink" Target="http://docmanager.onelondon.tfl.local/livelink/llisapi.dll?func=ll&amp;objId=358808194&amp;objAction=browse" TargetMode="External"/><Relationship Id="rId127" Type="http://schemas.openxmlformats.org/officeDocument/2006/relationships/hyperlink" Target="http://docmanager.onelondon.tfl.local/livelink/llisapi.dll?func=ll&amp;objId=351656378&amp;objAction=browse" TargetMode="External"/><Relationship Id="rId10" Type="http://schemas.openxmlformats.org/officeDocument/2006/relationships/hyperlink" Target="http://docmanager.onelondon.tfl.local/livelink/llisapi.dll?func=ll&amp;objId=341363110&amp;objAction=browse&amp;viewType=1" TargetMode="External"/><Relationship Id="rId31" Type="http://schemas.openxmlformats.org/officeDocument/2006/relationships/hyperlink" Target="http://docmanager.onelondon.tfl.local/livelink/llisapi.dll?func=ll&amp;objId=335855673&amp;objAction=browse&amp;viewType=1" TargetMode="External"/><Relationship Id="rId52" Type="http://schemas.openxmlformats.org/officeDocument/2006/relationships/hyperlink" Target="http://docmanager.onelondon.tfl.local/livelink/llisapi.dll?func=ll&amp;objId=345728000&amp;objAction=browse" TargetMode="External"/><Relationship Id="rId73" Type="http://schemas.openxmlformats.org/officeDocument/2006/relationships/hyperlink" Target="http://docmanager.onelondon.tfl.local/livelink/llisapi.dll?func=ll&amp;objId=348812218&amp;objAction=browse" TargetMode="External"/><Relationship Id="rId78" Type="http://schemas.openxmlformats.org/officeDocument/2006/relationships/hyperlink" Target="http://docmanager.onelondon.tfl.local/livelink/llisapi.dll?func=ll&amp;objId=348812214&amp;objAction=browse" TargetMode="External"/><Relationship Id="rId94" Type="http://schemas.openxmlformats.org/officeDocument/2006/relationships/hyperlink" Target="http://docmanager.onelondon.tfl.local/livelink/llisapi.dll?func=ll&amp;objId=349205519&amp;objAction=browse" TargetMode="External"/><Relationship Id="rId99" Type="http://schemas.openxmlformats.org/officeDocument/2006/relationships/hyperlink" Target="http://docmanager.onelondon.tfl.local/livelink/llisapi.dll?func=ll&amp;objId=349205515&amp;objAction=browse" TargetMode="External"/><Relationship Id="rId101" Type="http://schemas.openxmlformats.org/officeDocument/2006/relationships/hyperlink" Target="http://docmanager.onelondon.tfl.local/livelink/llisapi.dll?func=ll&amp;objId=358808194&amp;objAction=browse" TargetMode="External"/><Relationship Id="rId122" Type="http://schemas.openxmlformats.org/officeDocument/2006/relationships/hyperlink" Target="http://docmanager.onelondon.tfl.local/livelink/llisapi.dll?func=ll&amp;objId=351656378&amp;objAction=browse" TargetMode="External"/><Relationship Id="rId143" Type="http://schemas.openxmlformats.org/officeDocument/2006/relationships/hyperlink" Target="http://docmanager.onelondon.tfl.local/livelink/llisapi.dll?func=ll&amp;objId=362062171&amp;objAction=browse" TargetMode="External"/><Relationship Id="rId148" Type="http://schemas.openxmlformats.org/officeDocument/2006/relationships/hyperlink" Target="http://docmanager.onelondon.tfl.local/livelink/llisapi.dll?func=ll&amp;objId=349547556&amp;objAction=browse" TargetMode="External"/><Relationship Id="rId164" Type="http://schemas.openxmlformats.org/officeDocument/2006/relationships/hyperlink" Target="http://docmanager.onelondon.tfl.local/livelink/llisapi.dll?func=ll&amp;objId=350502332&amp;objAction=browse" TargetMode="External"/><Relationship Id="rId169" Type="http://schemas.openxmlformats.org/officeDocument/2006/relationships/hyperlink" Target="http://docmanager.onelondon.tfl.local/livelink/llisapi.dll?func=ll&amp;objId=344161981&amp;objAction=browse" TargetMode="External"/><Relationship Id="rId185" Type="http://schemas.openxmlformats.org/officeDocument/2006/relationships/hyperlink" Target="http://docmanager.onelondon.tfl.local/livelink/llisapi.dll?func=ll&amp;objId=361603357&amp;objAction=browse" TargetMode="External"/><Relationship Id="rId4" Type="http://schemas.openxmlformats.org/officeDocument/2006/relationships/hyperlink" Target="http://docmanager.onelondon.tfl.local/livelink/llisapi.dll?func=ll&amp;objId=341363116&amp;objAction=browse&amp;viewType=1" TargetMode="External"/><Relationship Id="rId9" Type="http://schemas.openxmlformats.org/officeDocument/2006/relationships/hyperlink" Target="http://docmanager.onelondon.tfl.local/livelink/llisapi.dll?func=ll&amp;objId=341363112&amp;objAction=browse&amp;viewType=1" TargetMode="External"/><Relationship Id="rId180" Type="http://schemas.openxmlformats.org/officeDocument/2006/relationships/hyperlink" Target="http://docmanager.onelondon.tfl.local/livelink/llisapi.dll?func=ll&amp;objId=344161981&amp;objAction=browse" TargetMode="External"/><Relationship Id="rId210" Type="http://schemas.openxmlformats.org/officeDocument/2006/relationships/hyperlink" Target="http://docmanager.onelondon.tfl.local/livelink/llisapi.dll?func=ll&amp;objId=362062589&amp;objAction=browse" TargetMode="External"/><Relationship Id="rId215" Type="http://schemas.openxmlformats.org/officeDocument/2006/relationships/hyperlink" Target="http://docmanager.onelondon.tfl.local/livelink/llisapi.dll?func=ll&amp;objId=335752653&amp;objAction=browse&amp;viewType=1" TargetMode="External"/><Relationship Id="rId236" Type="http://schemas.openxmlformats.org/officeDocument/2006/relationships/hyperlink" Target="http://docmanager.onelondon.tfl.local/livelink/llisapi.dll?func=ll&amp;objId=344822513&amp;objAction=browse" TargetMode="External"/><Relationship Id="rId257" Type="http://schemas.openxmlformats.org/officeDocument/2006/relationships/hyperlink" Target="http://docmanager.onelondon.tfl.local/livelink/llisapi.dll?func=ll&amp;objId=349205464&amp;objAction=browse" TargetMode="External"/><Relationship Id="rId26" Type="http://schemas.openxmlformats.org/officeDocument/2006/relationships/hyperlink" Target="http://docmanager.onelondon.tfl.local/livelink/llisapi.dll?func=ll&amp;objId=335855673&amp;objAction=browse&amp;viewType=1" TargetMode="External"/><Relationship Id="rId231" Type="http://schemas.openxmlformats.org/officeDocument/2006/relationships/hyperlink" Target="file:///\\docmanager.onelondon.tfl.local\DavWWWRoot\otcsdav\nodes\351712192\Project%20Tracker%20Report-2.2%2011%20May%2016.xls" TargetMode="External"/><Relationship Id="rId252" Type="http://schemas.openxmlformats.org/officeDocument/2006/relationships/hyperlink" Target="http://docmanager.onelondon.tfl.local/livelink/llisapi.dll?func=ll&amp;objId=367784071&amp;objAction=browse&amp;viewType=1" TargetMode="External"/><Relationship Id="rId47" Type="http://schemas.openxmlformats.org/officeDocument/2006/relationships/hyperlink" Target="http://docmanager.onelondon.tfl.local/livelink/llisapi.dll?func=ll&amp;objId=344822568&amp;objAction=browse" TargetMode="External"/><Relationship Id="rId68" Type="http://schemas.openxmlformats.org/officeDocument/2006/relationships/hyperlink" Target="http://docmanager.onelondon.tfl.local/livelink/llisapi.dll?func=ll&amp;objId=344154048&amp;objAction=browse" TargetMode="External"/><Relationship Id="rId89" Type="http://schemas.openxmlformats.org/officeDocument/2006/relationships/hyperlink" Target="http://docmanager.onelondon.tfl.local/livelink/llisapi.dll?func=ll&amp;objId=349214645&amp;objAction=browse" TargetMode="External"/><Relationship Id="rId112" Type="http://schemas.openxmlformats.org/officeDocument/2006/relationships/hyperlink" Target="http://docmanager.onelondon.tfl.local/livelink/llisapi.dll?func=ll&amp;objId=360623222&amp;objAction=browse" TargetMode="External"/><Relationship Id="rId133" Type="http://schemas.openxmlformats.org/officeDocument/2006/relationships/hyperlink" Target="http://docmanager.onelondon.tfl.local/livelink/llisapi.dll?func=ll&amp;objId=362062049&amp;objAction=browse" TargetMode="External"/><Relationship Id="rId154" Type="http://schemas.openxmlformats.org/officeDocument/2006/relationships/hyperlink" Target="http://docmanager.onelondon.tfl.local/livelink/llisapi.dll?func=ll&amp;objId=349547550&amp;objAction=browse" TargetMode="External"/><Relationship Id="rId175" Type="http://schemas.openxmlformats.org/officeDocument/2006/relationships/hyperlink" Target="http://docmanager.onelondon.tfl.local/livelink/llisapi.dll?func=ll&amp;objId=344161981&amp;objAction=browse" TargetMode="External"/><Relationship Id="rId196" Type="http://schemas.openxmlformats.org/officeDocument/2006/relationships/hyperlink" Target="http://docmanager.onelondon.tfl.local/livelink/llisapi.dll?func=ll&amp;objId=346086461&amp;objAction=browse" TargetMode="External"/><Relationship Id="rId200" Type="http://schemas.openxmlformats.org/officeDocument/2006/relationships/hyperlink" Target="http://docmanager.onelondon.tfl.local/livelink/llisapi.dll?func=ll&amp;objId=346086455&amp;objAction=browse" TargetMode="External"/><Relationship Id="rId16" Type="http://schemas.openxmlformats.org/officeDocument/2006/relationships/hyperlink" Target="http://docmanager.onelondon.tfl.local/livelink/llisapi.dll?func=ll&amp;objId=336181238&amp;objAction=browse&amp;viewType=1" TargetMode="External"/><Relationship Id="rId221" Type="http://schemas.openxmlformats.org/officeDocument/2006/relationships/hyperlink" Target="http://docmanager.onelondon.tfl.local/livelink/llisapi.dll?func=ll&amp;objId=362062281&amp;objAction=browse&amp;viewType=1" TargetMode="External"/><Relationship Id="rId242" Type="http://schemas.openxmlformats.org/officeDocument/2006/relationships/hyperlink" Target="http://docmanager.onelondon.tfl.local/livelink/llisapi.dll/open/371073255" TargetMode="External"/><Relationship Id="rId37" Type="http://schemas.openxmlformats.org/officeDocument/2006/relationships/hyperlink" Target="http://docmanager.onelondon.tfl.local/livelink/llisapi.dll?func=ll&amp;objId=345762455&amp;objAction=browse" TargetMode="External"/><Relationship Id="rId58" Type="http://schemas.openxmlformats.org/officeDocument/2006/relationships/hyperlink" Target="http://docmanager.onelondon.tfl.local/livelink/llisapi.dll?func=ll&amp;objId=345727996&amp;objAction=browse" TargetMode="External"/><Relationship Id="rId79" Type="http://schemas.openxmlformats.org/officeDocument/2006/relationships/hyperlink" Target="http://docmanager.onelondon.tfl.local/livelink/llisapi.dll?func=ll&amp;objId=348812214&amp;objAction=browse" TargetMode="External"/><Relationship Id="rId102" Type="http://schemas.openxmlformats.org/officeDocument/2006/relationships/hyperlink" Target="http://docmanager.onelondon.tfl.local/livelink/llisapi.dll?func=ll&amp;objId=358808194&amp;objAction=browse" TargetMode="External"/><Relationship Id="rId123" Type="http://schemas.openxmlformats.org/officeDocument/2006/relationships/hyperlink" Target="http://docmanager.onelondon.tfl.local/livelink/llisapi.dll?func=ll&amp;objId=351656378&amp;objAction=browse" TargetMode="External"/><Relationship Id="rId144" Type="http://schemas.openxmlformats.org/officeDocument/2006/relationships/hyperlink" Target="http://docmanager.onelondon.tfl.local/livelink/llisapi.dll?func=ll&amp;objId=362062171&amp;objAction=browse" TargetMode="External"/><Relationship Id="rId90" Type="http://schemas.openxmlformats.org/officeDocument/2006/relationships/hyperlink" Target="http://docmanager.onelondon.tfl.local/livelink/llisapi.dll?func=ll&amp;objId=349214643&amp;objAction=browse" TargetMode="External"/><Relationship Id="rId165" Type="http://schemas.openxmlformats.org/officeDocument/2006/relationships/hyperlink" Target="http://docmanager.onelondon.tfl.local/livelink/llisapi.dll?func=ll&amp;objId=350502332&amp;objAction=browse" TargetMode="External"/><Relationship Id="rId186" Type="http://schemas.openxmlformats.org/officeDocument/2006/relationships/hyperlink" Target="http://docmanager.onelondon.tfl.local/livelink/llisapi.dll?func=ll&amp;objId=361603357&amp;objAction=browse" TargetMode="External"/><Relationship Id="rId211" Type="http://schemas.openxmlformats.org/officeDocument/2006/relationships/hyperlink" Target="http://docmanager.onelondon.tfl.local/livelink/llisapi.dll?func=ll&amp;objId=362062587&amp;objAction=browse" TargetMode="External"/><Relationship Id="rId232" Type="http://schemas.openxmlformats.org/officeDocument/2006/relationships/hyperlink" Target="http://docmanager.onelondon.tfl.local/livelink/llisapi.dll?func=ll&amp;objId=345764201&amp;objAction=browse" TargetMode="External"/><Relationship Id="rId253" Type="http://schemas.openxmlformats.org/officeDocument/2006/relationships/hyperlink" Target="http://docmanager.onelondon.tfl.local/livelink/llisapi.dll?func=ll&amp;objId=344159222&amp;objAction=browse" TargetMode="External"/><Relationship Id="rId27" Type="http://schemas.openxmlformats.org/officeDocument/2006/relationships/hyperlink" Target="http://docmanager.onelondon.tfl.local/livelink/llisapi.dll?func=ll&amp;objId=335855673&amp;objAction=browse&amp;viewType=1" TargetMode="External"/><Relationship Id="rId48" Type="http://schemas.openxmlformats.org/officeDocument/2006/relationships/hyperlink" Target="http://docmanager.onelondon.tfl.local/livelink/llisapi.dll?func=ll&amp;objId=344822564&amp;objAction=browse" TargetMode="External"/><Relationship Id="rId69" Type="http://schemas.openxmlformats.org/officeDocument/2006/relationships/hyperlink" Target="http://docmanager.onelondon.tfl.local/livelink/llisapi.dll?func=ll&amp;objId=344154048&amp;objAction=browse" TargetMode="External"/><Relationship Id="rId113" Type="http://schemas.openxmlformats.org/officeDocument/2006/relationships/hyperlink" Target="http://docmanager.onelondon.tfl.local/livelink/llisapi.dll?func=ll&amp;objId=360623222&amp;objAction=browse" TargetMode="External"/><Relationship Id="rId134" Type="http://schemas.openxmlformats.org/officeDocument/2006/relationships/hyperlink" Target="http://docmanager.onelondon.tfl.local/livelink/llisapi.dll?func=ll&amp;objId=362062049&amp;objAction=browse" TargetMode="External"/><Relationship Id="rId80" Type="http://schemas.openxmlformats.org/officeDocument/2006/relationships/hyperlink" Target="http://docmanager.onelondon.tfl.local/livelink/llisapi.dll?func=ll&amp;objId=348812212&amp;objAction=browse" TargetMode="External"/><Relationship Id="rId155" Type="http://schemas.openxmlformats.org/officeDocument/2006/relationships/hyperlink" Target="http://docmanager.onelondon.tfl.local/livelink/llisapi.dll?func=ll&amp;objId=349547451&amp;objAction=browse" TargetMode="External"/><Relationship Id="rId176" Type="http://schemas.openxmlformats.org/officeDocument/2006/relationships/hyperlink" Target="http://docmanager.onelondon.tfl.local/livelink/llisapi.dll?func=ll&amp;objId=344161981&amp;objAction=browse" TargetMode="External"/><Relationship Id="rId197" Type="http://schemas.openxmlformats.org/officeDocument/2006/relationships/hyperlink" Target="http://docmanager.onelondon.tfl.local/livelink/llisapi.dll?func=ll&amp;objId=346086461&amp;objAction=browse" TargetMode="External"/><Relationship Id="rId201" Type="http://schemas.openxmlformats.org/officeDocument/2006/relationships/hyperlink" Target="http://docmanager.onelondon.tfl.local/livelink/llisapi.dll?func=ll&amp;objId=362062385&amp;objAction=browse" TargetMode="External"/><Relationship Id="rId222" Type="http://schemas.openxmlformats.org/officeDocument/2006/relationships/hyperlink" Target="http://docmanager.onelondon.tfl.local/livelink/llisapi.dll?func=ll&amp;objId=362062281&amp;objAction=browse&amp;viewType=1" TargetMode="External"/><Relationship Id="rId243" Type="http://schemas.openxmlformats.org/officeDocument/2006/relationships/hyperlink" Target="http://docmanager.onelondon.tfl.local/livelink/llisapi.dll/open/356703452" TargetMode="External"/><Relationship Id="rId17" Type="http://schemas.openxmlformats.org/officeDocument/2006/relationships/hyperlink" Target="http://docmanager.onelondon.tfl.local/livelink/llisapi.dll?func=ll&amp;objId=336181238&amp;objAction=browse&amp;viewType=1" TargetMode="External"/><Relationship Id="rId38" Type="http://schemas.openxmlformats.org/officeDocument/2006/relationships/hyperlink" Target="http://docmanager.onelondon.tfl.local/livelink/llisapi.dll?func=ll&amp;objId=345764197&amp;objAction=browse&amp;viewType=1" TargetMode="External"/><Relationship Id="rId59" Type="http://schemas.openxmlformats.org/officeDocument/2006/relationships/hyperlink" Target="http://docmanager.onelondon.tfl.local/livelink/llisapi.dll?func=ll&amp;objId=345727996&amp;objAction=browse" TargetMode="External"/><Relationship Id="rId103" Type="http://schemas.openxmlformats.org/officeDocument/2006/relationships/hyperlink" Target="http://docmanager.onelondon.tfl.local/livelink/llisapi.dll?func=ll&amp;objId=358808194&amp;objAction=browse" TargetMode="External"/><Relationship Id="rId124" Type="http://schemas.openxmlformats.org/officeDocument/2006/relationships/hyperlink" Target="http://docmanager.onelondon.tfl.local/livelink/llisapi.dll?func=ll&amp;objId=351656378&amp;objAction=browse"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docmanager.onelondon.tfl.local/livelink/llisapi.dll?func=ll&amp;objId=349536241&amp;objAction=browse" TargetMode="External"/><Relationship Id="rId7" Type="http://schemas.openxmlformats.org/officeDocument/2006/relationships/comments" Target="../comments3.xml"/><Relationship Id="rId2" Type="http://schemas.openxmlformats.org/officeDocument/2006/relationships/hyperlink" Target="http://docmanager.onelondon.tfl.local/livelink/llisapi.dll?func=ll&amp;objId=344161981&amp;objAction=browse" TargetMode="External"/><Relationship Id="rId1" Type="http://schemas.openxmlformats.org/officeDocument/2006/relationships/hyperlink" Target="http://docmanager.onelondon.tfl.local/livelink/llisapi.dll?func=ll&amp;objId=344161981&amp;objAction=browse" TargetMode="External"/><Relationship Id="rId6" Type="http://schemas.openxmlformats.org/officeDocument/2006/relationships/vmlDrawing" Target="../drawings/vmlDrawing5.vml"/><Relationship Id="rId5" Type="http://schemas.openxmlformats.org/officeDocument/2006/relationships/printerSettings" Target="../printerSettings/printerSettings6.bin"/><Relationship Id="rId4" Type="http://schemas.openxmlformats.org/officeDocument/2006/relationships/hyperlink" Target="http://docmanager.onelondon.tfl.local/livelink/llisapi.dll?func=ll&amp;objId=362047865&amp;objAction=browse"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docmanager.onelondon.tfl.local/livelink/llisapi.dll?func=ll&amp;objaction=overview&amp;objid=347184540" TargetMode="External"/><Relationship Id="rId13" Type="http://schemas.openxmlformats.org/officeDocument/2006/relationships/hyperlink" Target="http://docmanager.onelondon.tfl.local/livelink/llisapi.dll?func=ll&amp;objaction=overview&amp;objid=357674878" TargetMode="External"/><Relationship Id="rId18" Type="http://schemas.openxmlformats.org/officeDocument/2006/relationships/hyperlink" Target="file:///\\ONELONDON.TFL.LOCAL\SHARED\FACILITIES_DATA\Share\PROJECTS\Fire%20Compartmentation\Post%20Contract\Finance\Change%20Control" TargetMode="External"/><Relationship Id="rId26" Type="http://schemas.openxmlformats.org/officeDocument/2006/relationships/vmlDrawing" Target="../drawings/vmlDrawing6.vml"/><Relationship Id="rId3" Type="http://schemas.openxmlformats.org/officeDocument/2006/relationships/hyperlink" Target="http://docmanager.onelondon.tfl.local/livelink/llisapi.dll?func=ll&amp;objaction=overview&amp;objid=344814193" TargetMode="External"/><Relationship Id="rId21" Type="http://schemas.openxmlformats.org/officeDocument/2006/relationships/hyperlink" Target="file:///\\ONELONDON.TFL.LOCAL\SHARED\FACILITIES_DATA\Share\PROJECTS\12-13%20Property%20Care%20Programme\OCH_BMS_connection\2.0%20Project%20Governance\2.09%20Change%20Control\PCP-13-010%20OCH-BMS%20Connectivity.pdf" TargetMode="External"/><Relationship Id="rId7" Type="http://schemas.openxmlformats.org/officeDocument/2006/relationships/hyperlink" Target="http://docmanager.onelondon.tfl.local/livelink/llisapi.dll?func=ll&amp;objaction=overview&amp;objid=346919573" TargetMode="External"/><Relationship Id="rId12" Type="http://schemas.openxmlformats.org/officeDocument/2006/relationships/hyperlink" Target="http://docmanager.onelondon.tfl.local/livelink/llisapi.dll?func=ll&amp;objaction=overview&amp;objid=353310777" TargetMode="External"/><Relationship Id="rId17" Type="http://schemas.openxmlformats.org/officeDocument/2006/relationships/hyperlink" Target="http://docmanager.onelondon.tfl.local/livelink/llisapi.dll/properties/343298893" TargetMode="External"/><Relationship Id="rId25" Type="http://schemas.openxmlformats.org/officeDocument/2006/relationships/hyperlink" Target="http://docmanager.onelondon.tfl.local/livelink/llisapi.dll?func=ll&amp;objaction=overview&amp;objid=347392329" TargetMode="External"/><Relationship Id="rId2" Type="http://schemas.openxmlformats.org/officeDocument/2006/relationships/hyperlink" Target="http://docmanager.onelondon.tfl.local/livelink/llisapi.dll/properties/343270103" TargetMode="External"/><Relationship Id="rId16" Type="http://schemas.openxmlformats.org/officeDocument/2006/relationships/hyperlink" Target="http://docmanager.onelondon.tfl.local/livelink/llisapi.dll?func=ll&amp;objaction=overview&amp;objid=345948721" TargetMode="External"/><Relationship Id="rId20" Type="http://schemas.openxmlformats.org/officeDocument/2006/relationships/hyperlink" Target="file:///\\ONELONDON.TFL.LOCAL\SHARED\FACILITIES_DATA\Share\PROJECTS\12-13%20Property%20Care%20Programme\OCH_BMS_connection\2.0%20Project%20Governance\2.09%20Change%20Control\Signed%20CRF2.pdf" TargetMode="External"/><Relationship Id="rId1" Type="http://schemas.openxmlformats.org/officeDocument/2006/relationships/hyperlink" Target="http://docmanager.onelondon.tfl.local/livelink/llisapi.dll?func=ll&amp;objaction=overview&amp;objid=339321226" TargetMode="External"/><Relationship Id="rId6" Type="http://schemas.openxmlformats.org/officeDocument/2006/relationships/hyperlink" Target="http://docmanager.onelondon.tfl.local/livelink/llisapi.dll?func=ll&amp;objaction=overview&amp;objid=346810357" TargetMode="External"/><Relationship Id="rId11" Type="http://schemas.openxmlformats.org/officeDocument/2006/relationships/hyperlink" Target="file:///\\ONELONDON.TFL.LOCAL\SHARED\FACILITIES_DATA\Share\PROJECTS\Fire%20Compartmentation\Post%20Contract\Finance\Change%20Control\Budget%20increase%20and%20sign%20off" TargetMode="External"/><Relationship Id="rId24" Type="http://schemas.openxmlformats.org/officeDocument/2006/relationships/hyperlink" Target="http://docmanager.onelondon.tfl.local/livelink/llisapi.dll/fetch/2000/316342085/330811523/333105533/335757796/335745045/335745047/Albany_House_Signed_VO_3.pdf?nodeid=349480263&amp;vernum=-2" TargetMode="External"/><Relationship Id="rId5" Type="http://schemas.openxmlformats.org/officeDocument/2006/relationships/hyperlink" Target="http://docmanager.onelondon.tfl.local/livelink/llisapi.dll?func=ll&amp;objaction=overview&amp;objid=345547942" TargetMode="External"/><Relationship Id="rId15" Type="http://schemas.openxmlformats.org/officeDocument/2006/relationships/hyperlink" Target="http://docmanager.onelondon.tfl.local/livelink/llisapi.dll?func=ll&amp;objaction=overview&amp;objid=349819089" TargetMode="External"/><Relationship Id="rId23" Type="http://schemas.openxmlformats.org/officeDocument/2006/relationships/hyperlink" Target="http://docmanager.onelondon.tfl.local/livelink/llisapi.dll?func=ll&amp;objaction=overview&amp;objid=357551210" TargetMode="External"/><Relationship Id="rId28" Type="http://schemas.openxmlformats.org/officeDocument/2006/relationships/comments" Target="../comments4.xml"/><Relationship Id="rId10" Type="http://schemas.openxmlformats.org/officeDocument/2006/relationships/hyperlink" Target="http://docmanager.onelondon.tfl.local/livelink/llisapi.dll?func=ll&amp;objaction=overview&amp;objid=349091271" TargetMode="External"/><Relationship Id="rId19" Type="http://schemas.openxmlformats.org/officeDocument/2006/relationships/hyperlink" Target="http://docmanager.onelondon.tfl.local/livelink/llisapi.dll?func=ll&amp;objaction=overview&amp;objid=347642695" TargetMode="External"/><Relationship Id="rId4" Type="http://schemas.openxmlformats.org/officeDocument/2006/relationships/hyperlink" Target="http://docmanager.onelondon.tfl.local/livelink/llisapi.dll?func=ll&amp;objaction=overview&amp;objid=344651261" TargetMode="External"/><Relationship Id="rId9" Type="http://schemas.openxmlformats.org/officeDocument/2006/relationships/hyperlink" Target="http://docmanager.onelondon.tfl.local/livelink/llisapi.dll?func=ll&amp;objaction=overview&amp;objid=347740992" TargetMode="External"/><Relationship Id="rId14" Type="http://schemas.openxmlformats.org/officeDocument/2006/relationships/hyperlink" Target="http://docmanager.onelondon.tfl.local/livelink/llisapi.dll/fetch/2000/316342085/330811523/333105533/342972123/344257912/344277468/344262870/CCR_Air_Test.pdf?nodeid=349085048&amp;vernum=-2" TargetMode="External"/><Relationship Id="rId22" Type="http://schemas.openxmlformats.org/officeDocument/2006/relationships/hyperlink" Target="http://docmanager.onelondon.tfl.local/livelink/llisapi.dll?func=ll&amp;objaction=overview&amp;objid=357551211" TargetMode="External"/><Relationship Id="rId27"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pageSetUpPr fitToPage="1"/>
  </sheetPr>
  <dimension ref="A1:W38"/>
  <sheetViews>
    <sheetView showGridLines="0" tabSelected="1" zoomScaleNormal="100" workbookViewId="0">
      <pane xSplit="2" ySplit="3" topLeftCell="J4" activePane="bottomRight" state="frozen"/>
      <selection pane="topRight" activeCell="I1" sqref="I1"/>
      <selection pane="bottomLeft" activeCell="A4" sqref="A4"/>
      <selection pane="bottomRight" activeCell="L2" sqref="L2"/>
    </sheetView>
  </sheetViews>
  <sheetFormatPr defaultRowHeight="45" customHeight="1" x14ac:dyDescent="0.2"/>
  <cols>
    <col min="1" max="1" width="7.21875" style="3" bestFit="1" customWidth="1"/>
    <col min="2" max="2" width="19.5546875" style="3" customWidth="1"/>
    <col min="3" max="9" width="0" style="3" hidden="1" customWidth="1"/>
    <col min="10" max="10" width="8.33203125" style="31" customWidth="1"/>
    <col min="11" max="15" width="8.33203125" style="3" customWidth="1"/>
    <col min="16" max="16" width="1.6640625" customWidth="1"/>
    <col min="17" max="17" width="5.6640625" customWidth="1"/>
    <col min="18" max="18" width="1.33203125" customWidth="1"/>
    <col min="19" max="19" width="6.33203125" customWidth="1"/>
    <col min="20" max="20" width="1.33203125" style="3" customWidth="1"/>
    <col min="21" max="21" width="47.6640625" style="124" customWidth="1"/>
    <col min="22" max="22" width="7.5546875" style="137" customWidth="1"/>
    <col min="23" max="16384" width="8.88671875" style="3"/>
  </cols>
  <sheetData>
    <row r="1" spans="1:23" ht="35.25" customHeight="1" x14ac:dyDescent="0.2">
      <c r="U1" s="214" t="s">
        <v>620</v>
      </c>
      <c r="V1" s="410" t="s">
        <v>350</v>
      </c>
      <c r="W1" s="410"/>
    </row>
    <row r="2" spans="1:23" ht="45" customHeight="1" thickBot="1" x14ac:dyDescent="0.25">
      <c r="K2" s="24"/>
      <c r="L2" s="24"/>
      <c r="M2" s="24"/>
      <c r="N2" s="24"/>
      <c r="O2" s="25"/>
      <c r="V2" s="138" t="s">
        <v>338</v>
      </c>
      <c r="W2" s="129"/>
    </row>
    <row r="3" spans="1:23" ht="45" customHeight="1" thickTop="1" thickBot="1" x14ac:dyDescent="0.25">
      <c r="A3" s="139" t="s">
        <v>196</v>
      </c>
      <c r="B3" s="36" t="s">
        <v>27</v>
      </c>
      <c r="C3" s="3" t="s">
        <v>580</v>
      </c>
      <c r="D3" s="3" t="s">
        <v>581</v>
      </c>
      <c r="E3" s="3" t="s">
        <v>582</v>
      </c>
      <c r="F3" s="3" t="s">
        <v>583</v>
      </c>
      <c r="G3" s="3" t="s">
        <v>584</v>
      </c>
      <c r="H3" s="3" t="s">
        <v>585</v>
      </c>
      <c r="I3" s="3" t="s">
        <v>586</v>
      </c>
      <c r="J3" s="141" t="s">
        <v>345</v>
      </c>
      <c r="K3" s="32" t="s">
        <v>188</v>
      </c>
      <c r="L3" s="33" t="s">
        <v>190</v>
      </c>
      <c r="M3" s="33" t="s">
        <v>191</v>
      </c>
      <c r="N3" s="34" t="s">
        <v>189</v>
      </c>
      <c r="O3" s="35" t="s">
        <v>29</v>
      </c>
      <c r="Q3" s="128" t="s">
        <v>26</v>
      </c>
      <c r="R3" s="145"/>
      <c r="S3" s="145" t="s">
        <v>336</v>
      </c>
      <c r="T3" s="4"/>
      <c r="U3" s="123" t="s">
        <v>21</v>
      </c>
      <c r="V3" s="138" t="s">
        <v>337</v>
      </c>
      <c r="W3" s="125"/>
    </row>
    <row r="4" spans="1:23" s="27" customFormat="1" ht="56.25" customHeight="1" thickTop="1" thickBot="1" x14ac:dyDescent="0.25">
      <c r="A4" s="114" t="str">
        <f>IF(INDEX('Tracker Sheet'!E:E,3)="","",INDEX('Tracker Sheet'!E:E,3))</f>
        <v>Jerry Young</v>
      </c>
      <c r="B4" s="290" t="str">
        <f>IF(INDEX('Tracker Sheet'!C:C,3)="","",INDEX('Tracker Sheet'!C:C,3))</f>
        <v>Albany House - Plant Optimisation</v>
      </c>
      <c r="C4" s="27" t="str">
        <f ca="1">INDEX('Tracker Sheet'!L:L,3)</f>
        <v>R</v>
      </c>
      <c r="D4" s="27" t="str">
        <f>INDEX('Tracker Sheet'!W:W,3)</f>
        <v/>
      </c>
      <c r="E4" s="27" t="str">
        <f>INDEX('Tracker Sheet'!AH:AH,3)</f>
        <v/>
      </c>
      <c r="F4" s="27" t="str">
        <f>INDEX('Tracker Sheet'!AS:AS,3)</f>
        <v/>
      </c>
      <c r="G4" s="27" t="str">
        <f>INDEX('Tracker Sheet'!BD:BD,3)</f>
        <v>R</v>
      </c>
      <c r="H4" s="27" t="str">
        <f>INDEX('Tracker Sheet'!BL:BL,3)</f>
        <v>G</v>
      </c>
      <c r="I4" s="27" t="str">
        <f>INDEX('Tracker Sheet'!BO:BO,3)</f>
        <v>R</v>
      </c>
      <c r="J4" s="289" t="str">
        <f>IF(INDEX('Tracker Sheet'!K:K,3)="","",INDEX('Tracker Sheet'!K:K,3))</f>
        <v>Board Date
01/03/2012</v>
      </c>
      <c r="K4" s="300"/>
      <c r="L4" s="288" t="str">
        <f ca="1">IF(INDEX('Tracker Sheet'!BS:BS,3)="Completed ",INDEX('Tracker Sheet'!BR:BR,3)&amp;INDEX('Tracker Sheet'!BT:BT,3),INDEX('Tracker Sheet'!BS:BS,3))</f>
        <v/>
      </c>
      <c r="M4" s="288" t="str">
        <f ca="1">IF(INDEX('Tracker Sheet'!BU:BU,3)="Completed ",INDEX('Tracker Sheet'!BU:BU,3)&amp;INDEX('Tracker Sheet'!BV:BV,3),INDEX('Tracker Sheet'!BU:BU,3))</f>
        <v/>
      </c>
      <c r="N4" s="288" t="str">
        <f ca="1">IF(INDEX('Tracker Sheet'!BW:BW,3)="Completed ",INDEX('Tracker Sheet'!BW:BW,3)&amp;INDEX('Tracker Sheet'!BX:BX,3),INDEX('Tracker Sheet'!BW:BW,3))</f>
        <v>Completed 269 day(s) late</v>
      </c>
      <c r="O4" s="288" t="str">
        <f ca="1">INDEX('Tracker Sheet'!BY:BY,3)</f>
        <v>Under budget by £0</v>
      </c>
      <c r="P4" s="26"/>
      <c r="Q4" s="23"/>
      <c r="R4" s="148"/>
      <c r="S4" s="145"/>
      <c r="U4" s="215" t="s">
        <v>692</v>
      </c>
      <c r="V4" s="132"/>
      <c r="W4" s="130"/>
    </row>
    <row r="5" spans="1:23" ht="56.25" customHeight="1" thickTop="1" thickBot="1" x14ac:dyDescent="0.25">
      <c r="A5" s="114" t="str">
        <f>IF(INDEX('Tracker Sheet'!E:E,4)="","",INDEX('Tracker Sheet'!E:E,4))</f>
        <v>Jerry Young</v>
      </c>
      <c r="B5" s="290" t="str">
        <f>IF(INDEX('Tracker Sheet'!C:C,4)="","",INDEX('Tracker Sheet'!C:C,4))</f>
        <v>Baker Street Complex - Fire Compliance - Fire Alarms no MICC</v>
      </c>
      <c r="C5" s="27" t="str">
        <f ca="1">INDEX('Tracker Sheet'!L:L,4)</f>
        <v>R</v>
      </c>
      <c r="D5" s="3" t="str">
        <f>INDEX('Tracker Sheet'!W:W,4)</f>
        <v/>
      </c>
      <c r="E5" s="3" t="str">
        <f>INDEX('Tracker Sheet'!AH:AH,4)</f>
        <v/>
      </c>
      <c r="F5" s="3" t="str">
        <f>INDEX('Tracker Sheet'!AS:AS,4)</f>
        <v/>
      </c>
      <c r="G5" s="3" t="str">
        <f>INDEX('Tracker Sheet'!BD:BD,4)</f>
        <v>R</v>
      </c>
      <c r="H5" s="3" t="str">
        <f>INDEX('Tracker Sheet'!BL:BL,4)</f>
        <v>G</v>
      </c>
      <c r="I5" s="3" t="str">
        <f>INDEX('Tracker Sheet'!BO:BO,4)</f>
        <v>R</v>
      </c>
      <c r="J5" s="301" t="str">
        <f>IF(INDEX('Tracker Sheet'!K:K,4)="","",INDEX('Tracker Sheet'!K:K,4))</f>
        <v>Board Date
01/11/2012</v>
      </c>
      <c r="K5" s="300" t="str">
        <f ca="1">IF(INDEX('Tracker Sheet'!BQ:BQ,4)="Completed ",INDEX('Tracker Sheet'!BQ:BQ,4)&amp;INDEX('Tracker Sheet'!BR:BR,4),INDEX('Tracker Sheet'!BQ:BQ,4))</f>
        <v/>
      </c>
      <c r="L5" s="300" t="str">
        <f ca="1">IF(INDEX('Tracker Sheet'!BS:BS,4)="Completed ",INDEX('Tracker Sheet'!BR:BR,4)&amp;INDEX('Tracker Sheet'!BT:BT,4),INDEX('Tracker Sheet'!BS:BS,4))</f>
        <v/>
      </c>
      <c r="M5" s="300" t="str">
        <f ca="1">IF(INDEX('Tracker Sheet'!BU:BU,4)="Completed ",INDEX('Tracker Sheet'!BU:BU,4)&amp;INDEX('Tracker Sheet'!BV:BV,4),INDEX('Tracker Sheet'!BU:BU,4))</f>
        <v/>
      </c>
      <c r="N5" s="300" t="str">
        <f ca="1">IF(INDEX('Tracker Sheet'!BW:BW,4)="Completed ",INDEX('Tracker Sheet'!BW:BW,4)&amp;INDEX('Tracker Sheet'!BX:BX,4),INDEX('Tracker Sheet'!BW:BW,4))</f>
        <v>Forecast Completion on 30-9-2017
365 day(s) late</v>
      </c>
      <c r="O5" s="300" t="str">
        <f ca="1">INDEX('Tracker Sheet'!BY:BY,4)</f>
        <v>Current Forecast Spend £1506239</v>
      </c>
      <c r="P5" s="202"/>
      <c r="Q5" s="23"/>
      <c r="R5" s="148"/>
      <c r="S5" s="145"/>
      <c r="U5" s="215"/>
      <c r="V5" s="132"/>
      <c r="W5" s="131"/>
    </row>
    <row r="6" spans="1:23" ht="56.25" customHeight="1" thickTop="1" thickBot="1" x14ac:dyDescent="0.25">
      <c r="A6" s="114" t="str">
        <f>IF(INDEX('Tracker Sheet'!E:E,5)="","",INDEX('Tracker Sheet'!E:E,5))</f>
        <v>John Murphy</v>
      </c>
      <c r="B6" s="290" t="str">
        <f>IF(INDEX('Tracker Sheet'!C:C,5)="","",INDEX('Tracker Sheet'!C:C,5))</f>
        <v>Building Facades Risk Assessments (7 Building)</v>
      </c>
      <c r="C6" s="27" t="str">
        <f ca="1">INDEX('Tracker Sheet'!L:L,5)</f>
        <v>G</v>
      </c>
      <c r="D6" s="3" t="str">
        <f>INDEX('Tracker Sheet'!W:W,5)</f>
        <v>G</v>
      </c>
      <c r="E6" s="3" t="str">
        <f>INDEX('Tracker Sheet'!AH:AH,5)</f>
        <v/>
      </c>
      <c r="F6" s="3" t="str">
        <f>INDEX('Tracker Sheet'!AS:AS,5)</f>
        <v>G</v>
      </c>
      <c r="G6" s="3" t="str">
        <f>INDEX('Tracker Sheet'!BD:BD,5)</f>
        <v/>
      </c>
      <c r="H6" s="3" t="str">
        <f>INDEX('Tracker Sheet'!BL:BL,5)</f>
        <v>G</v>
      </c>
      <c r="I6" s="3" t="str">
        <f>INDEX('Tracker Sheet'!BO:BO,5)</f>
        <v>G</v>
      </c>
      <c r="J6" s="301" t="str">
        <f>IF(INDEX('Tracker Sheet'!K:K,5)="","",INDEX('Tracker Sheet'!K:K,5))</f>
        <v>Completed
23/03/2016</v>
      </c>
      <c r="K6" s="300" t="str">
        <f ca="1">IF(INDEX('Tracker Sheet'!BQ:BQ,5)="Completed ",INDEX('Tracker Sheet'!BQ:BQ,5)&amp;INDEX('Tracker Sheet'!BR:BR,5),INDEX('Tracker Sheet'!BQ:BQ,5))</f>
        <v>Completed 2 day(s) late</v>
      </c>
      <c r="L6" s="300" t="str">
        <f ca="1">IF(INDEX('Tracker Sheet'!BS:BS,5)="Completed ",INDEX('Tracker Sheet'!BR:BR,5)&amp;INDEX('Tracker Sheet'!BT:BT,5),INDEX('Tracker Sheet'!BS:BS,5))</f>
        <v/>
      </c>
      <c r="M6" s="300" t="str">
        <f ca="1">IF(INDEX('Tracker Sheet'!BU:BU,5)="Completed ",INDEX('Tracker Sheet'!BU:BU,5)&amp;INDEX('Tracker Sheet'!BV:BV,5),INDEX('Tracker Sheet'!BU:BU,5))</f>
        <v>Completed on time</v>
      </c>
      <c r="N6" s="300" t="str">
        <f ca="1">IF(INDEX('Tracker Sheet'!BW:BW,5)="Completed ",INDEX('Tracker Sheet'!BW:BW,5)&amp;INDEX('Tracker Sheet'!BX:BX,5),INDEX('Tracker Sheet'!BW:BW,5))</f>
        <v/>
      </c>
      <c r="O6" s="300" t="str">
        <f ca="1">INDEX('Tracker Sheet'!BY:BY,5)</f>
        <v>Current Forecast Spend £80000</v>
      </c>
      <c r="Q6" s="23"/>
      <c r="R6" s="148"/>
      <c r="S6" s="145"/>
      <c r="U6" s="211" t="s">
        <v>688</v>
      </c>
      <c r="V6" s="133"/>
    </row>
    <row r="7" spans="1:23" ht="56.25" customHeight="1" thickTop="1" thickBot="1" x14ac:dyDescent="0.25">
      <c r="A7" s="114" t="str">
        <f>IF(INDEX('Tracker Sheet'!E:E,6)="","",INDEX('Tracker Sheet'!E:E,6))</f>
        <v>John Cousins</v>
      </c>
      <c r="B7" s="290" t="str">
        <f>IF(INDEX('Tracker Sheet'!C:C,6)="","",INDEX('Tracker Sheet'!C:C,6))</f>
        <v>172 BPR &amp; Windsor House Chiller Remedial</v>
      </c>
      <c r="C7" s="27" t="str">
        <f ca="1">INDEX('Tracker Sheet'!L:L,6)</f>
        <v>R</v>
      </c>
      <c r="D7" s="3" t="str">
        <f>INDEX('Tracker Sheet'!W:W,6)</f>
        <v/>
      </c>
      <c r="E7" s="3" t="str">
        <f>INDEX('Tracker Sheet'!AH:AH,6)</f>
        <v/>
      </c>
      <c r="F7" s="3" t="str">
        <f>INDEX('Tracker Sheet'!AS:AS,6)</f>
        <v/>
      </c>
      <c r="G7" s="3" t="str">
        <f>INDEX('Tracker Sheet'!BD:BD,6)</f>
        <v>G</v>
      </c>
      <c r="H7" s="3" t="str">
        <f>INDEX('Tracker Sheet'!BL:BL,6)</f>
        <v>G</v>
      </c>
      <c r="I7" s="3" t="str">
        <f>INDEX('Tracker Sheet'!BO:BO,6)</f>
        <v>G</v>
      </c>
      <c r="J7" s="301" t="str">
        <f>IF(INDEX('Tracker Sheet'!K:K,6)="","",INDEX('Tracker Sheet'!K:K,6))</f>
        <v>Board Date
06/02/2014</v>
      </c>
      <c r="K7" s="300" t="str">
        <f ca="1">IF(INDEX('Tracker Sheet'!BQ:BQ,6)="Completed ",INDEX('Tracker Sheet'!BQ:BQ,6)&amp;INDEX('Tracker Sheet'!BR:BR,6),INDEX('Tracker Sheet'!BQ:BQ,6))</f>
        <v/>
      </c>
      <c r="L7" s="300" t="str">
        <f ca="1">IF(INDEX('Tracker Sheet'!BS:BS,6)="Completed ",INDEX('Tracker Sheet'!BR:BR,6)&amp;INDEX('Tracker Sheet'!BT:BT,6),INDEX('Tracker Sheet'!BS:BS,6))</f>
        <v/>
      </c>
      <c r="M7" s="300" t="str">
        <f ca="1">IF(INDEX('Tracker Sheet'!BU:BU,6)="Completed ",INDEX('Tracker Sheet'!BU:BU,6)&amp;INDEX('Tracker Sheet'!BV:BV,6),INDEX('Tracker Sheet'!BU:BU,6))</f>
        <v/>
      </c>
      <c r="N7" s="300" t="str">
        <f ca="1">IF(INDEX('Tracker Sheet'!BW:BW,6)="Completed ",INDEX('Tracker Sheet'!BW:BW,6)&amp;INDEX('Tracker Sheet'!BX:BX,6),INDEX('Tracker Sheet'!BW:BW,6))</f>
        <v>Completed 10 day(s) late</v>
      </c>
      <c r="O7" s="300" t="str">
        <f ca="1">INDEX('Tracker Sheet'!BY:BY,6)</f>
        <v>Under budget by £101858</v>
      </c>
      <c r="Q7" s="23"/>
      <c r="R7" s="148"/>
      <c r="S7" s="145"/>
      <c r="U7" s="211" t="s">
        <v>685</v>
      </c>
      <c r="V7" s="132"/>
    </row>
    <row r="8" spans="1:23" ht="56.25" customHeight="1" thickTop="1" thickBot="1" x14ac:dyDescent="0.25">
      <c r="A8" s="114" t="str">
        <f>IF(INDEX('Tracker Sheet'!E:E,7)="","",INDEX('Tracker Sheet'!E:E,7))</f>
        <v>John Cousins</v>
      </c>
      <c r="B8" s="290" t="str">
        <f>IF(INDEX('Tracker Sheet'!C:C,7)="","",INDEX('Tracker Sheet'!C:C,7))</f>
        <v>Toilet Flushing Upgrade</v>
      </c>
      <c r="C8" s="27" t="str">
        <f ca="1">INDEX('Tracker Sheet'!L:L,7)</f>
        <v>G</v>
      </c>
      <c r="D8" s="3" t="str">
        <f>INDEX('Tracker Sheet'!W:W,7)</f>
        <v/>
      </c>
      <c r="E8" s="3" t="str">
        <f>INDEX('Tracker Sheet'!AH:AH,7)</f>
        <v/>
      </c>
      <c r="F8" s="3" t="str">
        <f>INDEX('Tracker Sheet'!AS:AS,7)</f>
        <v>R</v>
      </c>
      <c r="G8" s="3" t="str">
        <f>INDEX('Tracker Sheet'!BD:BD,7)</f>
        <v/>
      </c>
      <c r="H8" s="3" t="str">
        <f>INDEX('Tracker Sheet'!BL:BL,7)</f>
        <v>G</v>
      </c>
      <c r="I8" s="3" t="str">
        <f>INDEX('Tracker Sheet'!BO:BO,7)</f>
        <v>R</v>
      </c>
      <c r="J8" s="301" t="str">
        <f>IF(INDEX('Tracker Sheet'!K:K,7)="","",INDEX('Tracker Sheet'!K:K,7))</f>
        <v>Completed
27/11/2015</v>
      </c>
      <c r="K8" s="300" t="str">
        <f ca="1">IF(INDEX('Tracker Sheet'!BQ:BQ,7)="Completed ",INDEX('Tracker Sheet'!BQ:BQ,7)&amp;INDEX('Tracker Sheet'!BR:BR,7),INDEX('Tracker Sheet'!BQ:BQ,7))</f>
        <v/>
      </c>
      <c r="L8" s="300" t="str">
        <f ca="1">IF(INDEX('Tracker Sheet'!BS:BS,7)="Completed ",INDEX('Tracker Sheet'!BR:BR,7)&amp;INDEX('Tracker Sheet'!BT:BT,7),INDEX('Tracker Sheet'!BS:BS,7))</f>
        <v/>
      </c>
      <c r="M8" s="300" t="str">
        <f ca="1">IF(INDEX('Tracker Sheet'!BU:BU,7)="Completed ",INDEX('Tracker Sheet'!BU:BU,7)&amp;INDEX('Tracker Sheet'!BV:BV,7),INDEX('Tracker Sheet'!BU:BU,7))</f>
        <v>Completed 426 day(s) late</v>
      </c>
      <c r="N8" s="300" t="str">
        <f ca="1">IF(INDEX('Tracker Sheet'!BW:BW,7)="Completed ",INDEX('Tracker Sheet'!BW:BW,7)&amp;INDEX('Tracker Sheet'!BX:BX,7),INDEX('Tracker Sheet'!BW:BW,7))</f>
        <v/>
      </c>
      <c r="O8" s="300" t="str">
        <f ca="1">INDEX('Tracker Sheet'!BY:BY,7)</f>
        <v>Current Forecast Spend £344000</v>
      </c>
      <c r="Q8" s="23"/>
      <c r="R8" s="148"/>
      <c r="S8" s="145"/>
      <c r="U8" s="217" t="s">
        <v>673</v>
      </c>
      <c r="V8" s="132"/>
    </row>
    <row r="9" spans="1:23" ht="56.25" customHeight="1" thickTop="1" thickBot="1" x14ac:dyDescent="0.25">
      <c r="A9" s="114" t="str">
        <f>IF(INDEX('Tracker Sheet'!E:E,8)="","",INDEX('Tracker Sheet'!E:E,8))</f>
        <v>John Cousins</v>
      </c>
      <c r="B9" s="290" t="str">
        <f>IF(INDEX('Tracker Sheet'!C:C,8)="","",INDEX('Tracker Sheet'!C:C,8))</f>
        <v>VSH Roof and Facades Repairs</v>
      </c>
      <c r="C9" s="27" t="str">
        <f ca="1">INDEX('Tracker Sheet'!L:L,8)</f>
        <v>G</v>
      </c>
      <c r="D9" s="3" t="str">
        <f>INDEX('Tracker Sheet'!W:W,8)</f>
        <v>R</v>
      </c>
      <c r="E9" s="3" t="str">
        <f>INDEX('Tracker Sheet'!AH:AH,8)</f>
        <v/>
      </c>
      <c r="F9" s="3" t="str">
        <f>INDEX('Tracker Sheet'!AS:AS,8)</f>
        <v>G</v>
      </c>
      <c r="G9" s="3" t="str">
        <f>INDEX('Tracker Sheet'!BD:BD,8)</f>
        <v/>
      </c>
      <c r="H9" s="3" t="str">
        <f>INDEX('Tracker Sheet'!BL:BL,8)</f>
        <v>G</v>
      </c>
      <c r="I9" s="3" t="str">
        <f>INDEX('Tracker Sheet'!BO:BO,8)</f>
        <v>R</v>
      </c>
      <c r="J9" s="301" t="str">
        <f>IF(INDEX('Tracker Sheet'!K:K,8)="","",INDEX('Tracker Sheet'!K:K,8))</f>
        <v>Completed
10/03/2016</v>
      </c>
      <c r="K9" s="300" t="str">
        <f ca="1">IF(INDEX('Tracker Sheet'!BQ:BQ,8)="Completed ",INDEX('Tracker Sheet'!BQ:BQ,8)&amp;INDEX('Tracker Sheet'!BR:BR,8),INDEX('Tracker Sheet'!BQ:BQ,8))</f>
        <v>Completed 126 day(s) late</v>
      </c>
      <c r="L9" s="300" t="str">
        <f ca="1">IF(INDEX('Tracker Sheet'!BS:BS,8)="Completed ",INDEX('Tracker Sheet'!BR:BR,8)&amp;INDEX('Tracker Sheet'!BT:BT,8),INDEX('Tracker Sheet'!BS:BS,8))</f>
        <v/>
      </c>
      <c r="M9" s="300" t="str">
        <f ca="1">IF(INDEX('Tracker Sheet'!BU:BU,8)="Completed ",INDEX('Tracker Sheet'!BU:BU,8)&amp;INDEX('Tracker Sheet'!BV:BV,8),INDEX('Tracker Sheet'!BU:BU,8))</f>
        <v>Forecast Completion in the past, please update</v>
      </c>
      <c r="N9" s="300" t="str">
        <f ca="1">IF(INDEX('Tracker Sheet'!BW:BW,8)="Completed ",INDEX('Tracker Sheet'!BW:BW,8)&amp;INDEX('Tracker Sheet'!BX:BX,8),INDEX('Tracker Sheet'!BW:BW,8))</f>
        <v/>
      </c>
      <c r="O9" s="300" t="str">
        <f ca="1">INDEX('Tracker Sheet'!BY:BY,8)</f>
        <v>Current Forecast Spend £571000</v>
      </c>
      <c r="P9" s="202"/>
      <c r="Q9" s="23"/>
      <c r="R9" s="148"/>
      <c r="S9" s="145"/>
      <c r="U9" s="211" t="s">
        <v>661</v>
      </c>
      <c r="V9" s="132"/>
    </row>
    <row r="10" spans="1:23" ht="56.25" customHeight="1" thickTop="1" thickBot="1" x14ac:dyDescent="0.25">
      <c r="A10" s="114" t="str">
        <f>IF(INDEX('Tracker Sheet'!E:E,10)="","",INDEX('Tracker Sheet'!E:E,10))</f>
        <v>John Cousins</v>
      </c>
      <c r="B10" s="290" t="str">
        <f>IF(INDEX('Tracker Sheet'!C:C,10)="","",INDEX('Tracker Sheet'!C:C,10))</f>
        <v>Griffith House Facade Repairs</v>
      </c>
      <c r="C10" s="27" t="str">
        <f ca="1">INDEX('Tracker Sheet'!L:L,10)</f>
        <v>G</v>
      </c>
      <c r="D10" s="3" t="str">
        <f>INDEX('Tracker Sheet'!W:W,10)</f>
        <v/>
      </c>
      <c r="E10" s="3" t="str">
        <f>INDEX('Tracker Sheet'!AH:AH,10)</f>
        <v/>
      </c>
      <c r="F10" s="3" t="str">
        <f>INDEX('Tracker Sheet'!AS:AS,10)</f>
        <v/>
      </c>
      <c r="G10" s="3" t="str">
        <f>INDEX('Tracker Sheet'!BD:BD,10)</f>
        <v/>
      </c>
      <c r="H10" s="3" t="str">
        <f>INDEX('Tracker Sheet'!BL:BL,10)</f>
        <v>G</v>
      </c>
      <c r="I10" s="3" t="str">
        <f>INDEX('Tracker Sheet'!BO:BO,10)</f>
        <v>G</v>
      </c>
      <c r="J10" s="301" t="str">
        <f>IF(INDEX('Tracker Sheet'!K:K,10)="","",INDEX('Tracker Sheet'!K:K,10))</f>
        <v>Completed
17/03/2017</v>
      </c>
      <c r="K10" s="300" t="str">
        <f ca="1">IF(INDEX('Tracker Sheet'!BQ:BQ,10)="Completed ",INDEX('Tracker Sheet'!BQ:BQ,10)&amp;INDEX('Tracker Sheet'!BR:BR,10),INDEX('Tracker Sheet'!BQ:BQ,10))</f>
        <v/>
      </c>
      <c r="L10" s="300" t="str">
        <f ca="1">IF(INDEX('Tracker Sheet'!BS:BS,10)="Completed ",INDEX('Tracker Sheet'!BR:BR,10)&amp;INDEX('Tracker Sheet'!BT:BT,10),INDEX('Tracker Sheet'!BS:BS,10))</f>
        <v/>
      </c>
      <c r="M10" s="300" t="str">
        <f ca="1">IF(INDEX('Tracker Sheet'!BU:BU,10)="Completed ",INDEX('Tracker Sheet'!BU:BU,10)&amp;INDEX('Tracker Sheet'!BV:BV,10),INDEX('Tracker Sheet'!BU:BU,10))</f>
        <v/>
      </c>
      <c r="N10" s="300" t="str">
        <f ca="1">IF(INDEX('Tracker Sheet'!BW:BW,10)="Completed ",INDEX('Tracker Sheet'!BW:BW,10)&amp;INDEX('Tracker Sheet'!BX:BX,10),INDEX('Tracker Sheet'!BW:BW,10))</f>
        <v/>
      </c>
      <c r="O10" s="300" t="str">
        <f ca="1">INDEX('Tracker Sheet'!BY:BY,10)</f>
        <v>Current Forecast Spend £750000</v>
      </c>
      <c r="Q10" s="23"/>
      <c r="R10" s="148"/>
      <c r="S10" s="145"/>
      <c r="U10" s="395" t="s">
        <v>686</v>
      </c>
      <c r="V10" s="132"/>
      <c r="W10" s="224"/>
    </row>
    <row r="11" spans="1:23" ht="56.25" customHeight="1" thickTop="1" thickBot="1" x14ac:dyDescent="0.25">
      <c r="A11" s="114" t="str">
        <f>IF(INDEX('Tracker Sheet'!E:E,11)="","",INDEX('Tracker Sheet'!E:E,11))</f>
        <v>Tony Hunter</v>
      </c>
      <c r="B11" s="290" t="str">
        <f>IF(INDEX('Tracker Sheet'!C:C,11)="","",INDEX('Tracker Sheet'!C:C,11))</f>
        <v>4L Emergancy Service Control Centre</v>
      </c>
      <c r="C11" s="27" t="str">
        <f ca="1">INDEX('Tracker Sheet'!L:L,11)</f>
        <v>R</v>
      </c>
      <c r="D11" s="3" t="str">
        <f>INDEX('Tracker Sheet'!W:W,11)</f>
        <v/>
      </c>
      <c r="E11" s="3" t="str">
        <f>INDEX('Tracker Sheet'!AH:AH,11)</f>
        <v/>
      </c>
      <c r="F11" s="3" t="str">
        <f>INDEX('Tracker Sheet'!AS:AS,11)</f>
        <v/>
      </c>
      <c r="G11" s="3" t="str">
        <f>INDEX('Tracker Sheet'!BD:BD,11)</f>
        <v/>
      </c>
      <c r="H11" s="3" t="e">
        <f>INDEX('Tracker Sheet'!BL:BL,11)</f>
        <v>#N/A</v>
      </c>
      <c r="I11" s="3" t="e">
        <f>INDEX('Tracker Sheet'!BO:BO,11)</f>
        <v>#N/A</v>
      </c>
      <c r="J11" s="301" t="str">
        <f>IF(INDEX('Tracker Sheet'!K:K,11)="","",INDEX('Tracker Sheet'!K:K,11))</f>
        <v>Board Date
05/02/2017</v>
      </c>
      <c r="K11" s="300" t="str">
        <f ca="1">IF(INDEX('Tracker Sheet'!BQ:BQ,11)="Completed ",INDEX('Tracker Sheet'!BQ:BQ,11)&amp;INDEX('Tracker Sheet'!BR:BR,11),INDEX('Tracker Sheet'!BQ:BQ,11))</f>
        <v/>
      </c>
      <c r="L11" s="300" t="str">
        <f ca="1">IF(INDEX('Tracker Sheet'!BS:BS,11)="Completed ",INDEX('Tracker Sheet'!BR:BR,11)&amp;INDEX('Tracker Sheet'!BT:BT,11),INDEX('Tracker Sheet'!BS:BS,11))</f>
        <v/>
      </c>
      <c r="M11" s="300" t="str">
        <f ca="1">IF(INDEX('Tracker Sheet'!BU:BU,11)="Completed ",INDEX('Tracker Sheet'!BU:BU,11)&amp;INDEX('Tracker Sheet'!BV:BV,11),INDEX('Tracker Sheet'!BU:BU,11))</f>
        <v/>
      </c>
      <c r="N11" s="300" t="str">
        <f ca="1">IF(INDEX('Tracker Sheet'!BW:BW,11)="Completed ",INDEX('Tracker Sheet'!BW:BW,11)&amp;INDEX('Tracker Sheet'!BX:BX,11),INDEX('Tracker Sheet'!BW:BW,11))</f>
        <v/>
      </c>
      <c r="O11" s="300" t="str">
        <f ca="1">INDEX('Tracker Sheet'!BY:BY,11)</f>
        <v>Current Forecast Spend £85368</v>
      </c>
      <c r="Q11" s="23"/>
      <c r="R11" s="148"/>
      <c r="S11" s="145"/>
      <c r="U11" s="212"/>
      <c r="V11" s="132"/>
    </row>
    <row r="12" spans="1:23" ht="56.25" customHeight="1" thickTop="1" thickBot="1" x14ac:dyDescent="0.25">
      <c r="A12" s="114" t="str">
        <f>IF(INDEX('Tracker Sheet'!E:E,12)="","",INDEX('Tracker Sheet'!E:E,12))</f>
        <v>Martina Perkins</v>
      </c>
      <c r="B12" s="290" t="str">
        <f>IF(INDEX('Tracker Sheet'!C:C,12)="","",INDEX('Tracker Sheet'!C:C,12))</f>
        <v>Bringing Back to use Staircase/chained door leading to the track</v>
      </c>
      <c r="C12" s="27" t="str">
        <f ca="1">INDEX('Tracker Sheet'!L:L,12)</f>
        <v/>
      </c>
      <c r="D12" s="3" t="str">
        <f>INDEX('Tracker Sheet'!W:W,12)</f>
        <v/>
      </c>
      <c r="E12" s="3" t="str">
        <f>INDEX('Tracker Sheet'!AH:AH,12)</f>
        <v/>
      </c>
      <c r="F12" s="3" t="str">
        <f>INDEX('Tracker Sheet'!AS:AS,12)</f>
        <v/>
      </c>
      <c r="G12" s="3" t="str">
        <f>INDEX('Tracker Sheet'!BD:BD,12)</f>
        <v>R</v>
      </c>
      <c r="H12" s="3" t="e">
        <f>INDEX('Tracker Sheet'!BL:BL,12)</f>
        <v>#N/A</v>
      </c>
      <c r="I12" s="3" t="e">
        <f>INDEX('Tracker Sheet'!BO:BO,12)</f>
        <v>#N/A</v>
      </c>
      <c r="J12" s="301" t="str">
        <f>IF(INDEX('Tracker Sheet'!K:K,12)="","",INDEX('Tracker Sheet'!K:K,12))</f>
        <v/>
      </c>
      <c r="K12" s="300" t="str">
        <f ca="1">IF(INDEX('Tracker Sheet'!BQ:BQ,12)="Completed ",INDEX('Tracker Sheet'!BQ:BQ,12)&amp;INDEX('Tracker Sheet'!BR:BR,12),INDEX('Tracker Sheet'!BQ:BQ,12))</f>
        <v/>
      </c>
      <c r="L12" s="300" t="str">
        <f ca="1">IF(INDEX('Tracker Sheet'!BS:BS,12)="Completed ",INDEX('Tracker Sheet'!BR:BR,12)&amp;INDEX('Tracker Sheet'!BT:BT,12),INDEX('Tracker Sheet'!BS:BS,12))</f>
        <v/>
      </c>
      <c r="M12" s="300" t="str">
        <f ca="1">IF(INDEX('Tracker Sheet'!BU:BU,12)="Completed ",INDEX('Tracker Sheet'!BU:BU,12)&amp;INDEX('Tracker Sheet'!BV:BV,12),INDEX('Tracker Sheet'!BU:BU,12))</f>
        <v/>
      </c>
      <c r="N12" s="300" t="str">
        <f ca="1">IF(INDEX('Tracker Sheet'!BW:BW,12)="Completed ",INDEX('Tracker Sheet'!BW:BW,12)&amp;INDEX('Tracker Sheet'!BX:BX,12),INDEX('Tracker Sheet'!BW:BW,12))</f>
        <v>Completed 109 day(s) late</v>
      </c>
      <c r="O12" s="300" t="str">
        <f ca="1">INDEX('Tracker Sheet'!BY:BY,12)</f>
        <v>Under budget by £0</v>
      </c>
      <c r="Q12" s="23"/>
      <c r="R12" s="148"/>
      <c r="S12" s="145"/>
      <c r="U12" s="212"/>
      <c r="V12" s="132"/>
    </row>
    <row r="13" spans="1:23" ht="56.25" customHeight="1" thickTop="1" thickBot="1" x14ac:dyDescent="0.25">
      <c r="A13" s="114" t="str">
        <f>IF(INDEX('Tracker Sheet'!E:E,14)="","",INDEX('Tracker Sheet'!E:E,14))</f>
        <v/>
      </c>
      <c r="B13" s="290" t="str">
        <f>IF(INDEX('Tracker Sheet'!C:C,14)="","",INDEX('Tracker Sheet'!C:C,14))</f>
        <v/>
      </c>
      <c r="C13" s="27" t="str">
        <f ca="1">INDEX('Tracker Sheet'!L:L,14)</f>
        <v/>
      </c>
      <c r="D13" s="3" t="str">
        <f>INDEX('Tracker Sheet'!W:W,14)</f>
        <v/>
      </c>
      <c r="E13" s="3" t="str">
        <f>INDEX('Tracker Sheet'!AH:AH,14)</f>
        <v/>
      </c>
      <c r="F13" s="3" t="str">
        <f>INDEX('Tracker Sheet'!AS:AS,14)</f>
        <v/>
      </c>
      <c r="G13" s="3" t="str">
        <f>INDEX('Tracker Sheet'!BD:BD,14)</f>
        <v/>
      </c>
      <c r="H13" s="3" t="str">
        <f>INDEX('Tracker Sheet'!BL:BL,14)</f>
        <v/>
      </c>
      <c r="I13" s="3" t="str">
        <f>INDEX('Tracker Sheet'!BO:BO,14)</f>
        <v/>
      </c>
      <c r="J13" s="301" t="str">
        <f>IF(INDEX('Tracker Sheet'!K:K,14)="","",INDEX('Tracker Sheet'!K:K,14))</f>
        <v/>
      </c>
      <c r="K13" s="300" t="str">
        <f ca="1">IF(INDEX('Tracker Sheet'!BQ:BQ,14)="Completed ",INDEX('Tracker Sheet'!BQ:BQ,14)&amp;INDEX('Tracker Sheet'!BR:BR,14),INDEX('Tracker Sheet'!BQ:BQ,14))</f>
        <v/>
      </c>
      <c r="L13" s="300" t="str">
        <f ca="1">IF(INDEX('Tracker Sheet'!BS:BS,14)="Completed ",INDEX('Tracker Sheet'!BR:BR,14)&amp;INDEX('Tracker Sheet'!BT:BT,14),INDEX('Tracker Sheet'!BS:BS,14))</f>
        <v/>
      </c>
      <c r="M13" s="300" t="str">
        <f ca="1">IF(INDEX('Tracker Sheet'!BU:BU,14)="Completed ",INDEX('Tracker Sheet'!BU:BU,14)&amp;INDEX('Tracker Sheet'!BV:BV,14),INDEX('Tracker Sheet'!BU:BU,14))</f>
        <v/>
      </c>
      <c r="N13" s="300" t="str">
        <f ca="1">IF(INDEX('Tracker Sheet'!BW:BW,14)="Completed ",INDEX('Tracker Sheet'!BW:BW,14)&amp;INDEX('Tracker Sheet'!BX:BX,14),INDEX('Tracker Sheet'!BW:BW,14))</f>
        <v/>
      </c>
      <c r="O13" s="300" t="str">
        <f ca="1">INDEX('Tracker Sheet'!BY:BY,14)</f>
        <v/>
      </c>
      <c r="Q13" s="23"/>
      <c r="R13" s="148"/>
      <c r="S13" s="145"/>
      <c r="U13" s="343"/>
      <c r="V13" s="132"/>
    </row>
    <row r="14" spans="1:23" ht="56.25" customHeight="1" thickTop="1" thickBot="1" x14ac:dyDescent="0.25">
      <c r="A14" s="114" t="str">
        <f>IF(INDEX('Tracker Sheet'!E:E,15)="","",INDEX('Tracker Sheet'!E:E,15))</f>
        <v/>
      </c>
      <c r="B14" s="290" t="str">
        <f>IF(INDEX('Tracker Sheet'!C:C,15)="","",INDEX('Tracker Sheet'!C:C,15))</f>
        <v/>
      </c>
      <c r="C14" s="27" t="str">
        <f ca="1">INDEX('Tracker Sheet'!L:L,15)</f>
        <v/>
      </c>
      <c r="D14" s="3" t="str">
        <f>INDEX('Tracker Sheet'!W:W,15)</f>
        <v/>
      </c>
      <c r="E14" s="3" t="str">
        <f>INDEX('Tracker Sheet'!AH:AH,15)</f>
        <v/>
      </c>
      <c r="F14" s="3" t="str">
        <f>INDEX('Tracker Sheet'!AS:AS,15)</f>
        <v/>
      </c>
      <c r="G14" s="3" t="str">
        <f>INDEX('Tracker Sheet'!BD:BD,15)</f>
        <v/>
      </c>
      <c r="H14" s="3" t="str">
        <f>INDEX('Tracker Sheet'!BL:BL,15)</f>
        <v/>
      </c>
      <c r="I14" s="3" t="str">
        <f>INDEX('Tracker Sheet'!BO:BO,15)</f>
        <v/>
      </c>
      <c r="J14" s="301" t="str">
        <f>IF(INDEX('Tracker Sheet'!K:K,15)="","",INDEX('Tracker Sheet'!K:K,15))</f>
        <v/>
      </c>
      <c r="K14" s="300" t="str">
        <f ca="1">IF(INDEX('Tracker Sheet'!BQ:BQ,15)="Completed ",INDEX('Tracker Sheet'!BQ:BQ,15)&amp;INDEX('Tracker Sheet'!BR:BR,15),INDEX('Tracker Sheet'!BQ:BQ,15))</f>
        <v/>
      </c>
      <c r="L14" s="300" t="str">
        <f ca="1">IF(INDEX('Tracker Sheet'!BS:BS,15)="Completed ",INDEX('Tracker Sheet'!BR:BR,15)&amp;INDEX('Tracker Sheet'!BT:BT,15),INDEX('Tracker Sheet'!BS:BS,15))</f>
        <v/>
      </c>
      <c r="M14" s="300" t="str">
        <f ca="1">IF(INDEX('Tracker Sheet'!BU:BU,15)="Completed ",INDEX('Tracker Sheet'!BU:BU,15)&amp;INDEX('Tracker Sheet'!BV:BV,15),INDEX('Tracker Sheet'!BU:BU,15))</f>
        <v/>
      </c>
      <c r="N14" s="300" t="str">
        <f ca="1">IF(INDEX('Tracker Sheet'!BW:BW,15)="Completed ",INDEX('Tracker Sheet'!BW:BW,15)&amp;INDEX('Tracker Sheet'!BX:BX,15),INDEX('Tracker Sheet'!BW:BW,15))</f>
        <v/>
      </c>
      <c r="O14" s="300" t="str">
        <f ca="1">INDEX('Tracker Sheet'!BY:BY,15)</f>
        <v/>
      </c>
      <c r="Q14" s="23"/>
      <c r="R14" s="148"/>
      <c r="S14" s="145"/>
      <c r="U14" s="343"/>
      <c r="V14" s="132"/>
    </row>
    <row r="15" spans="1:23" ht="56.25" customHeight="1" thickTop="1" thickBot="1" x14ac:dyDescent="0.25">
      <c r="A15" s="114" t="str">
        <f>IF(INDEX('Tracker Sheet'!E:E,16)="","",INDEX('Tracker Sheet'!E:E,16))</f>
        <v/>
      </c>
      <c r="B15" s="290" t="str">
        <f>IF(INDEX('Tracker Sheet'!C:C,16)="","",INDEX('Tracker Sheet'!C:C,16))</f>
        <v/>
      </c>
      <c r="C15" s="27" t="str">
        <f ca="1">INDEX('Tracker Sheet'!L:L,16)</f>
        <v/>
      </c>
      <c r="D15" s="3" t="str">
        <f>INDEX('Tracker Sheet'!W:W,16)</f>
        <v/>
      </c>
      <c r="E15" s="3" t="str">
        <f>INDEX('Tracker Sheet'!AH:AH,16)</f>
        <v/>
      </c>
      <c r="F15" s="3" t="str">
        <f>INDEX('Tracker Sheet'!AS:AS,16)</f>
        <v/>
      </c>
      <c r="G15" s="3" t="str">
        <f>INDEX('Tracker Sheet'!BD:BD,16)</f>
        <v/>
      </c>
      <c r="H15" s="3" t="str">
        <f>INDEX('Tracker Sheet'!BL:BL,16)</f>
        <v/>
      </c>
      <c r="I15" s="3" t="str">
        <f>INDEX('Tracker Sheet'!BO:BO,16)</f>
        <v/>
      </c>
      <c r="J15" s="301" t="str">
        <f>IF(INDEX('Tracker Sheet'!K:K,16)="","",INDEX('Tracker Sheet'!K:K,16))</f>
        <v/>
      </c>
      <c r="K15" s="300" t="str">
        <f ca="1">IF(INDEX('Tracker Sheet'!BQ:BQ,16)="Completed ",INDEX('Tracker Sheet'!BQ:BQ,16)&amp;INDEX('Tracker Sheet'!BR:BR,16),INDEX('Tracker Sheet'!BQ:BQ,16))</f>
        <v/>
      </c>
      <c r="L15" s="300" t="str">
        <f ca="1">IF(INDEX('Tracker Sheet'!BS:BS,16)="Completed ",INDEX('Tracker Sheet'!BR:BR,16)&amp;INDEX('Tracker Sheet'!BT:BT,16),INDEX('Tracker Sheet'!BS:BS,16))</f>
        <v/>
      </c>
      <c r="M15" s="300" t="str">
        <f ca="1">IF(INDEX('Tracker Sheet'!BU:BU,16)="Completed ",INDEX('Tracker Sheet'!BU:BU,16)&amp;INDEX('Tracker Sheet'!BV:BV,16),INDEX('Tracker Sheet'!BU:BU,16))</f>
        <v/>
      </c>
      <c r="N15" s="300" t="str">
        <f ca="1">IF(INDEX('Tracker Sheet'!BW:BW,16)="Completed ",INDEX('Tracker Sheet'!BW:BW,16)&amp;INDEX('Tracker Sheet'!BX:BX,16),INDEX('Tracker Sheet'!BW:BW,16))</f>
        <v/>
      </c>
      <c r="O15" s="300" t="str">
        <f ca="1">INDEX('Tracker Sheet'!BY:BY,16)</f>
        <v/>
      </c>
      <c r="Q15" s="23"/>
      <c r="R15" s="148"/>
      <c r="S15" s="145"/>
      <c r="U15" s="343"/>
      <c r="V15" s="133"/>
    </row>
    <row r="16" spans="1:23" ht="56.25" customHeight="1" thickTop="1" thickBot="1" x14ac:dyDescent="0.25">
      <c r="A16" s="114" t="str">
        <f>IF(INDEX('Tracker Sheet'!E:E,17)="","",INDEX('Tracker Sheet'!E:E,17))</f>
        <v/>
      </c>
      <c r="B16" s="290" t="str">
        <f>IF(INDEX('Tracker Sheet'!C:C,17)="","",INDEX('Tracker Sheet'!C:C,17))</f>
        <v/>
      </c>
      <c r="C16" s="27" t="str">
        <f ca="1">INDEX('Tracker Sheet'!L:L,17)</f>
        <v/>
      </c>
      <c r="D16" s="3" t="str">
        <f>INDEX('Tracker Sheet'!W:W,17)</f>
        <v/>
      </c>
      <c r="E16" s="3" t="str">
        <f>INDEX('Tracker Sheet'!AH:AH,17)</f>
        <v/>
      </c>
      <c r="F16" s="3" t="str">
        <f>INDEX('Tracker Sheet'!AS:AS,17)</f>
        <v/>
      </c>
      <c r="G16" s="3" t="str">
        <f>INDEX('Tracker Sheet'!BD:BD,17)</f>
        <v/>
      </c>
      <c r="H16" s="3" t="str">
        <f>INDEX('Tracker Sheet'!BL:BL,17)</f>
        <v/>
      </c>
      <c r="I16" s="3" t="str">
        <f>INDEX('Tracker Sheet'!BO:BO,17)</f>
        <v/>
      </c>
      <c r="J16" s="301" t="str">
        <f>IF(INDEX('Tracker Sheet'!K:K,17)="","",INDEX('Tracker Sheet'!K:K,17))</f>
        <v/>
      </c>
      <c r="K16" s="300" t="str">
        <f ca="1">IF(INDEX('Tracker Sheet'!BQ:BQ,17)="Completed ",INDEX('Tracker Sheet'!BQ:BQ,17)&amp;INDEX('Tracker Sheet'!BR:BR,17),INDEX('Tracker Sheet'!BQ:BQ,17))</f>
        <v/>
      </c>
      <c r="L16" s="300" t="str">
        <f ca="1">IF(INDEX('Tracker Sheet'!BS:BS,17)="Completed ",INDEX('Tracker Sheet'!BR:BR,17)&amp;INDEX('Tracker Sheet'!BT:BT,17),INDEX('Tracker Sheet'!BS:BS,17))</f>
        <v/>
      </c>
      <c r="M16" s="300" t="str">
        <f ca="1">IF(INDEX('Tracker Sheet'!BU:BU,17)="Completed ",INDEX('Tracker Sheet'!BU:BU,17)&amp;INDEX('Tracker Sheet'!BV:BV,17),INDEX('Tracker Sheet'!BU:BU,17))</f>
        <v/>
      </c>
      <c r="N16" s="300" t="str">
        <f ca="1">IF(INDEX('Tracker Sheet'!BW:BW,17)="Completed ",INDEX('Tracker Sheet'!BW:BW,17)&amp;INDEX('Tracker Sheet'!BX:BX,17),INDEX('Tracker Sheet'!BW:BW,17))</f>
        <v/>
      </c>
      <c r="O16" s="300" t="str">
        <f ca="1">INDEX('Tracker Sheet'!BY:BY,17)</f>
        <v/>
      </c>
      <c r="P16" s="202"/>
      <c r="Q16" s="23"/>
      <c r="R16" s="148"/>
      <c r="S16" s="145"/>
      <c r="U16" s="343"/>
      <c r="V16" s="132"/>
    </row>
    <row r="17" spans="1:22" ht="56.25" customHeight="1" thickTop="1" thickBot="1" x14ac:dyDescent="0.25">
      <c r="A17" s="114" t="str">
        <f>IF(INDEX('Tracker Sheet'!E:E,18)="","",INDEX('Tracker Sheet'!E:E,18))</f>
        <v/>
      </c>
      <c r="B17" s="290" t="str">
        <f>IF(INDEX('Tracker Sheet'!C:C,18)="","",INDEX('Tracker Sheet'!C:C,18))</f>
        <v/>
      </c>
      <c r="C17" s="27" t="str">
        <f ca="1">INDEX('Tracker Sheet'!L:L,18)</f>
        <v/>
      </c>
      <c r="D17" s="3" t="str">
        <f>INDEX('Tracker Sheet'!W:W,18)</f>
        <v/>
      </c>
      <c r="E17" s="3" t="str">
        <f>INDEX('Tracker Sheet'!AH:AH,18)</f>
        <v/>
      </c>
      <c r="F17" s="3" t="str">
        <f>INDEX('Tracker Sheet'!AS:AS,18)</f>
        <v/>
      </c>
      <c r="G17" s="3" t="str">
        <f>INDEX('Tracker Sheet'!BD:BD,18)</f>
        <v/>
      </c>
      <c r="H17" s="3" t="str">
        <f>INDEX('Tracker Sheet'!BL:BL,18)</f>
        <v/>
      </c>
      <c r="I17" s="3" t="str">
        <f>INDEX('Tracker Sheet'!BO:BO,18)</f>
        <v/>
      </c>
      <c r="J17" s="301" t="str">
        <f>IF(INDEX('Tracker Sheet'!K:K,18)="","",INDEX('Tracker Sheet'!K:K,18))</f>
        <v/>
      </c>
      <c r="K17" s="300" t="str">
        <f ca="1">IF(INDEX('Tracker Sheet'!BQ:BQ,18)="Completed ",INDEX('Tracker Sheet'!BQ:BQ,18)&amp;INDEX('Tracker Sheet'!BR:BR,18),INDEX('Tracker Sheet'!BQ:BQ,18))</f>
        <v/>
      </c>
      <c r="L17" s="300" t="str">
        <f ca="1">IF(INDEX('Tracker Sheet'!BS:BS,18)="Completed ",INDEX('Tracker Sheet'!BR:BR,18)&amp;INDEX('Tracker Sheet'!BT:BT,18),INDEX('Tracker Sheet'!BS:BS,18))</f>
        <v/>
      </c>
      <c r="M17" s="300" t="str">
        <f ca="1">IF(INDEX('Tracker Sheet'!BU:BU,18)="Completed ",INDEX('Tracker Sheet'!BU:BU,18)&amp;INDEX('Tracker Sheet'!BV:BV,18),INDEX('Tracker Sheet'!BU:BU,18))</f>
        <v/>
      </c>
      <c r="N17" s="300" t="str">
        <f ca="1">IF(INDEX('Tracker Sheet'!BW:BW,18)="Completed ",INDEX('Tracker Sheet'!BW:BW,18)&amp;INDEX('Tracker Sheet'!BX:BX,18),INDEX('Tracker Sheet'!BW:BW,18))</f>
        <v/>
      </c>
      <c r="O17" s="300" t="str">
        <f ca="1">INDEX('Tracker Sheet'!BY:BY,18)</f>
        <v/>
      </c>
      <c r="Q17" s="23"/>
      <c r="R17" s="148"/>
      <c r="S17" s="145"/>
      <c r="V17" s="132"/>
    </row>
    <row r="18" spans="1:22" ht="56.25" customHeight="1" thickTop="1" thickBot="1" x14ac:dyDescent="0.25">
      <c r="A18" s="114" t="str">
        <f>IF(INDEX('Tracker Sheet'!E:E,19)="","",INDEX('Tracker Sheet'!E:E,19))</f>
        <v/>
      </c>
      <c r="B18" s="290" t="str">
        <f>IF(INDEX('Tracker Sheet'!C:C,19)="","",INDEX('Tracker Sheet'!C:C,19))</f>
        <v/>
      </c>
      <c r="C18" s="27" t="str">
        <f ca="1">INDEX('Tracker Sheet'!L:L,19)</f>
        <v/>
      </c>
      <c r="D18" s="3" t="str">
        <f>INDEX('Tracker Sheet'!W:W,19)</f>
        <v/>
      </c>
      <c r="E18" s="3" t="str">
        <f>INDEX('Tracker Sheet'!AH:AH,19)</f>
        <v/>
      </c>
      <c r="F18" s="3" t="str">
        <f>INDEX('Tracker Sheet'!AS:AS,19)</f>
        <v/>
      </c>
      <c r="G18" s="3" t="str">
        <f>INDEX('Tracker Sheet'!BD:BD,19)</f>
        <v/>
      </c>
      <c r="H18" s="3" t="str">
        <f>INDEX('Tracker Sheet'!BL:BL,19)</f>
        <v/>
      </c>
      <c r="I18" s="3" t="str">
        <f>INDEX('Tracker Sheet'!BO:BO,19)</f>
        <v/>
      </c>
      <c r="J18" s="301" t="str">
        <f>IF(INDEX('Tracker Sheet'!K:K,19)="","",INDEX('Tracker Sheet'!K:K,19))</f>
        <v/>
      </c>
      <c r="K18" s="300" t="str">
        <f ca="1">IF(INDEX('Tracker Sheet'!BQ:BQ,19)="Completed ",INDEX('Tracker Sheet'!BQ:BQ,19)&amp;INDEX('Tracker Sheet'!BR:BR,19),INDEX('Tracker Sheet'!BQ:BQ,19))</f>
        <v/>
      </c>
      <c r="L18" s="300" t="str">
        <f ca="1">IF(INDEX('Tracker Sheet'!BS:BS,19)="Completed ",INDEX('Tracker Sheet'!BR:BR,19)&amp;INDEX('Tracker Sheet'!BT:BT,19),INDEX('Tracker Sheet'!BS:BS,19))</f>
        <v/>
      </c>
      <c r="M18" s="300" t="str">
        <f ca="1">IF(INDEX('Tracker Sheet'!BU:BU,19)="Completed ",INDEX('Tracker Sheet'!BU:BU,19)&amp;INDEX('Tracker Sheet'!BV:BV,19),INDEX('Tracker Sheet'!BU:BU,19))</f>
        <v/>
      </c>
      <c r="N18" s="300" t="str">
        <f ca="1">IF(INDEX('Tracker Sheet'!BW:BW,19)="Completed ",INDEX('Tracker Sheet'!BW:BW,19)&amp;INDEX('Tracker Sheet'!BX:BX,19),INDEX('Tracker Sheet'!BW:BW,19))</f>
        <v/>
      </c>
      <c r="O18" s="300" t="str">
        <f ca="1">INDEX('Tracker Sheet'!BY:BY,19)</f>
        <v/>
      </c>
      <c r="Q18" s="23"/>
      <c r="R18" s="148"/>
      <c r="S18" s="145"/>
      <c r="V18" s="132"/>
    </row>
    <row r="19" spans="1:22" ht="56.25" customHeight="1" thickTop="1" thickBot="1" x14ac:dyDescent="0.25">
      <c r="A19" s="114" t="str">
        <f>IF(INDEX('Tracker Sheet'!E:E,20)="","",INDEX('Tracker Sheet'!E:E,20))</f>
        <v/>
      </c>
      <c r="B19" s="290" t="str">
        <f>IF(INDEX('Tracker Sheet'!C:C,20)="","",INDEX('Tracker Sheet'!C:C,20))</f>
        <v/>
      </c>
      <c r="C19" s="27" t="str">
        <f ca="1">INDEX('Tracker Sheet'!L:L,20)</f>
        <v/>
      </c>
      <c r="D19" s="3" t="str">
        <f>INDEX('Tracker Sheet'!W:W,20)</f>
        <v/>
      </c>
      <c r="E19" s="3" t="str">
        <f>INDEX('Tracker Sheet'!AH:AH,20)</f>
        <v/>
      </c>
      <c r="F19" s="3" t="str">
        <f>INDEX('Tracker Sheet'!AS:AS,20)</f>
        <v/>
      </c>
      <c r="G19" s="3" t="str">
        <f>INDEX('Tracker Sheet'!BD:BD,20)</f>
        <v/>
      </c>
      <c r="H19" s="3" t="str">
        <f>INDEX('Tracker Sheet'!BL:BL,20)</f>
        <v/>
      </c>
      <c r="I19" s="3" t="str">
        <f>INDEX('Tracker Sheet'!BO:BO,20)</f>
        <v/>
      </c>
      <c r="J19" s="301" t="str">
        <f>IF(INDEX('Tracker Sheet'!K:K,20)="","",INDEX('Tracker Sheet'!K:K,20))</f>
        <v/>
      </c>
      <c r="K19" s="300" t="str">
        <f ca="1">IF(INDEX('Tracker Sheet'!BQ:BQ,20)="Completed ",INDEX('Tracker Sheet'!BQ:BQ,20)&amp;INDEX('Tracker Sheet'!BR:BR,20),INDEX('Tracker Sheet'!BQ:BQ,20))</f>
        <v/>
      </c>
      <c r="L19" s="300" t="str">
        <f ca="1">IF(INDEX('Tracker Sheet'!BS:BS,20)="Completed ",INDEX('Tracker Sheet'!BR:BR,20)&amp;INDEX('Tracker Sheet'!BT:BT,20),INDEX('Tracker Sheet'!BS:BS,20))</f>
        <v/>
      </c>
      <c r="M19" s="300" t="str">
        <f ca="1">IF(INDEX('Tracker Sheet'!BU:BU,20)="Completed ",INDEX('Tracker Sheet'!BU:BU,20)&amp;INDEX('Tracker Sheet'!BV:BV,20),INDEX('Tracker Sheet'!BU:BU,20))</f>
        <v/>
      </c>
      <c r="N19" s="300" t="str">
        <f ca="1">IF(INDEX('Tracker Sheet'!BW:BW,20)="Completed ",INDEX('Tracker Sheet'!BW:BW,20)&amp;INDEX('Tracker Sheet'!BX:BX,20),INDEX('Tracker Sheet'!BW:BW,20))</f>
        <v/>
      </c>
      <c r="O19" s="300" t="str">
        <f ca="1">INDEX('Tracker Sheet'!BY:BY,20)</f>
        <v/>
      </c>
      <c r="Q19" s="147"/>
      <c r="R19" s="148"/>
      <c r="S19" s="145"/>
      <c r="V19" s="132"/>
    </row>
    <row r="20" spans="1:22" ht="56.25" customHeight="1" thickTop="1" thickBot="1" x14ac:dyDescent="0.25">
      <c r="A20" s="114" t="str">
        <f>IF(INDEX('Tracker Sheet'!E:E,21)="","",INDEX('Tracker Sheet'!E:E,21))</f>
        <v/>
      </c>
      <c r="B20" s="290" t="str">
        <f>IF(INDEX('Tracker Sheet'!C:C,21)="","",INDEX('Tracker Sheet'!C:C,21))</f>
        <v/>
      </c>
      <c r="C20" s="27" t="str">
        <f ca="1">INDEX('Tracker Sheet'!L:L,21)</f>
        <v/>
      </c>
      <c r="D20" s="3" t="str">
        <f>INDEX('Tracker Sheet'!W:W,21)</f>
        <v/>
      </c>
      <c r="E20" s="3" t="str">
        <f>INDEX('Tracker Sheet'!AH:AH,21)</f>
        <v/>
      </c>
      <c r="F20" s="3" t="str">
        <f>INDEX('Tracker Sheet'!AS:AS,21)</f>
        <v/>
      </c>
      <c r="G20" s="3" t="str">
        <f>INDEX('Tracker Sheet'!BD:BD,21)</f>
        <v/>
      </c>
      <c r="H20" s="3" t="str">
        <f>INDEX('Tracker Sheet'!BL:BL,21)</f>
        <v/>
      </c>
      <c r="I20" s="3" t="str">
        <f>INDEX('Tracker Sheet'!BO:BO,21)</f>
        <v/>
      </c>
      <c r="J20" s="301" t="str">
        <f>IF(INDEX('Tracker Sheet'!K:K,21)="","",INDEX('Tracker Sheet'!K:K,21))</f>
        <v/>
      </c>
      <c r="K20" s="300" t="str">
        <f ca="1">IF(INDEX('Tracker Sheet'!BQ:BQ,21)="Completed ",INDEX('Tracker Sheet'!BQ:BQ,21)&amp;INDEX('Tracker Sheet'!BR:BR,21),INDEX('Tracker Sheet'!BQ:BQ,21))</f>
        <v/>
      </c>
      <c r="L20" s="300" t="str">
        <f ca="1">IF(INDEX('Tracker Sheet'!BS:BS,21)="Completed ",INDEX('Tracker Sheet'!BR:BR,21)&amp;INDEX('Tracker Sheet'!BT:BT,21),INDEX('Tracker Sheet'!BS:BS,21))</f>
        <v/>
      </c>
      <c r="M20" s="300" t="str">
        <f ca="1">IF(INDEX('Tracker Sheet'!BU:BU,21)="Completed ",INDEX('Tracker Sheet'!BU:BU,21)&amp;INDEX('Tracker Sheet'!BV:BV,21),INDEX('Tracker Sheet'!BU:BU,21))</f>
        <v/>
      </c>
      <c r="N20" s="300" t="str">
        <f ca="1">IF(INDEX('Tracker Sheet'!BW:BW,21)="Completed ",INDEX('Tracker Sheet'!BW:BW,21)&amp;INDEX('Tracker Sheet'!BX:BX,21),INDEX('Tracker Sheet'!BW:BW,21))</f>
        <v/>
      </c>
      <c r="O20" s="300" t="str">
        <f ca="1">INDEX('Tracker Sheet'!BY:BY,21)</f>
        <v/>
      </c>
      <c r="Q20" s="147"/>
      <c r="R20" s="148"/>
      <c r="S20" s="145"/>
      <c r="V20" s="134"/>
    </row>
    <row r="21" spans="1:22" ht="56.25" customHeight="1" thickTop="1" thickBot="1" x14ac:dyDescent="0.25">
      <c r="A21" s="114" t="str">
        <f>IF(INDEX('Tracker Sheet'!E:E,22)="","",INDEX('Tracker Sheet'!E:E,22))</f>
        <v/>
      </c>
      <c r="B21" s="290" t="str">
        <f>IF(INDEX('Tracker Sheet'!C:C,22)="","",INDEX('Tracker Sheet'!C:C,22))</f>
        <v/>
      </c>
      <c r="C21" s="27" t="str">
        <f ca="1">INDEX('Tracker Sheet'!L:L,22)</f>
        <v/>
      </c>
      <c r="D21" s="3" t="str">
        <f>INDEX('Tracker Sheet'!W:W,22)</f>
        <v/>
      </c>
      <c r="E21" s="3" t="str">
        <f>INDEX('Tracker Sheet'!AH:AH,22)</f>
        <v/>
      </c>
      <c r="F21" s="3" t="str">
        <f>INDEX('Tracker Sheet'!AS:AS,22)</f>
        <v/>
      </c>
      <c r="G21" s="3" t="str">
        <f>INDEX('Tracker Sheet'!BD:BD,22)</f>
        <v/>
      </c>
      <c r="H21" s="3" t="str">
        <f>INDEX('Tracker Sheet'!BL:BL,22)</f>
        <v/>
      </c>
      <c r="I21" s="3" t="str">
        <f>INDEX('Tracker Sheet'!BO:BO,22)</f>
        <v/>
      </c>
      <c r="J21" s="301" t="str">
        <f>IF(INDEX('Tracker Sheet'!K:K,22)="","",INDEX('Tracker Sheet'!K:K,22))</f>
        <v/>
      </c>
      <c r="K21" s="300" t="str">
        <f ca="1">IF(INDEX('Tracker Sheet'!BQ:BQ,22)="Completed ",INDEX('Tracker Sheet'!BQ:BQ,22)&amp;INDEX('Tracker Sheet'!BR:BR,22),INDEX('Tracker Sheet'!BQ:BQ,22))</f>
        <v/>
      </c>
      <c r="L21" s="300" t="str">
        <f ca="1">IF(INDEX('Tracker Sheet'!BS:BS,22)="Completed ",INDEX('Tracker Sheet'!BR:BR,22)&amp;INDEX('Tracker Sheet'!BT:BT,22),INDEX('Tracker Sheet'!BS:BS,22))</f>
        <v/>
      </c>
      <c r="M21" s="300" t="str">
        <f ca="1">IF(INDEX('Tracker Sheet'!BU:BU,22)="Completed ",INDEX('Tracker Sheet'!BU:BU,22)&amp;INDEX('Tracker Sheet'!BV:BV,22),INDEX('Tracker Sheet'!BU:BU,22))</f>
        <v/>
      </c>
      <c r="N21" s="300" t="str">
        <f ca="1">IF(INDEX('Tracker Sheet'!BW:BW,22)="Completed ",INDEX('Tracker Sheet'!BW:BW,22)&amp;INDEX('Tracker Sheet'!BX:BX,22),INDEX('Tracker Sheet'!BW:BW,22))</f>
        <v/>
      </c>
      <c r="O21" s="300" t="str">
        <f ca="1">INDEX('Tracker Sheet'!BY:BY,22)</f>
        <v/>
      </c>
      <c r="Q21" s="147"/>
      <c r="R21" s="148"/>
      <c r="S21" s="145"/>
      <c r="V21" s="135"/>
    </row>
    <row r="22" spans="1:22" ht="56.25" customHeight="1" thickTop="1" thickBot="1" x14ac:dyDescent="0.25">
      <c r="A22" s="114" t="str">
        <f>IF(INDEX('Tracker Sheet'!E:E,23)="","",INDEX('Tracker Sheet'!E:E,23))</f>
        <v/>
      </c>
      <c r="B22" s="290" t="str">
        <f>IF(INDEX('Tracker Sheet'!C:C,23)="","",INDEX('Tracker Sheet'!C:C,23))</f>
        <v/>
      </c>
      <c r="C22" s="27" t="str">
        <f ca="1">INDEX('Tracker Sheet'!L:L,23)</f>
        <v/>
      </c>
      <c r="D22" s="3" t="str">
        <f>INDEX('Tracker Sheet'!W:W,23)</f>
        <v/>
      </c>
      <c r="E22" s="3" t="str">
        <f>INDEX('Tracker Sheet'!AH:AH,23)</f>
        <v/>
      </c>
      <c r="F22" s="3" t="str">
        <f>INDEX('Tracker Sheet'!AS:AS,23)</f>
        <v/>
      </c>
      <c r="G22" s="3" t="str">
        <f>INDEX('Tracker Sheet'!BD:BD,23)</f>
        <v/>
      </c>
      <c r="H22" s="3" t="str">
        <f>INDEX('Tracker Sheet'!BL:BL,23)</f>
        <v/>
      </c>
      <c r="I22" s="3" t="str">
        <f>INDEX('Tracker Sheet'!BO:BO,23)</f>
        <v/>
      </c>
      <c r="J22" s="301" t="str">
        <f>IF(INDEX('Tracker Sheet'!K:K,23)="","",INDEX('Tracker Sheet'!K:K,23))</f>
        <v/>
      </c>
      <c r="K22" s="300" t="str">
        <f ca="1">IF(INDEX('Tracker Sheet'!BQ:BQ,23)="Completed ",INDEX('Tracker Sheet'!BQ:BQ,23)&amp;INDEX('Tracker Sheet'!BR:BR,23),INDEX('Tracker Sheet'!BQ:BQ,23))</f>
        <v/>
      </c>
      <c r="L22" s="300" t="str">
        <f ca="1">IF(INDEX('Tracker Sheet'!BS:BS,23)="Completed ",INDEX('Tracker Sheet'!BR:BR,23)&amp;INDEX('Tracker Sheet'!BT:BT,23),INDEX('Tracker Sheet'!BS:BS,23))</f>
        <v/>
      </c>
      <c r="M22" s="300" t="str">
        <f ca="1">IF(INDEX('Tracker Sheet'!BU:BU,23)="Completed ",INDEX('Tracker Sheet'!BU:BU,23)&amp;INDEX('Tracker Sheet'!BV:BV,23),INDEX('Tracker Sheet'!BU:BU,23))</f>
        <v/>
      </c>
      <c r="N22" s="300" t="str">
        <f ca="1">IF(INDEX('Tracker Sheet'!BW:BW,23)="Completed ",INDEX('Tracker Sheet'!BW:BW,23)&amp;INDEX('Tracker Sheet'!BX:BX,23),INDEX('Tracker Sheet'!BW:BW,23))</f>
        <v/>
      </c>
      <c r="O22" s="300" t="str">
        <f ca="1">INDEX('Tracker Sheet'!BY:BY,23)</f>
        <v/>
      </c>
      <c r="Q22" s="147"/>
      <c r="R22" s="148"/>
      <c r="S22" s="145"/>
      <c r="V22" s="134"/>
    </row>
    <row r="23" spans="1:22" ht="56.25" customHeight="1" thickTop="1" thickBot="1" x14ac:dyDescent="0.25">
      <c r="A23" s="114" t="str">
        <f>IF(INDEX('Tracker Sheet'!E:E,24)="","",INDEX('Tracker Sheet'!E:E,24))</f>
        <v/>
      </c>
      <c r="B23" s="290" t="str">
        <f>IF(INDEX('Tracker Sheet'!C:C,24)="","",INDEX('Tracker Sheet'!C:C,24))</f>
        <v/>
      </c>
      <c r="C23" s="27" t="str">
        <f ca="1">INDEX('Tracker Sheet'!L:L,24)</f>
        <v/>
      </c>
      <c r="D23" s="3" t="str">
        <f>INDEX('Tracker Sheet'!W:W,24)</f>
        <v/>
      </c>
      <c r="E23" s="3" t="str">
        <f>INDEX('Tracker Sheet'!AH:AH,24)</f>
        <v/>
      </c>
      <c r="F23" s="3" t="str">
        <f>INDEX('Tracker Sheet'!AS:AS,24)</f>
        <v/>
      </c>
      <c r="G23" s="3" t="str">
        <f>INDEX('Tracker Sheet'!BD:BD,24)</f>
        <v/>
      </c>
      <c r="H23" s="3" t="str">
        <f>INDEX('Tracker Sheet'!BL:BL,24)</f>
        <v/>
      </c>
      <c r="I23" s="3" t="str">
        <f>INDEX('Tracker Sheet'!BO:BO,24)</f>
        <v/>
      </c>
      <c r="J23" s="301" t="str">
        <f>IF(INDEX('Tracker Sheet'!K:K,24)="","",INDEX('Tracker Sheet'!K:K,24))</f>
        <v/>
      </c>
      <c r="K23" s="300" t="str">
        <f ca="1">IF(INDEX('Tracker Sheet'!BQ:BQ,24)="Completed ",INDEX('Tracker Sheet'!BQ:BQ,24)&amp;INDEX('Tracker Sheet'!BR:BR,24),INDEX('Tracker Sheet'!BQ:BQ,24))</f>
        <v/>
      </c>
      <c r="L23" s="300" t="str">
        <f ca="1">IF(INDEX('Tracker Sheet'!BS:BS,24)="Completed ",INDEX('Tracker Sheet'!BR:BR,24)&amp;INDEX('Tracker Sheet'!BT:BT,24),INDEX('Tracker Sheet'!BS:BS,24))</f>
        <v/>
      </c>
      <c r="M23" s="300" t="str">
        <f ca="1">IF(INDEX('Tracker Sheet'!BU:BU,24)="Completed ",INDEX('Tracker Sheet'!BU:BU,24)&amp;INDEX('Tracker Sheet'!BV:BV,24),INDEX('Tracker Sheet'!BU:BU,24))</f>
        <v/>
      </c>
      <c r="N23" s="300" t="str">
        <f ca="1">IF(INDEX('Tracker Sheet'!BW:BW,24)="Completed ",INDEX('Tracker Sheet'!BW:BW,24)&amp;INDEX('Tracker Sheet'!BX:BX,24),INDEX('Tracker Sheet'!BW:BW,24))</f>
        <v/>
      </c>
      <c r="O23" s="300" t="str">
        <f ca="1">INDEX('Tracker Sheet'!BY:BY,24)</f>
        <v/>
      </c>
      <c r="Q23" s="147"/>
      <c r="R23" s="148"/>
      <c r="S23" s="145"/>
      <c r="V23" s="134"/>
    </row>
    <row r="24" spans="1:22" ht="56.25" customHeight="1" thickTop="1" thickBot="1" x14ac:dyDescent="0.25">
      <c r="A24" s="114" t="str">
        <f>IF(INDEX('Tracker Sheet'!E:E,25)="","",INDEX('Tracker Sheet'!E:E,25))</f>
        <v/>
      </c>
      <c r="B24" s="290" t="str">
        <f>IF(INDEX('Tracker Sheet'!C:C,25)="","",INDEX('Tracker Sheet'!C:C,25))</f>
        <v/>
      </c>
      <c r="C24" s="27" t="str">
        <f ca="1">INDEX('Tracker Sheet'!L:L,25)</f>
        <v/>
      </c>
      <c r="D24" s="3" t="str">
        <f>INDEX('[1]Tracker Sheet'!W:W,25)</f>
        <v/>
      </c>
      <c r="E24" s="3" t="str">
        <f>INDEX('[1]Tracker Sheet'!AH:AH,25)</f>
        <v/>
      </c>
      <c r="F24" s="3" t="str">
        <f>INDEX('[1]Tracker Sheet'!AS:AS,25)</f>
        <v/>
      </c>
      <c r="G24" s="3">
        <f>INDEX('[1]Tracker Sheet'!BE:BE,25)</f>
        <v>0</v>
      </c>
      <c r="H24" s="3">
        <f>INDEX('[1]Tracker Sheet'!BM:BM,25)</f>
        <v>0</v>
      </c>
      <c r="I24" s="3">
        <f>INDEX('[1]Tracker Sheet'!BP:BP,25)</f>
        <v>0</v>
      </c>
      <c r="J24" s="301" t="str">
        <f>IF(INDEX('Tracker Sheet'!K:K,25)="","",INDEX('Tracker Sheet'!K:K,25))</f>
        <v/>
      </c>
      <c r="K24" s="300" t="str">
        <f ca="1">IF(INDEX('Tracker Sheet'!BQ:BQ,25)="Completed ",INDEX('Tracker Sheet'!BQ:BQ,25)&amp;INDEX('Tracker Sheet'!BR:BR,25),INDEX('Tracker Sheet'!BQ:BQ,25))</f>
        <v/>
      </c>
      <c r="L24" s="300" t="str">
        <f ca="1">IF(INDEX('Tracker Sheet'!BS:BS,25)="Completed ",INDEX('Tracker Sheet'!BR:BR,25)&amp;INDEX('Tracker Sheet'!BT:BT,25),INDEX('Tracker Sheet'!BS:BS,25))</f>
        <v/>
      </c>
      <c r="M24" s="300" t="str">
        <f ca="1">IF(INDEX('Tracker Sheet'!BU:BU,25)="Completed ",INDEX('Tracker Sheet'!BU:BU,25)&amp;INDEX('Tracker Sheet'!BV:BV,25),INDEX('Tracker Sheet'!BU:BU,25))</f>
        <v/>
      </c>
      <c r="N24" s="300" t="str">
        <f ca="1">IF(INDEX('Tracker Sheet'!BW:BW,25)="Completed ",INDEX('Tracker Sheet'!BW:BW,25)&amp;INDEX('Tracker Sheet'!BX:BX,25),INDEX('Tracker Sheet'!BW:BW,25))</f>
        <v/>
      </c>
      <c r="O24" s="300" t="str">
        <f ca="1">INDEX('Tracker Sheet'!BY:BY,25)</f>
        <v/>
      </c>
      <c r="Q24" s="147"/>
      <c r="R24" s="148"/>
      <c r="S24" s="145"/>
      <c r="V24" s="136"/>
    </row>
    <row r="25" spans="1:22" ht="56.25" customHeight="1" thickTop="1" thickBot="1" x14ac:dyDescent="0.25">
      <c r="A25" s="114" t="str">
        <f>IF(INDEX('Tracker Sheet'!E:E,26)="","",INDEX('Tracker Sheet'!E:E,26))</f>
        <v/>
      </c>
      <c r="B25" s="290" t="str">
        <f>IF(INDEX('Tracker Sheet'!C:C,26)="","",INDEX('Tracker Sheet'!C:C,26))</f>
        <v/>
      </c>
      <c r="C25" s="27" t="str">
        <f ca="1">INDEX('Tracker Sheet'!L:L,26)</f>
        <v/>
      </c>
      <c r="D25" s="3" t="str">
        <f>INDEX('[1]Tracker Sheet'!W:W,26)</f>
        <v/>
      </c>
      <c r="E25" s="3" t="str">
        <f>INDEX('[1]Tracker Sheet'!AH:AH,26)</f>
        <v/>
      </c>
      <c r="F25" s="3" t="str">
        <f>INDEX('[1]Tracker Sheet'!AS:AS,26)</f>
        <v/>
      </c>
      <c r="G25" s="3">
        <f>INDEX('[1]Tracker Sheet'!BE:BE,26)</f>
        <v>0</v>
      </c>
      <c r="H25" s="3">
        <f>INDEX('[1]Tracker Sheet'!BM:BM,26)</f>
        <v>0</v>
      </c>
      <c r="I25" s="3">
        <f>INDEX('[1]Tracker Sheet'!BP:BP,26)</f>
        <v>0</v>
      </c>
      <c r="J25" s="301" t="str">
        <f>IF(INDEX('Tracker Sheet'!K:K,26)="","",INDEX('Tracker Sheet'!K:K,26))</f>
        <v/>
      </c>
      <c r="K25" s="300" t="str">
        <f ca="1">IF(INDEX('Tracker Sheet'!BQ:BQ,26)="Completed ",INDEX('Tracker Sheet'!BQ:BQ,26)&amp;INDEX('Tracker Sheet'!BR:BR,26),INDEX('Tracker Sheet'!BQ:BQ,26))</f>
        <v/>
      </c>
      <c r="L25" s="300" t="str">
        <f ca="1">IF(INDEX('Tracker Sheet'!BS:BS,26)="Completed ",INDEX('Tracker Sheet'!BR:BR,26)&amp;INDEX('Tracker Sheet'!BT:BT,26),INDEX('Tracker Sheet'!BS:BS,26))</f>
        <v/>
      </c>
      <c r="M25" s="300" t="str">
        <f ca="1">IF(INDEX('Tracker Sheet'!BU:BU,26)="Completed ",INDEX('Tracker Sheet'!BU:BU,26)&amp;INDEX('Tracker Sheet'!BV:BV,26),INDEX('Tracker Sheet'!BU:BU,26))</f>
        <v/>
      </c>
      <c r="N25" s="300" t="str">
        <f ca="1">IF(INDEX('Tracker Sheet'!BW:BW,26)="Completed ",INDEX('Tracker Sheet'!BW:BW,26)&amp;INDEX('Tracker Sheet'!BX:BX,26),INDEX('Tracker Sheet'!BW:BW,26))</f>
        <v/>
      </c>
      <c r="O25" s="300" t="str">
        <f ca="1">INDEX('Tracker Sheet'!BY:BY,26)</f>
        <v/>
      </c>
      <c r="Q25" s="147"/>
      <c r="R25" s="148"/>
      <c r="S25" s="145"/>
      <c r="V25" s="136"/>
    </row>
    <row r="26" spans="1:22" ht="56.25" customHeight="1" thickTop="1" thickBot="1" x14ac:dyDescent="0.25">
      <c r="A26" s="114" t="str">
        <f>IF(INDEX('Tracker Sheet'!E:E,27)="","",INDEX('Tracker Sheet'!E:E,27))</f>
        <v/>
      </c>
      <c r="B26" s="290" t="str">
        <f>IF(INDEX('Tracker Sheet'!C:C,27)="","",INDEX('Tracker Sheet'!C:C,27))</f>
        <v/>
      </c>
      <c r="C26" s="27" t="str">
        <f ca="1">INDEX('Tracker Sheet'!L:L,27)</f>
        <v/>
      </c>
      <c r="D26" s="3" t="str">
        <f>INDEX('[1]Tracker Sheet'!W:W,27)</f>
        <v/>
      </c>
      <c r="E26" s="3" t="str">
        <f>INDEX('[1]Tracker Sheet'!AH:AH,27)</f>
        <v/>
      </c>
      <c r="F26" s="3" t="str">
        <f>INDEX('[1]Tracker Sheet'!AS:AS,27)</f>
        <v/>
      </c>
      <c r="G26" s="3">
        <f>INDEX('[1]Tracker Sheet'!BE:BE,27)</f>
        <v>0</v>
      </c>
      <c r="H26" s="3">
        <f>INDEX('[1]Tracker Sheet'!BM:BM,27)</f>
        <v>0</v>
      </c>
      <c r="I26" s="3">
        <f>INDEX('[1]Tracker Sheet'!BP:BP,27)</f>
        <v>0</v>
      </c>
      <c r="J26" s="301" t="str">
        <f>IF(INDEX('Tracker Sheet'!K:K,27)="","",INDEX('Tracker Sheet'!K:K,27))</f>
        <v/>
      </c>
      <c r="K26" s="300" t="str">
        <f ca="1">IF(INDEX('Tracker Sheet'!BQ:BQ,27)="Completed ",INDEX('Tracker Sheet'!BQ:BQ,27)&amp;INDEX('Tracker Sheet'!BR:BR,27),INDEX('Tracker Sheet'!BQ:BQ,27))</f>
        <v/>
      </c>
      <c r="L26" s="300" t="str">
        <f ca="1">IF(INDEX('Tracker Sheet'!BS:BS,27)="Completed ",INDEX('Tracker Sheet'!BR:BR,27)&amp;INDEX('Tracker Sheet'!BT:BT,27),INDEX('Tracker Sheet'!BS:BS,27))</f>
        <v/>
      </c>
      <c r="M26" s="300" t="str">
        <f ca="1">IF(INDEX('Tracker Sheet'!BU:BU,27)="Completed ",INDEX('Tracker Sheet'!BU:BU,27)&amp;INDEX('Tracker Sheet'!BV:BV,27),INDEX('Tracker Sheet'!BU:BU,27))</f>
        <v/>
      </c>
      <c r="N26" s="300" t="str">
        <f ca="1">IF(INDEX('Tracker Sheet'!BW:BW,27)="Completed ",INDEX('Tracker Sheet'!BW:BW,27)&amp;INDEX('Tracker Sheet'!BX:BX,27),INDEX('Tracker Sheet'!BW:BW,27))</f>
        <v/>
      </c>
      <c r="O26" s="300" t="str">
        <f ca="1">INDEX('Tracker Sheet'!BY:BY,27)</f>
        <v/>
      </c>
      <c r="Q26" s="147"/>
      <c r="R26" s="148"/>
      <c r="S26" s="145"/>
      <c r="V26" s="136"/>
    </row>
    <row r="27" spans="1:22" ht="56.25" customHeight="1" thickTop="1" thickBot="1" x14ac:dyDescent="0.25">
      <c r="A27" s="114" t="str">
        <f>IF(INDEX('Tracker Sheet'!E:E,28)="","",INDEX('Tracker Sheet'!E:E,28))</f>
        <v/>
      </c>
      <c r="B27" s="290" t="str">
        <f>IF(INDEX('Tracker Sheet'!C:C,28)="","",INDEX('Tracker Sheet'!C:C,28))</f>
        <v/>
      </c>
      <c r="C27" s="27" t="str">
        <f ca="1">INDEX('Tracker Sheet'!L:L,28)</f>
        <v/>
      </c>
      <c r="D27" s="3" t="str">
        <f>INDEX('[1]Tracker Sheet'!W:W,28)</f>
        <v/>
      </c>
      <c r="E27" s="3" t="str">
        <f>INDEX('[1]Tracker Sheet'!AH:AH,28)</f>
        <v/>
      </c>
      <c r="F27" s="3" t="str">
        <f>INDEX('[1]Tracker Sheet'!AS:AS,28)</f>
        <v/>
      </c>
      <c r="G27" s="3">
        <f>INDEX('[1]Tracker Sheet'!BE:BE,28)</f>
        <v>0</v>
      </c>
      <c r="H27" s="3">
        <f>INDEX('[1]Tracker Sheet'!BM:BM,28)</f>
        <v>0</v>
      </c>
      <c r="I27" s="3">
        <f>INDEX('[1]Tracker Sheet'!BP:BP,28)</f>
        <v>0</v>
      </c>
      <c r="J27" s="301" t="str">
        <f>IF(INDEX('Tracker Sheet'!K:K,28)="","",INDEX('Tracker Sheet'!K:K,28))</f>
        <v/>
      </c>
      <c r="K27" s="300" t="str">
        <f ca="1">IF(INDEX('Tracker Sheet'!BQ:BQ,28)="Completed ",INDEX('Tracker Sheet'!BQ:BQ,28)&amp;INDEX('Tracker Sheet'!BR:BR,28),INDEX('Tracker Sheet'!BQ:BQ,28))</f>
        <v/>
      </c>
      <c r="L27" s="300" t="str">
        <f ca="1">IF(INDEX('Tracker Sheet'!BS:BS,28)="Completed ",INDEX('Tracker Sheet'!BR:BR,28)&amp;INDEX('Tracker Sheet'!BT:BT,28),INDEX('Tracker Sheet'!BS:BS,28))</f>
        <v/>
      </c>
      <c r="M27" s="300" t="str">
        <f ca="1">IF(INDEX('Tracker Sheet'!BU:BU,28)="Completed ",INDEX('Tracker Sheet'!BU:BU,28)&amp;INDEX('Tracker Sheet'!BV:BV,28),INDEX('Tracker Sheet'!BU:BU,28))</f>
        <v/>
      </c>
      <c r="N27" s="300" t="str">
        <f ca="1">IF(INDEX('Tracker Sheet'!BW:BW,28)="Completed ",INDEX('Tracker Sheet'!BW:BW,28)&amp;INDEX('Tracker Sheet'!BX:BX,28),INDEX('Tracker Sheet'!BW:BW,28))</f>
        <v/>
      </c>
      <c r="O27" s="300" t="str">
        <f ca="1">INDEX('Tracker Sheet'!BY:BY,28)</f>
        <v/>
      </c>
      <c r="Q27" s="147"/>
      <c r="R27" s="148"/>
      <c r="S27" s="145"/>
      <c r="V27" s="136"/>
    </row>
    <row r="28" spans="1:22" ht="56.25" customHeight="1" thickTop="1" thickBot="1" x14ac:dyDescent="0.25">
      <c r="A28" s="114" t="str">
        <f>IF(INDEX('Tracker Sheet'!E:E,29)="","",INDEX('Tracker Sheet'!E:E,29))</f>
        <v/>
      </c>
      <c r="B28" s="290" t="str">
        <f>IF(INDEX('Tracker Sheet'!C:C,29)="","",INDEX('Tracker Sheet'!C:C,29))</f>
        <v/>
      </c>
      <c r="C28" s="27" t="str">
        <f ca="1">INDEX('Tracker Sheet'!L:L,29)</f>
        <v/>
      </c>
      <c r="D28" s="3" t="str">
        <f>INDEX('[1]Tracker Sheet'!W:W,29)</f>
        <v/>
      </c>
      <c r="E28" s="3" t="str">
        <f>INDEX('[1]Tracker Sheet'!AH:AH,29)</f>
        <v/>
      </c>
      <c r="F28" s="3" t="str">
        <f>INDEX('[1]Tracker Sheet'!AS:AS,29)</f>
        <v/>
      </c>
      <c r="G28" s="3">
        <f>INDEX('[1]Tracker Sheet'!BE:BE,29)</f>
        <v>0</v>
      </c>
      <c r="H28" s="3">
        <f>INDEX('[1]Tracker Sheet'!BM:BM,29)</f>
        <v>0</v>
      </c>
      <c r="I28" s="3">
        <f>INDEX('[1]Tracker Sheet'!BP:BP,29)</f>
        <v>0</v>
      </c>
      <c r="J28" s="301" t="str">
        <f>IF(INDEX('Tracker Sheet'!K:K,29)="","",INDEX('Tracker Sheet'!K:K,29))</f>
        <v/>
      </c>
      <c r="K28" s="300" t="str">
        <f ca="1">IF(INDEX('Tracker Sheet'!BQ:BQ,29)="Completed ",INDEX('Tracker Sheet'!BQ:BQ,29)&amp;INDEX('Tracker Sheet'!BR:BR,29),INDEX('Tracker Sheet'!BQ:BQ,29))</f>
        <v/>
      </c>
      <c r="L28" s="300" t="str">
        <f ca="1">IF(INDEX('Tracker Sheet'!BS:BS,29)="Completed ",INDEX('Tracker Sheet'!BR:BR,29)&amp;INDEX('Tracker Sheet'!BT:BT,29),INDEX('Tracker Sheet'!BS:BS,29))</f>
        <v/>
      </c>
      <c r="M28" s="300" t="str">
        <f ca="1">IF(INDEX('Tracker Sheet'!BU:BU,29)="Completed ",INDEX('Tracker Sheet'!BU:BU,29)&amp;INDEX('Tracker Sheet'!BV:BV,29),INDEX('Tracker Sheet'!BU:BU,29))</f>
        <v/>
      </c>
      <c r="N28" s="300" t="str">
        <f ca="1">IF(INDEX('Tracker Sheet'!BW:BW,29)="Completed ",INDEX('Tracker Sheet'!BW:BW,29)&amp;INDEX('Tracker Sheet'!BX:BX,29),INDEX('Tracker Sheet'!BW:BW,29))</f>
        <v/>
      </c>
      <c r="O28" s="300" t="str">
        <f ca="1">INDEX('Tracker Sheet'!BY:BY,29)</f>
        <v/>
      </c>
      <c r="Q28" s="147"/>
      <c r="R28" s="148"/>
      <c r="S28" s="145"/>
      <c r="V28" s="136"/>
    </row>
    <row r="29" spans="1:22" ht="56.25" customHeight="1" thickTop="1" thickBot="1" x14ac:dyDescent="0.25">
      <c r="A29" s="114" t="str">
        <f>IF(INDEX('Tracker Sheet'!E:E,30)="","",INDEX('Tracker Sheet'!E:E,30))</f>
        <v/>
      </c>
      <c r="B29" s="290" t="str">
        <f>IF(INDEX('Tracker Sheet'!C:C,30)="","",INDEX('Tracker Sheet'!C:C,30))</f>
        <v/>
      </c>
      <c r="C29" s="27" t="str">
        <f ca="1">INDEX('Tracker Sheet'!L:L,30)</f>
        <v/>
      </c>
      <c r="D29" s="3" t="str">
        <f>INDEX('[1]Tracker Sheet'!W:W,30)</f>
        <v/>
      </c>
      <c r="E29" s="3" t="str">
        <f>INDEX('[1]Tracker Sheet'!AH:AH,30)</f>
        <v/>
      </c>
      <c r="F29" s="3" t="str">
        <f>INDEX('[1]Tracker Sheet'!AS:AS,30)</f>
        <v/>
      </c>
      <c r="G29" s="3">
        <f>INDEX('[1]Tracker Sheet'!BE:BE,30)</f>
        <v>0</v>
      </c>
      <c r="H29" s="3">
        <f>INDEX('[1]Tracker Sheet'!BM:BM,30)</f>
        <v>0</v>
      </c>
      <c r="I29" s="3">
        <f>INDEX('[1]Tracker Sheet'!BP:BP,30)</f>
        <v>0</v>
      </c>
      <c r="J29" s="301" t="str">
        <f>IF(INDEX('Tracker Sheet'!K:K,30)="","",INDEX('Tracker Sheet'!K:K,30))</f>
        <v/>
      </c>
      <c r="K29" s="300" t="str">
        <f ca="1">IF(INDEX('Tracker Sheet'!BQ:BQ,30)="Completed ",INDEX('Tracker Sheet'!BQ:BQ,30)&amp;INDEX('Tracker Sheet'!BR:BR,30),INDEX('Tracker Sheet'!BQ:BQ,30))</f>
        <v/>
      </c>
      <c r="L29" s="300" t="str">
        <f ca="1">IF(INDEX('Tracker Sheet'!BS:BS,30)="Completed ",INDEX('Tracker Sheet'!BR:BR,30)&amp;INDEX('Tracker Sheet'!BT:BT,30),INDEX('Tracker Sheet'!BS:BS,30))</f>
        <v/>
      </c>
      <c r="M29" s="300" t="str">
        <f ca="1">IF(INDEX('Tracker Sheet'!BU:BU,30)="Completed ",INDEX('Tracker Sheet'!BU:BU,30)&amp;INDEX('Tracker Sheet'!BV:BV,30),INDEX('Tracker Sheet'!BU:BU,30))</f>
        <v/>
      </c>
      <c r="N29" s="300" t="str">
        <f ca="1">IF(INDEX('Tracker Sheet'!BW:BW,30)="Completed ",INDEX('Tracker Sheet'!BW:BW,30)&amp;INDEX('Tracker Sheet'!BX:BX,30),INDEX('Tracker Sheet'!BW:BW,30))</f>
        <v/>
      </c>
      <c r="O29" s="300" t="str">
        <f ca="1">INDEX('Tracker Sheet'!BY:BY,30)</f>
        <v/>
      </c>
      <c r="Q29" s="147"/>
      <c r="R29" s="148"/>
      <c r="S29" s="145"/>
      <c r="V29" s="136"/>
    </row>
    <row r="30" spans="1:22" ht="56.25" customHeight="1" thickTop="1" thickBot="1" x14ac:dyDescent="0.25">
      <c r="A30" s="114" t="str">
        <f>IF(INDEX('Tracker Sheet'!E:E,31)="","",INDEX('Tracker Sheet'!E:E,31))</f>
        <v/>
      </c>
      <c r="B30" s="290" t="str">
        <f>IF(INDEX('Tracker Sheet'!C:C,31)="","",INDEX('Tracker Sheet'!C:C,31))</f>
        <v/>
      </c>
      <c r="C30" s="27" t="str">
        <f ca="1">INDEX('Tracker Sheet'!L:L,31)</f>
        <v/>
      </c>
      <c r="D30" s="3" t="str">
        <f>INDEX('[1]Tracker Sheet'!W:W,31)</f>
        <v/>
      </c>
      <c r="E30" s="3" t="str">
        <f>INDEX('[1]Tracker Sheet'!AH:AH,31)</f>
        <v/>
      </c>
      <c r="F30" s="3" t="str">
        <f>INDEX('[1]Tracker Sheet'!AS:AS,31)</f>
        <v/>
      </c>
      <c r="G30" s="3">
        <f>INDEX('[1]Tracker Sheet'!BE:BE,31)</f>
        <v>0</v>
      </c>
      <c r="H30" s="3">
        <f>INDEX('[1]Tracker Sheet'!BM:BM,31)</f>
        <v>0</v>
      </c>
      <c r="I30" s="3">
        <f>INDEX('[1]Tracker Sheet'!BP:BP,31)</f>
        <v>0</v>
      </c>
      <c r="J30" s="301" t="str">
        <f>IF(INDEX('Tracker Sheet'!K:K,31)="","",INDEX('Tracker Sheet'!K:K,31))</f>
        <v/>
      </c>
      <c r="K30" s="300" t="str">
        <f ca="1">IF(INDEX('Tracker Sheet'!BQ:BQ,31)="Completed ",INDEX('Tracker Sheet'!BQ:BQ,31)&amp;INDEX('Tracker Sheet'!BR:BR,31),INDEX('Tracker Sheet'!BQ:BQ,31))</f>
        <v/>
      </c>
      <c r="L30" s="300" t="str">
        <f ca="1">IF(INDEX('Tracker Sheet'!BS:BS,31)="Completed ",INDEX('Tracker Sheet'!BR:BR,31)&amp;INDEX('Tracker Sheet'!BT:BT,31),INDEX('Tracker Sheet'!BS:BS,31))</f>
        <v/>
      </c>
      <c r="M30" s="300" t="str">
        <f ca="1">IF(INDEX('Tracker Sheet'!BU:BU,31)="Completed ",INDEX('Tracker Sheet'!BU:BU,31)&amp;INDEX('Tracker Sheet'!BV:BV,31),INDEX('Tracker Sheet'!BU:BU,31))</f>
        <v/>
      </c>
      <c r="N30" s="300" t="str">
        <f ca="1">IF(INDEX('Tracker Sheet'!BW:BW,31)="Completed ",INDEX('Tracker Sheet'!BW:BW,31)&amp;INDEX('Tracker Sheet'!BX:BX,31),INDEX('Tracker Sheet'!BW:BW,31))</f>
        <v/>
      </c>
      <c r="O30" s="300" t="str">
        <f ca="1">INDEX('Tracker Sheet'!BY:BY,31)</f>
        <v/>
      </c>
      <c r="Q30" s="147"/>
      <c r="R30" s="148"/>
      <c r="S30" s="145"/>
      <c r="V30" s="136"/>
    </row>
    <row r="31" spans="1:22" ht="56.25" customHeight="1" thickTop="1" thickBot="1" x14ac:dyDescent="0.25">
      <c r="A31" s="114" t="str">
        <f>IF(INDEX('Tracker Sheet'!E:E,32)="","",INDEX('Tracker Sheet'!E:E,32))</f>
        <v/>
      </c>
      <c r="B31" s="290" t="str">
        <f>IF(INDEX('Tracker Sheet'!C:C,32)="","",INDEX('Tracker Sheet'!C:C,32))</f>
        <v/>
      </c>
      <c r="C31" s="27" t="str">
        <f ca="1">INDEX('Tracker Sheet'!L:L,32)</f>
        <v/>
      </c>
      <c r="D31" s="3" t="str">
        <f>INDEX('[1]Tracker Sheet'!W:W,32)</f>
        <v/>
      </c>
      <c r="E31" s="3" t="str">
        <f>INDEX('[1]Tracker Sheet'!AH:AH,32)</f>
        <v/>
      </c>
      <c r="F31" s="3" t="str">
        <f>INDEX('[1]Tracker Sheet'!AS:AS,32)</f>
        <v/>
      </c>
      <c r="G31" s="3">
        <f>INDEX('[1]Tracker Sheet'!BE:BE,32)</f>
        <v>0</v>
      </c>
      <c r="H31" s="3">
        <f>INDEX('[1]Tracker Sheet'!BM:BM,32)</f>
        <v>0</v>
      </c>
      <c r="I31" s="3">
        <f>INDEX('[1]Tracker Sheet'!BP:BP,32)</f>
        <v>0</v>
      </c>
      <c r="J31" s="301" t="str">
        <f>IF(INDEX('Tracker Sheet'!K:K,32)="","",INDEX('Tracker Sheet'!K:K,32))</f>
        <v/>
      </c>
      <c r="K31" s="300" t="str">
        <f ca="1">IF(INDEX('Tracker Sheet'!BQ:BQ,32)="Completed ",INDEX('Tracker Sheet'!BQ:BQ,32)&amp;INDEX('Tracker Sheet'!BR:BR,32),INDEX('Tracker Sheet'!BQ:BQ,32))</f>
        <v/>
      </c>
      <c r="L31" s="300" t="str">
        <f ca="1">IF(INDEX('Tracker Sheet'!BS:BS,32)="Completed ",INDEX('Tracker Sheet'!BR:BR,32)&amp;INDEX('Tracker Sheet'!BT:BT,32),INDEX('Tracker Sheet'!BS:BS,32))</f>
        <v/>
      </c>
      <c r="M31" s="300" t="str">
        <f ca="1">IF(INDEX('Tracker Sheet'!BU:BU,32)="Completed ",INDEX('Tracker Sheet'!BU:BU,32)&amp;INDEX('Tracker Sheet'!BV:BV,32),INDEX('Tracker Sheet'!BU:BU,32))</f>
        <v/>
      </c>
      <c r="N31" s="300" t="str">
        <f ca="1">IF(INDEX('Tracker Sheet'!BW:BW,32)="Completed ",INDEX('Tracker Sheet'!BW:BW,32)&amp;INDEX('Tracker Sheet'!BX:BX,32),INDEX('Tracker Sheet'!BW:BW,32))</f>
        <v/>
      </c>
      <c r="O31" s="300" t="str">
        <f ca="1">INDEX('Tracker Sheet'!BY:BY,32)</f>
        <v/>
      </c>
      <c r="Q31" s="147"/>
      <c r="R31" s="148"/>
      <c r="S31" s="145"/>
      <c r="V31" s="136"/>
    </row>
    <row r="32" spans="1:22" ht="56.25" customHeight="1" thickTop="1" thickBot="1" x14ac:dyDescent="0.25">
      <c r="A32" s="114" t="str">
        <f>IF(INDEX('Tracker Sheet'!E:E,33)="","",INDEX('Tracker Sheet'!E:E,33))</f>
        <v/>
      </c>
      <c r="B32" s="290" t="str">
        <f>IF(INDEX('Tracker Sheet'!C:C,33)="","",INDEX('Tracker Sheet'!C:C,33))</f>
        <v/>
      </c>
      <c r="C32" s="27" t="str">
        <f ca="1">INDEX('Tracker Sheet'!L:L,33)</f>
        <v/>
      </c>
      <c r="D32" s="3" t="str">
        <f>INDEX('[1]Tracker Sheet'!W:W,33)</f>
        <v/>
      </c>
      <c r="E32" s="3" t="str">
        <f>INDEX('[1]Tracker Sheet'!AH:AH,33)</f>
        <v/>
      </c>
      <c r="F32" s="3" t="str">
        <f>INDEX('[1]Tracker Sheet'!AS:AS,33)</f>
        <v/>
      </c>
      <c r="G32" s="3">
        <f>INDEX('[1]Tracker Sheet'!BE:BE,33)</f>
        <v>0</v>
      </c>
      <c r="H32" s="3">
        <f>INDEX('[1]Tracker Sheet'!BM:BM,33)</f>
        <v>0</v>
      </c>
      <c r="I32" s="3">
        <f>INDEX('[1]Tracker Sheet'!BP:BP,33)</f>
        <v>0</v>
      </c>
      <c r="J32" s="301" t="str">
        <f>IF(INDEX('Tracker Sheet'!K:K,33)="","",INDEX('Tracker Sheet'!K:K,33))</f>
        <v/>
      </c>
      <c r="K32" s="300" t="str">
        <f ca="1">IF(INDEX('Tracker Sheet'!BQ:BQ,33)="Completed ",INDEX('Tracker Sheet'!BQ:BQ,33)&amp;INDEX('Tracker Sheet'!BR:BR,33),INDEX('Tracker Sheet'!BQ:BQ,33))</f>
        <v/>
      </c>
      <c r="L32" s="300" t="str">
        <f ca="1">IF(INDEX('Tracker Sheet'!BS:BS,33)="Completed ",INDEX('Tracker Sheet'!BR:BR,33)&amp;INDEX('Tracker Sheet'!BT:BT,33),INDEX('Tracker Sheet'!BS:BS,33))</f>
        <v/>
      </c>
      <c r="M32" s="300" t="str">
        <f ca="1">IF(INDEX('Tracker Sheet'!BU:BU,33)="Completed ",INDEX('Tracker Sheet'!BU:BU,33)&amp;INDEX('Tracker Sheet'!BV:BV,33),INDEX('Tracker Sheet'!BU:BU,33))</f>
        <v/>
      </c>
      <c r="N32" s="300" t="str">
        <f ca="1">IF(INDEX('Tracker Sheet'!BW:BW,33)="Completed ",INDEX('Tracker Sheet'!BW:BW,33)&amp;INDEX('Tracker Sheet'!BX:BX,33),INDEX('Tracker Sheet'!BW:BW,33))</f>
        <v/>
      </c>
      <c r="O32" s="300" t="str">
        <f ca="1">INDEX('Tracker Sheet'!BY:BY,33)</f>
        <v/>
      </c>
      <c r="Q32" s="147"/>
      <c r="R32" s="148"/>
      <c r="S32" s="145"/>
      <c r="V32" s="136"/>
    </row>
    <row r="33" spans="1:22" ht="56.25" customHeight="1" thickTop="1" thickBot="1" x14ac:dyDescent="0.25">
      <c r="A33" s="114" t="str">
        <f>IF(INDEX('Tracker Sheet'!E:E,34)="","",INDEX('Tracker Sheet'!E:E,34))</f>
        <v/>
      </c>
      <c r="B33" s="290" t="str">
        <f>IF(INDEX('Tracker Sheet'!C:C,34)="","",INDEX('Tracker Sheet'!C:C,34))</f>
        <v/>
      </c>
      <c r="C33" s="27" t="str">
        <f ca="1">INDEX('Tracker Sheet'!L:L,34)</f>
        <v/>
      </c>
      <c r="D33" s="3" t="str">
        <f>INDEX('[1]Tracker Sheet'!W:W,34)</f>
        <v/>
      </c>
      <c r="E33" s="3" t="str">
        <f>INDEX('[1]Tracker Sheet'!AH:AH,34)</f>
        <v/>
      </c>
      <c r="F33" s="3" t="str">
        <f>INDEX('[1]Tracker Sheet'!AS:AS,34)</f>
        <v/>
      </c>
      <c r="G33" s="3">
        <f>INDEX('[1]Tracker Sheet'!BE:BE,34)</f>
        <v>0</v>
      </c>
      <c r="H33" s="3">
        <f>INDEX('[1]Tracker Sheet'!BM:BM,34)</f>
        <v>0</v>
      </c>
      <c r="I33" s="3">
        <f>INDEX('[1]Tracker Sheet'!BP:BP,34)</f>
        <v>0</v>
      </c>
      <c r="J33" s="301" t="str">
        <f>IF(INDEX('Tracker Sheet'!K:K,34)="","",INDEX('Tracker Sheet'!K:K,34))</f>
        <v/>
      </c>
      <c r="K33" s="300" t="str">
        <f ca="1">IF(INDEX('Tracker Sheet'!BQ:BQ,34)="Completed ",INDEX('Tracker Sheet'!BQ:BQ,34)&amp;INDEX('Tracker Sheet'!BR:BR,34),INDEX('Tracker Sheet'!BQ:BQ,34))</f>
        <v/>
      </c>
      <c r="L33" s="300" t="str">
        <f ca="1">IF(INDEX('Tracker Sheet'!BS:BS,34)="Completed ",INDEX('Tracker Sheet'!BR:BR,34)&amp;INDEX('Tracker Sheet'!BT:BT,34),INDEX('Tracker Sheet'!BS:BS,34))</f>
        <v/>
      </c>
      <c r="M33" s="300" t="str">
        <f ca="1">IF(INDEX('Tracker Sheet'!BU:BU,34)="Completed ",INDEX('Tracker Sheet'!BU:BU,34)&amp;INDEX('Tracker Sheet'!BV:BV,34),INDEX('Tracker Sheet'!BU:BU,34))</f>
        <v/>
      </c>
      <c r="N33" s="300" t="str">
        <f ca="1">IF(INDEX('Tracker Sheet'!BW:BW,34)="Completed ",INDEX('Tracker Sheet'!BW:BW,34)&amp;INDEX('Tracker Sheet'!BX:BX,34),INDEX('Tracker Sheet'!BW:BW,34))</f>
        <v/>
      </c>
      <c r="O33" s="300" t="str">
        <f ca="1">INDEX('Tracker Sheet'!BY:BY,34)</f>
        <v/>
      </c>
      <c r="Q33" s="147"/>
      <c r="R33" s="148"/>
      <c r="S33" s="145"/>
      <c r="V33" s="136"/>
    </row>
    <row r="34" spans="1:22" ht="56.25" customHeight="1" thickTop="1" thickBot="1" x14ac:dyDescent="0.25">
      <c r="A34" s="114"/>
      <c r="B34" s="290"/>
      <c r="C34" s="27" t="str">
        <f ca="1">INDEX('Tracker Sheet'!L:L,35)</f>
        <v/>
      </c>
      <c r="D34" s="3" t="str">
        <f>INDEX('[1]Tracker Sheet'!W:W,35)</f>
        <v/>
      </c>
      <c r="E34" s="3" t="str">
        <f>INDEX('[1]Tracker Sheet'!AH:AH,35)</f>
        <v/>
      </c>
      <c r="F34" s="3" t="str">
        <f>INDEX('[1]Tracker Sheet'!AS:AS,35)</f>
        <v/>
      </c>
      <c r="G34" s="3">
        <f>INDEX('[1]Tracker Sheet'!BE:BE,35)</f>
        <v>0</v>
      </c>
      <c r="H34" s="3">
        <f>INDEX('[1]Tracker Sheet'!BM:BM,35)</f>
        <v>0</v>
      </c>
      <c r="I34" s="3">
        <f>INDEX('[1]Tracker Sheet'!BP:BP,35)</f>
        <v>0</v>
      </c>
      <c r="J34" s="301"/>
      <c r="K34" s="300"/>
      <c r="L34" s="300"/>
      <c r="M34" s="300"/>
      <c r="N34" s="300"/>
      <c r="O34" s="300"/>
      <c r="Q34" s="23"/>
      <c r="R34" s="148"/>
      <c r="S34" s="145"/>
      <c r="V34" s="136"/>
    </row>
    <row r="35" spans="1:22" ht="56.25" customHeight="1" thickTop="1" thickBot="1" x14ac:dyDescent="0.25">
      <c r="A35" s="114"/>
      <c r="B35" s="290"/>
      <c r="C35" s="27" t="str">
        <f ca="1">INDEX('Tracker Sheet'!L:L,36)</f>
        <v/>
      </c>
      <c r="D35" s="3" t="str">
        <f>INDEX('[1]Tracker Sheet'!W:W,36)</f>
        <v/>
      </c>
      <c r="E35" s="3" t="str">
        <f>INDEX('[1]Tracker Sheet'!AH:AH,36)</f>
        <v/>
      </c>
      <c r="F35" s="3" t="str">
        <f>INDEX('[1]Tracker Sheet'!AS:AS,36)</f>
        <v/>
      </c>
      <c r="G35" s="3">
        <f>INDEX('[1]Tracker Sheet'!BE:BE,36)</f>
        <v>0</v>
      </c>
      <c r="H35" s="3">
        <f>INDEX('[1]Tracker Sheet'!BM:BM,36)</f>
        <v>0</v>
      </c>
      <c r="I35" s="3">
        <f>INDEX('[1]Tracker Sheet'!BP:BP,36)</f>
        <v>0</v>
      </c>
      <c r="J35" s="301"/>
      <c r="K35" s="300"/>
      <c r="L35" s="300"/>
      <c r="M35" s="300"/>
      <c r="N35" s="300"/>
      <c r="O35" s="300"/>
      <c r="P35" s="152"/>
      <c r="Q35" s="146"/>
      <c r="R35" s="148"/>
      <c r="S35" s="145"/>
      <c r="V35" s="136"/>
    </row>
    <row r="36" spans="1:22" ht="45" customHeight="1" thickTop="1" thickBot="1" x14ac:dyDescent="0.25">
      <c r="A36" s="114"/>
      <c r="B36" s="290"/>
      <c r="J36" s="301"/>
      <c r="K36" s="300"/>
      <c r="L36" s="300"/>
      <c r="M36" s="300"/>
      <c r="N36" s="300"/>
      <c r="O36" s="300"/>
    </row>
    <row r="37" spans="1:22" ht="45" customHeight="1" thickTop="1" thickBot="1" x14ac:dyDescent="0.25">
      <c r="A37" s="114"/>
      <c r="B37" s="290"/>
      <c r="J37" s="301"/>
      <c r="K37" s="300"/>
      <c r="L37" s="300"/>
      <c r="M37" s="300"/>
      <c r="N37" s="300"/>
      <c r="O37" s="300"/>
    </row>
    <row r="38" spans="1:22" ht="45" customHeight="1" thickTop="1" thickBot="1" x14ac:dyDescent="0.25">
      <c r="A38" s="114"/>
      <c r="B38" s="290"/>
      <c r="J38" s="301"/>
      <c r="K38" s="300"/>
      <c r="L38" s="300"/>
      <c r="M38" s="300"/>
      <c r="N38" s="300"/>
      <c r="O38" s="300"/>
    </row>
  </sheetData>
  <sheetProtection autoFilter="0"/>
  <autoFilter ref="A3:U35">
    <filterColumn colId="15" hiddenButton="1"/>
    <filterColumn colId="17" hiddenButton="1"/>
    <filterColumn colId="19" hiddenButton="1"/>
  </autoFilter>
  <mergeCells count="1">
    <mergeCell ref="V1:W1"/>
  </mergeCells>
  <conditionalFormatting sqref="J4:O35">
    <cfRule type="expression" dxfId="326" priority="5">
      <formula>C4="A"</formula>
    </cfRule>
    <cfRule type="expression" dxfId="325" priority="6">
      <formula>C4="R"</formula>
    </cfRule>
    <cfRule type="expression" dxfId="324" priority="7">
      <formula>C4="G"</formula>
    </cfRule>
  </conditionalFormatting>
  <conditionalFormatting sqref="Q4:Q35">
    <cfRule type="expression" dxfId="323" priority="2">
      <formula>$I4="A"</formula>
    </cfRule>
    <cfRule type="expression" dxfId="322" priority="3">
      <formula>$I4="G"</formula>
    </cfRule>
    <cfRule type="expression" dxfId="321" priority="4">
      <formula>$I4="R"</formula>
    </cfRule>
  </conditionalFormatting>
  <conditionalFormatting sqref="S4:S35">
    <cfRule type="expression" dxfId="320" priority="1">
      <formula>$S4=YES</formula>
    </cfRule>
  </conditionalFormatting>
  <pageMargins left="0.23622047244094491" right="0.23622047244094491" top="0.74803149606299213" bottom="0.74803149606299213" header="0.31496062992125984" footer="0.31496062992125984"/>
  <pageSetup paperSize="9" scale="7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Protect">
                <anchor moveWithCells="1" sizeWithCells="1">
                  <from>
                    <xdr:col>13</xdr:col>
                    <xdr:colOff>390525</xdr:colOff>
                    <xdr:row>0</xdr:row>
                    <xdr:rowOff>38100</xdr:rowOff>
                  </from>
                  <to>
                    <xdr:col>14</xdr:col>
                    <xdr:colOff>361950</xdr:colOff>
                    <xdr:row>0</xdr:row>
                    <xdr:rowOff>276225</xdr:rowOff>
                  </to>
                </anchor>
              </controlPr>
            </control>
          </mc:Choice>
        </mc:AlternateContent>
        <mc:AlternateContent xmlns:mc="http://schemas.openxmlformats.org/markup-compatibility/2006">
          <mc:Choice Requires="x14">
            <control shapeId="1026" r:id="rId5" name="Button 2">
              <controlPr defaultSize="0" print="0" autoFill="0" autoPict="0" macro="[0]!UnProtect">
                <anchor moveWithCells="1" sizeWithCells="1">
                  <from>
                    <xdr:col>13</xdr:col>
                    <xdr:colOff>390525</xdr:colOff>
                    <xdr:row>0</xdr:row>
                    <xdr:rowOff>285750</xdr:rowOff>
                  </from>
                  <to>
                    <xdr:col>14</xdr:col>
                    <xdr:colOff>361950</xdr:colOff>
                    <xdr:row>1</xdr:row>
                    <xdr:rowOff>76200</xdr:rowOff>
                  </to>
                </anchor>
              </controlPr>
            </control>
          </mc:Choice>
        </mc:AlternateContent>
        <mc:AlternateContent xmlns:mc="http://schemas.openxmlformats.org/markup-compatibility/2006">
          <mc:Choice Requires="x14">
            <control shapeId="1028" r:id="rId6" name="Button 4">
              <controlPr defaultSize="0" print="0" autoFill="0" autoPict="0" macro="[0]!UserForm1Button_Click">
                <anchor moveWithCells="1" sizeWithCells="1">
                  <from>
                    <xdr:col>14</xdr:col>
                    <xdr:colOff>381000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1029" r:id="rId7" name="Button 5">
              <controlPr defaultSize="0" print="0" autoFill="0" autoPict="0" macro="[0]!UserForm2Button_Click">
                <anchor moveWithCells="1" sizeWithCells="1">
                  <from>
                    <xdr:col>14</xdr:col>
                    <xdr:colOff>381000</xdr:colOff>
                    <xdr:row>0</xdr:row>
                    <xdr:rowOff>285750</xdr:rowOff>
                  </from>
                  <to>
                    <xdr:col>16</xdr:col>
                    <xdr:colOff>209550</xdr:colOff>
                    <xdr:row>1</xdr:row>
                    <xdr:rowOff>76200</xdr:rowOff>
                  </to>
                </anchor>
              </controlPr>
            </control>
          </mc:Choice>
        </mc:AlternateContent>
        <mc:AlternateContent xmlns:mc="http://schemas.openxmlformats.org/markup-compatibility/2006">
          <mc:Choice Requires="x14">
            <control shapeId="1030" r:id="rId8" name="Button 6">
              <controlPr defaultSize="0" print="0" autoFill="0" autoPict="0" macro="[0]!UserForm3Button_Click">
                <anchor moveWithCells="1" sizeWithCells="1">
                  <from>
                    <xdr:col>14</xdr:col>
                    <xdr:colOff>381000</xdr:colOff>
                    <xdr:row>1</xdr:row>
                    <xdr:rowOff>95250</xdr:rowOff>
                  </from>
                  <to>
                    <xdr:col>16</xdr:col>
                    <xdr:colOff>219075</xdr:colOff>
                    <xdr:row>1</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CA44"/>
  <sheetViews>
    <sheetView zoomScaleNormal="100" workbookViewId="0">
      <pane xSplit="7" ySplit="2" topLeftCell="BO6" activePane="bottomRight" state="frozen"/>
      <selection pane="topRight" activeCell="G1" sqref="G1"/>
      <selection pane="bottomLeft" activeCell="A3" sqref="A3"/>
      <selection pane="bottomRight" activeCell="A9" sqref="A9"/>
    </sheetView>
  </sheetViews>
  <sheetFormatPr defaultRowHeight="15" outlineLevelCol="1" x14ac:dyDescent="0.2"/>
  <cols>
    <col min="1" max="1" width="11.6640625" style="26" customWidth="1"/>
    <col min="2" max="2" width="8.109375" style="26" customWidth="1"/>
    <col min="3" max="3" width="9.6640625" style="26" customWidth="1"/>
    <col min="4" max="4" width="10" style="26" customWidth="1"/>
    <col min="5" max="5" width="8.88671875" style="26"/>
    <col min="6" max="6" width="11.109375" style="26" bestFit="1" customWidth="1"/>
    <col min="7" max="7" width="10" style="26" bestFit="1" customWidth="1"/>
    <col min="8" max="10" width="10" style="26" customWidth="1"/>
    <col min="11" max="11" width="10" style="26" hidden="1" customWidth="1" outlineLevel="1"/>
    <col min="12" max="12" width="7.21875" style="26" hidden="1" customWidth="1" outlineLevel="1"/>
    <col min="13" max="13" width="7.77734375" style="26" customWidth="1" collapsed="1"/>
    <col min="14" max="17" width="7.77734375" style="26" customWidth="1"/>
    <col min="18" max="18" width="10.33203125" style="26" bestFit="1" customWidth="1"/>
    <col min="19" max="19" width="7.77734375" style="26" customWidth="1"/>
    <col min="20" max="22" width="8.88671875" style="26" hidden="1" customWidth="1" outlineLevel="1"/>
    <col min="23" max="23" width="5.77734375" style="26" customWidth="1" collapsed="1"/>
    <col min="24" max="30" width="7.77734375" style="26" customWidth="1"/>
    <col min="31" max="33" width="8.88671875" style="26" hidden="1" customWidth="1" outlineLevel="1"/>
    <col min="34" max="34" width="5.77734375" style="26" customWidth="1" collapsed="1"/>
    <col min="35" max="41" width="7.77734375" style="26" customWidth="1"/>
    <col min="42" max="44" width="8.88671875" style="26" hidden="1" customWidth="1" outlineLevel="1"/>
    <col min="45" max="45" width="5.77734375" style="26" customWidth="1" collapsed="1"/>
    <col min="46" max="50" width="7.77734375" style="26" customWidth="1"/>
    <col min="51" max="51" width="9.77734375" style="26" bestFit="1" customWidth="1"/>
    <col min="52" max="52" width="7.77734375" style="26" customWidth="1"/>
    <col min="53" max="55" width="8.88671875" style="26" hidden="1" customWidth="1" outlineLevel="1"/>
    <col min="56" max="56" width="5.77734375" style="26" customWidth="1" collapsed="1"/>
    <col min="57" max="57" width="8.33203125" style="340" customWidth="1"/>
    <col min="58" max="58" width="9.77734375" style="341" bestFit="1" customWidth="1"/>
    <col min="59" max="59" width="8.33203125" style="342" customWidth="1"/>
    <col min="60" max="60" width="10.44140625" style="26" customWidth="1" outlineLevel="1"/>
    <col min="61" max="61" width="10.33203125" style="26" customWidth="1" outlineLevel="1"/>
    <col min="62" max="63" width="8.88671875" style="26" customWidth="1" outlineLevel="1"/>
    <col min="64" max="64" width="5.77734375" style="26" customWidth="1"/>
    <col min="65" max="65" width="28.77734375" style="26" customWidth="1"/>
    <col min="66" max="66" width="51.6640625" style="120" customWidth="1"/>
    <col min="67" max="67" width="17" style="26" customWidth="1"/>
    <col min="68" max="68" width="17.44140625" style="26" customWidth="1"/>
    <col min="69" max="77" width="8.88671875" style="26" hidden="1" customWidth="1" outlineLevel="1"/>
    <col min="78" max="78" width="9.88671875" style="26" hidden="1" customWidth="1" outlineLevel="1"/>
    <col min="79" max="79" width="8.88671875" style="26" collapsed="1"/>
    <col min="80" max="16384" width="8.88671875" style="26"/>
  </cols>
  <sheetData>
    <row r="1" spans="1:78" ht="15" customHeight="1" x14ac:dyDescent="0.2">
      <c r="A1" s="413" t="s">
        <v>11</v>
      </c>
      <c r="B1" s="414"/>
      <c r="C1" s="414"/>
      <c r="D1" s="414"/>
      <c r="E1" s="414"/>
      <c r="F1" s="414"/>
      <c r="G1" s="414"/>
      <c r="H1" s="429" t="s">
        <v>339</v>
      </c>
      <c r="I1" s="430"/>
      <c r="J1" s="431"/>
      <c r="K1" s="160" t="s">
        <v>513</v>
      </c>
      <c r="L1" s="161"/>
      <c r="M1" s="424" t="s">
        <v>6</v>
      </c>
      <c r="N1" s="424"/>
      <c r="O1" s="424"/>
      <c r="P1" s="424"/>
      <c r="Q1" s="424"/>
      <c r="R1" s="424"/>
      <c r="S1" s="424"/>
      <c r="T1" s="424"/>
      <c r="U1" s="424"/>
      <c r="V1" s="424"/>
      <c r="W1" s="425"/>
      <c r="X1" s="426" t="s">
        <v>185</v>
      </c>
      <c r="Y1" s="427"/>
      <c r="Z1" s="427"/>
      <c r="AA1" s="427"/>
      <c r="AB1" s="427"/>
      <c r="AC1" s="427"/>
      <c r="AD1" s="427"/>
      <c r="AE1" s="427"/>
      <c r="AF1" s="427"/>
      <c r="AG1" s="427"/>
      <c r="AH1" s="428"/>
      <c r="AI1" s="421" t="s">
        <v>184</v>
      </c>
      <c r="AJ1" s="422"/>
      <c r="AK1" s="422"/>
      <c r="AL1" s="422"/>
      <c r="AM1" s="422"/>
      <c r="AN1" s="422"/>
      <c r="AO1" s="422"/>
      <c r="AP1" s="422"/>
      <c r="AQ1" s="422"/>
      <c r="AR1" s="422"/>
      <c r="AS1" s="423"/>
      <c r="AT1" s="415" t="s">
        <v>5</v>
      </c>
      <c r="AU1" s="416"/>
      <c r="AV1" s="416"/>
      <c r="AW1" s="416"/>
      <c r="AX1" s="416"/>
      <c r="AY1" s="416"/>
      <c r="AZ1" s="416"/>
      <c r="BA1" s="416"/>
      <c r="BB1" s="416"/>
      <c r="BC1" s="416"/>
      <c r="BD1" s="417"/>
      <c r="BE1" s="418" t="s">
        <v>7</v>
      </c>
      <c r="BF1" s="418"/>
      <c r="BG1" s="418"/>
      <c r="BH1" s="418"/>
      <c r="BI1" s="418"/>
      <c r="BJ1" s="418"/>
      <c r="BK1" s="418"/>
      <c r="BL1" s="418"/>
      <c r="BM1" s="419" t="s">
        <v>14</v>
      </c>
      <c r="BN1" s="420"/>
      <c r="BO1" s="412" t="s">
        <v>114</v>
      </c>
      <c r="BP1" s="412"/>
      <c r="BQ1" s="411" t="s">
        <v>192</v>
      </c>
      <c r="BR1" s="411"/>
      <c r="BS1" s="411"/>
      <c r="BT1" s="411"/>
      <c r="BU1" s="411"/>
      <c r="BV1" s="411"/>
      <c r="BW1" s="411"/>
      <c r="BX1" s="411"/>
      <c r="BY1" s="411"/>
      <c r="BZ1" s="411"/>
    </row>
    <row r="2" spans="1:78" ht="45" x14ac:dyDescent="0.2">
      <c r="A2" s="42" t="s">
        <v>8</v>
      </c>
      <c r="B2" s="43" t="s">
        <v>9</v>
      </c>
      <c r="C2" s="43" t="s">
        <v>10</v>
      </c>
      <c r="D2" s="43" t="s">
        <v>18</v>
      </c>
      <c r="E2" s="43" t="s">
        <v>20</v>
      </c>
      <c r="F2" s="43" t="s">
        <v>247</v>
      </c>
      <c r="G2" s="43" t="s">
        <v>19</v>
      </c>
      <c r="H2" s="157" t="s">
        <v>501</v>
      </c>
      <c r="I2" s="158" t="s">
        <v>579</v>
      </c>
      <c r="J2" s="159" t="s">
        <v>342</v>
      </c>
      <c r="K2" s="158"/>
      <c r="L2" s="159" t="s">
        <v>346</v>
      </c>
      <c r="M2" s="22" t="s">
        <v>22</v>
      </c>
      <c r="N2" s="22" t="s">
        <v>23</v>
      </c>
      <c r="O2" s="22" t="s">
        <v>1</v>
      </c>
      <c r="P2" s="22" t="s">
        <v>0</v>
      </c>
      <c r="Q2" s="22" t="s">
        <v>24</v>
      </c>
      <c r="R2" s="22" t="s">
        <v>113</v>
      </c>
      <c r="S2" s="22" t="s">
        <v>117</v>
      </c>
      <c r="T2" s="22" t="s">
        <v>23</v>
      </c>
      <c r="U2" s="22" t="s">
        <v>0</v>
      </c>
      <c r="V2" s="22" t="s">
        <v>24</v>
      </c>
      <c r="W2" s="41" t="s">
        <v>3</v>
      </c>
      <c r="X2" s="40" t="s">
        <v>22</v>
      </c>
      <c r="Y2" s="22" t="s">
        <v>23</v>
      </c>
      <c r="Z2" s="22" t="s">
        <v>1</v>
      </c>
      <c r="AA2" s="22" t="s">
        <v>0</v>
      </c>
      <c r="AB2" s="22" t="s">
        <v>24</v>
      </c>
      <c r="AC2" s="22" t="s">
        <v>245</v>
      </c>
      <c r="AD2" s="22" t="s">
        <v>12</v>
      </c>
      <c r="AE2" s="22" t="s">
        <v>23</v>
      </c>
      <c r="AF2" s="22" t="s">
        <v>0</v>
      </c>
      <c r="AG2" s="22" t="s">
        <v>24</v>
      </c>
      <c r="AH2" s="41" t="s">
        <v>3</v>
      </c>
      <c r="AI2" s="40" t="s">
        <v>22</v>
      </c>
      <c r="AJ2" s="22" t="s">
        <v>23</v>
      </c>
      <c r="AK2" s="22" t="s">
        <v>1</v>
      </c>
      <c r="AL2" s="22" t="s">
        <v>0</v>
      </c>
      <c r="AM2" s="22" t="s">
        <v>24</v>
      </c>
      <c r="AN2" s="22" t="s">
        <v>4</v>
      </c>
      <c r="AO2" s="22" t="s">
        <v>12</v>
      </c>
      <c r="AP2" s="22" t="s">
        <v>23</v>
      </c>
      <c r="AQ2" s="22" t="s">
        <v>0</v>
      </c>
      <c r="AR2" s="22" t="s">
        <v>24</v>
      </c>
      <c r="AS2" s="41" t="s">
        <v>3</v>
      </c>
      <c r="AT2" s="46" t="s">
        <v>22</v>
      </c>
      <c r="AU2" s="47" t="s">
        <v>23</v>
      </c>
      <c r="AV2" s="47" t="s">
        <v>1</v>
      </c>
      <c r="AW2" s="47" t="s">
        <v>0</v>
      </c>
      <c r="AX2" s="47" t="s">
        <v>335</v>
      </c>
      <c r="AY2" s="47" t="s">
        <v>2</v>
      </c>
      <c r="AZ2" s="47" t="s">
        <v>13</v>
      </c>
      <c r="BA2" s="47" t="s">
        <v>23</v>
      </c>
      <c r="BB2" s="47" t="s">
        <v>0</v>
      </c>
      <c r="BC2" s="47" t="s">
        <v>24</v>
      </c>
      <c r="BD2" s="30" t="s">
        <v>3</v>
      </c>
      <c r="BE2" s="337" t="s">
        <v>25</v>
      </c>
      <c r="BF2" s="338" t="s">
        <v>112</v>
      </c>
      <c r="BG2" s="339" t="s">
        <v>244</v>
      </c>
      <c r="BH2" s="15" t="s">
        <v>111</v>
      </c>
      <c r="BI2" s="15" t="s">
        <v>325</v>
      </c>
      <c r="BJ2" s="16"/>
      <c r="BK2" s="16"/>
      <c r="BL2" s="13" t="s">
        <v>3</v>
      </c>
      <c r="BM2" s="17" t="s">
        <v>15</v>
      </c>
      <c r="BN2" s="17" t="s">
        <v>16</v>
      </c>
      <c r="BO2" s="14" t="s">
        <v>17</v>
      </c>
      <c r="BP2" s="14" t="s">
        <v>21</v>
      </c>
      <c r="BQ2" s="38" t="s">
        <v>118</v>
      </c>
      <c r="BR2" s="38" t="s">
        <v>120</v>
      </c>
      <c r="BS2" s="38" t="s">
        <v>187</v>
      </c>
      <c r="BT2" s="38" t="s">
        <v>120</v>
      </c>
      <c r="BU2" s="38" t="s">
        <v>186</v>
      </c>
      <c r="BV2" s="38" t="s">
        <v>120</v>
      </c>
      <c r="BW2" s="38" t="s">
        <v>119</v>
      </c>
      <c r="BX2" s="38" t="s">
        <v>120</v>
      </c>
      <c r="BY2" s="38" t="s">
        <v>29</v>
      </c>
      <c r="BZ2" s="38" t="s">
        <v>526</v>
      </c>
    </row>
    <row r="3" spans="1:78" s="66" customFormat="1" ht="123.75" customHeight="1" x14ac:dyDescent="0.2">
      <c r="A3" s="216" t="s">
        <v>121</v>
      </c>
      <c r="B3" s="21" t="s">
        <v>122</v>
      </c>
      <c r="C3" s="21" t="s">
        <v>123</v>
      </c>
      <c r="D3" s="20" t="s">
        <v>96</v>
      </c>
      <c r="E3" s="20" t="s">
        <v>108</v>
      </c>
      <c r="F3" s="100" t="s">
        <v>528</v>
      </c>
      <c r="G3" s="100" t="s">
        <v>99</v>
      </c>
      <c r="H3" s="272">
        <v>40938</v>
      </c>
      <c r="I3" s="267">
        <f>IF(H3="","",DATE(YEAR(H3),MONTH(H3)+1,DAY(H3)))</f>
        <v>40969</v>
      </c>
      <c r="J3" s="356"/>
      <c r="K3" s="299" t="str">
        <f t="shared" ref="K3:K10" si="0">IF(H3="","",IF(J3="","Board Date"&amp;CHAR(10)&amp;TEXT(I3,"dd/mm/yyyy"),"Completed"&amp;CHAR(10)&amp;TEXT(J3,"dd/mm/yyyy")))</f>
        <v>Board Date
01/03/2012</v>
      </c>
      <c r="L3" s="317" t="str">
        <f t="shared" ref="L3:L40" ca="1" si="1">IF(AND(J3="",I3=""),"",IF(AND(J3="",I3&lt;TODAY()),"R","G"))</f>
        <v>R</v>
      </c>
      <c r="M3" s="140"/>
      <c r="N3" s="112"/>
      <c r="O3" s="52"/>
      <c r="P3" s="112"/>
      <c r="Q3" s="112"/>
      <c r="R3" s="28">
        <v>42062</v>
      </c>
      <c r="S3" s="28"/>
      <c r="T3" s="53" t="str">
        <f t="shared" ref="T3:T40" si="2">IFERROR(IF(1-(N3-M3)/(O3-M3)&gt;0.9,"G",IF(1-(N3-M3)/(O3-M3)&gt;0.85,"A","R")),"")</f>
        <v/>
      </c>
      <c r="U3" s="53" t="str">
        <f t="shared" ref="U3:U40" si="3">IF(P3="","",IF((O3-M3)/(P3-M3)&gt;0.9,"G",(IF((O3-M3)/(P3-M3)&gt;0.85,"A","R"))))</f>
        <v/>
      </c>
      <c r="V3" s="53" t="str">
        <f t="shared" ref="V3:V40" si="4">IF(Q3="","",IF((O3-M3)/(Q3-M3)&gt;0.9,"G",(IF((O3-M3)/(Q3-M3)&gt;0.85,"A","R"))))</f>
        <v/>
      </c>
      <c r="W3" s="54" t="str">
        <f>IF(M3="N/A","B",IF(V3="",IF(U3="",T3,U3),V3))</f>
        <v/>
      </c>
      <c r="X3" s="51"/>
      <c r="Y3" s="112"/>
      <c r="Z3" s="52"/>
      <c r="AA3" s="112"/>
      <c r="AB3" s="112"/>
      <c r="AC3" s="52"/>
      <c r="AD3" s="52"/>
      <c r="AE3" s="53" t="str">
        <f t="shared" ref="AE3:AE40" si="5">IFERROR(IF(1-(Y3-X3)/(Z3-X3)&gt;0.9,"G",IF(1-(Y3-X3)/(Z3-X3)&gt;0.85,"A","R")),"")</f>
        <v/>
      </c>
      <c r="AF3" s="53" t="str">
        <f t="shared" ref="AF3:AF40" si="6">IF(AA3="","",IF((Z3-X3)/(AA3-X3)&gt;0.9,"G",(IF((Z3-X3)/(AA3-X3)&gt;0.85,"A","R"))))</f>
        <v/>
      </c>
      <c r="AG3" s="53" t="str">
        <f t="shared" ref="AG3:AG40" si="7">IF(AB3="","",IF((Z3-X3)/(AB3-X3)&gt;0.9,"G",(IF((Z3-X3)/(AB3-X3)&gt;0.85,"A","R"))))</f>
        <v/>
      </c>
      <c r="AH3" s="54" t="str">
        <f t="shared" ref="AH3:AH40" si="8">IF(AG3="",IF(AF3="",AE3,AF3),AG3)</f>
        <v/>
      </c>
      <c r="AI3" s="51"/>
      <c r="AJ3" s="112"/>
      <c r="AK3" s="52"/>
      <c r="AL3" s="112"/>
      <c r="AM3" s="112"/>
      <c r="AN3" s="52"/>
      <c r="AO3" s="52"/>
      <c r="AP3" s="53" t="str">
        <f t="shared" ref="AP3:AP10" si="9">IFERROR(IF(1-(AJ3-AI3)/(AK3-AI3)&gt;0.9,"G",IF(1-(AJ3-AI3)/(AK3-AI3)&gt;0.85,"A","R")),"")</f>
        <v/>
      </c>
      <c r="AQ3" s="53" t="str">
        <f t="shared" ref="AQ3:AQ10" si="10">IF(AL3="","",IF((AK3-AI3)/(AL3-AI3)&gt;0.9,"G",(IF((AK3-AI3)/(AL3-AI3)&gt;0.85,"A","R"))))</f>
        <v/>
      </c>
      <c r="AR3" s="53" t="str">
        <f t="shared" ref="AR3:AR10" si="11">IF(AM3="","",IF((AK3-AI3)/(AM3-AI3)&gt;0.9,"G",(IF((AK3-AI3)/(AM3-AI3)&gt;0.85,"A","R"))))</f>
        <v/>
      </c>
      <c r="AS3" s="54" t="str">
        <f t="shared" ref="AS3:AS10" si="12">IF(AR3="",IF(AQ3="",AP3,AQ3),AR3)</f>
        <v/>
      </c>
      <c r="AT3" s="55">
        <v>42073</v>
      </c>
      <c r="AU3" s="113">
        <v>42080</v>
      </c>
      <c r="AV3" s="56">
        <v>42613</v>
      </c>
      <c r="AW3" s="113">
        <v>42882</v>
      </c>
      <c r="AX3" s="113">
        <v>42882</v>
      </c>
      <c r="AY3" s="45">
        <f t="shared" ref="AY3:AY40" si="13">IF(AX3="","",DATE(YEAR(AX3),MONTH(AX3)+3,DAY(AX3)))</f>
        <v>42974</v>
      </c>
      <c r="AZ3" s="45" t="s">
        <v>132</v>
      </c>
      <c r="BA3" s="57" t="str">
        <f t="shared" ref="BA3:BA40" si="14">IFERROR(IF(1-(AU3-AT3)/(AV3-AT3)&gt;0.9,"G",IF(1-(AU3-AT3)/(AV3-AT3)&gt;0.85,"A","R")),"")</f>
        <v>G</v>
      </c>
      <c r="BB3" s="57" t="str">
        <f t="shared" ref="BB3:BB40" si="15">IF(AW3="","",IF((AV3-AT3)/(AW3-AT3)&gt;0.9,"G",(IF((AV3-AT3)/(AW3-AT3)&gt;0.85,"A","R"))))</f>
        <v>R</v>
      </c>
      <c r="BC3" s="57" t="str">
        <f t="shared" ref="BC3:BC40" si="16">IF(AX3="","",IF((AV3-AT3)/(AX3-AT3)&gt;0.9,"G",(IF((AV3-AT3)/(AX3-AT3)&gt;0.85,"A","R"))))</f>
        <v>R</v>
      </c>
      <c r="BD3" s="58" t="str">
        <f t="shared" ref="BD3:BD10" si="17">IF(BC3="",IF(BB3="",BA3,BB3),BC3)</f>
        <v>R</v>
      </c>
      <c r="BE3" s="322">
        <v>300775</v>
      </c>
      <c r="BF3" s="323">
        <v>300775</v>
      </c>
      <c r="BG3" s="324">
        <f>VLOOKUP(A3,Finance!$A$3:$J$39,8,FALSE)</f>
        <v>-28623</v>
      </c>
      <c r="BH3" s="62">
        <v>89500</v>
      </c>
      <c r="BI3" s="60"/>
      <c r="BJ3" s="63">
        <f t="shared" ref="BJ3:BJ10" si="18">(BF3-BE3)/BE3</f>
        <v>0</v>
      </c>
      <c r="BK3" s="63">
        <f t="shared" ref="BK3:BK10" si="19">(BG3-BE3)/BE3</f>
        <v>-1.0951641592552572</v>
      </c>
      <c r="BL3" s="64" t="str">
        <f t="shared" ref="BL3:BL40" si="20">IF(BE3="","",IF(AND(BJ3&lt;0.025,BK3&lt;0.025),"G",IF(OR(BJ3&gt;0.05,BK3&gt;0.05),"R",IF(AND(BJ3&gt;0.025,BK3&gt;0.025),"A","G"))))</f>
        <v>G</v>
      </c>
      <c r="BM3" s="18" t="s">
        <v>315</v>
      </c>
      <c r="BN3" s="29" t="s">
        <v>633</v>
      </c>
      <c r="BO3" s="65" t="str">
        <f>IF(AND(BL3="",BD3="",AS3="",W3=""),"",IF(AND(BL3="G",BD3="G",AS3="G",W3="G"),"G",IF(OR(BL3="R",BD3="R",AS3="R",W3="R"),"R",VLOOKUP(CONCATENATE(W3,AS3,BD3,BL3),'Rag Coding'!A:B,2,FALSE))))</f>
        <v>R</v>
      </c>
      <c r="BP3" s="37" t="str">
        <f>'Dashboard Page'!U4</f>
        <v>Jerry to prepare SG5 and 6 documents, before end of August 2017.</v>
      </c>
      <c r="BQ3" s="39" t="str">
        <f t="shared" ref="BQ3:BQ40" ca="1" si="21">IF(M3="","",IF(V3&lt;&gt;"","Completed ",IF(AND(U3&lt;&gt;"",P3&gt;TODAY()),"Forecast Completion on "&amp;DAY(P3)&amp;"-"&amp;MONTH(P3)&amp;"-"&amp;YEAR(P3)&amp;CHAR(10)&amp;IF(P3-O3&gt;0,(P3-O3)&amp;" day(s) late",(IF(P3-O3=0,"on time",(O3-P3)&amp;" day(s) early"))),IF(P3&lt;TODAY(),"Forecast Completion in the past, please update","Baseline Complete"))))</f>
        <v/>
      </c>
      <c r="BR3" s="39" t="str">
        <f t="shared" ref="BR3:BR40" ca="1" si="22">IF(BQ3="Completed ",IF(Q3-O3&gt;0,Q3-O3&amp;" day(s) late",(IF(Q3-O3=0,"on time",O3-Q3&amp;" day(s) early"))),"")</f>
        <v/>
      </c>
      <c r="BS3" s="39" t="str">
        <f t="shared" ref="BS3:BS40" ca="1" si="23">IF(X3="","",IF(AG3&lt;&gt;"","Completed ",IF(AND(AF3&lt;&gt;"",AA3&gt;TODAY()),"Forecast Completion on "&amp;DAY(AA3)&amp;"-"&amp;MONTH(AA3)&amp;"-"&amp;YEAR(AA3)&amp;CHAR(10)&amp;IF(AA3-Z3&gt;0,(AA3-Z3)&amp;" day(s) late",(IF(AA3-Z3=0,"on time",(Z3-AA3)&amp;" day(s) early"))),IF(AA3&lt;TODAY(),"Forecast Completion in the past, please update","Baseline Complete"))))</f>
        <v/>
      </c>
      <c r="BT3" s="39" t="str">
        <f t="shared" ref="BT3:BT40" ca="1" si="24">IF(BS3="Completed ",IF(AB3-Z3&gt;0,AB3-Z3&amp;" day(s) late",(IF(AB3-Z3=0,"on time",Z3-AB3&amp;" day(s) early"))),"")</f>
        <v/>
      </c>
      <c r="BU3" s="39" t="str">
        <f t="shared" ref="BU3:BU40" ca="1" si="25">IF(AI3="","",IF(AR3&lt;&gt;"","Completed ",IF(AND(AQ3&lt;&gt;"",AL3&gt;TODAY()),"Forecast Completion on "&amp;DAY(AL3)&amp;"-"&amp;MONTH(AL3)&amp;"-"&amp;YEAR(AL3)&amp;CHAR(10)&amp;IF(AL3-AK3&gt;0,(AL3-AK3)&amp;" day(s) late",(IF(AL3-AK3=0,"on time",(AK3-AL3)&amp;" day(s) early"))),IF(AL3&lt;TODAY(),"Forecast Completion in the past, please update","Baseline Complete"))))</f>
        <v/>
      </c>
      <c r="BV3" s="39" t="str">
        <f t="shared" ref="BV3:BV40" ca="1" si="26">IF(BU3="Completed ",IF(AM3-AK3&gt;0,AM3-AK3&amp;" day(s) late",(IF(AM3-AK3=0,"on time",AK3-AM3&amp;" day(s) early"))),"")</f>
        <v/>
      </c>
      <c r="BW3" s="39" t="str">
        <f t="shared" ref="BW3:BW40" ca="1" si="27">IF(AT3="","",IF(BC3&lt;&gt;"","Completed ",IF(AND(BB3&lt;&gt;"",AW3&gt;TODAY()),"Forecast Completion on "&amp;DAY(AW3)&amp;"-"&amp;MONTH(AW3)&amp;"-"&amp;YEAR(AW3)&amp;CHAR(10)&amp;IF(AW3-AV3&gt;0,(AW3-AV3)&amp;" day(s) late",(IF(AW3-AV3=0,"on time",(AV3-AW3)&amp;" day(s) early"))),IF(AW3&lt;TODAY(),"Forecast Completion in the past, please update","Baseline Complete"))))</f>
        <v xml:space="preserve">Completed </v>
      </c>
      <c r="BX3" s="39" t="str">
        <f t="shared" ref="BX3:BX40" ca="1" si="28">IF(BW3="Completed ",IF(AX3-AV3&gt;0,AX3-AV3&amp;" day(s) late",(IF(AX3-AV3=0,"on time",AV3-AX3&amp;" day(s) early"))),"")</f>
        <v>269 day(s) late</v>
      </c>
      <c r="BY3" s="39" t="str">
        <f t="shared" ref="BY3:BY40" ca="1" si="29">IF(BW3="Completed ",IF(BF3-BE3&gt;0,"Over budget by £"&amp;(BF3-BE3),"Under budget by £"&amp;BE3-BF3),IF(BF3="","","Current Forecast Spend £"&amp;BF3))</f>
        <v>Under budget by £0</v>
      </c>
      <c r="BZ3" s="39" t="str">
        <f t="shared" ref="BZ3:BZ37" si="30">IF(COUNTA(AT3:AX3),"Stage Gate 5",IF(COUNTA(AI3:AM3),"Stage Gate 4", IF(COUNTA(X3:AB3),"Stage Gate 3",  IF(COUNTA(M3:Q3),"Stage Gate 2", "Stage Gate 1"))))</f>
        <v>Stage Gate 5</v>
      </c>
    </row>
    <row r="4" spans="1:78" ht="56.25" customHeight="1" x14ac:dyDescent="0.2">
      <c r="A4" s="216" t="s">
        <v>128</v>
      </c>
      <c r="B4" s="21" t="s">
        <v>129</v>
      </c>
      <c r="C4" s="21" t="s">
        <v>130</v>
      </c>
      <c r="D4" s="20" t="s">
        <v>85</v>
      </c>
      <c r="E4" s="20" t="s">
        <v>108</v>
      </c>
      <c r="F4" s="100" t="s">
        <v>528</v>
      </c>
      <c r="G4" s="100" t="s">
        <v>99</v>
      </c>
      <c r="H4" s="314">
        <v>41183</v>
      </c>
      <c r="I4" s="267">
        <f t="shared" ref="I4:I9" si="31">IF(H4="","",DATE(YEAR(H4),MONTH(H4)+1,DAY(H4)))</f>
        <v>41214</v>
      </c>
      <c r="J4" s="356"/>
      <c r="K4" s="154" t="str">
        <f t="shared" si="0"/>
        <v>Board Date
01/11/2012</v>
      </c>
      <c r="L4" s="317" t="str">
        <f t="shared" ca="1" si="1"/>
        <v>R</v>
      </c>
      <c r="M4" s="140"/>
      <c r="N4" s="112"/>
      <c r="O4" s="52"/>
      <c r="P4" s="113"/>
      <c r="Q4" s="112"/>
      <c r="R4" s="28"/>
      <c r="S4" s="28"/>
      <c r="T4" s="53" t="str">
        <f t="shared" si="2"/>
        <v/>
      </c>
      <c r="U4" s="53" t="str">
        <f t="shared" si="3"/>
        <v/>
      </c>
      <c r="V4" s="53" t="str">
        <f t="shared" si="4"/>
        <v/>
      </c>
      <c r="W4" s="54" t="str">
        <f>IF(M4="N/A","B",IF(V4="",IF(U4="",T4,U4),V4))</f>
        <v/>
      </c>
      <c r="X4" s="51"/>
      <c r="Y4" s="112"/>
      <c r="Z4" s="52"/>
      <c r="AA4" s="112"/>
      <c r="AB4" s="112"/>
      <c r="AC4" s="52"/>
      <c r="AD4" s="52"/>
      <c r="AE4" s="53" t="str">
        <f t="shared" si="5"/>
        <v/>
      </c>
      <c r="AF4" s="53" t="str">
        <f t="shared" si="6"/>
        <v/>
      </c>
      <c r="AG4" s="53" t="str">
        <f t="shared" si="7"/>
        <v/>
      </c>
      <c r="AH4" s="54" t="str">
        <f t="shared" si="8"/>
        <v/>
      </c>
      <c r="AI4" s="51"/>
      <c r="AJ4" s="112"/>
      <c r="AK4" s="52"/>
      <c r="AL4" s="112"/>
      <c r="AM4" s="112"/>
      <c r="AN4" s="52"/>
      <c r="AO4" s="52"/>
      <c r="AP4" s="53" t="str">
        <f t="shared" si="9"/>
        <v/>
      </c>
      <c r="AQ4" s="53" t="str">
        <f t="shared" si="10"/>
        <v/>
      </c>
      <c r="AR4" s="53" t="str">
        <f t="shared" si="11"/>
        <v/>
      </c>
      <c r="AS4" s="54" t="str">
        <f t="shared" si="12"/>
        <v/>
      </c>
      <c r="AT4" s="55">
        <v>42193</v>
      </c>
      <c r="AU4" s="113">
        <v>42193</v>
      </c>
      <c r="AV4" s="56">
        <v>42643</v>
      </c>
      <c r="AW4" s="113">
        <v>43008</v>
      </c>
      <c r="AX4" s="113"/>
      <c r="AY4" s="45" t="str">
        <f t="shared" si="13"/>
        <v/>
      </c>
      <c r="AZ4" s="45" t="s">
        <v>131</v>
      </c>
      <c r="BA4" s="57" t="str">
        <f t="shared" si="14"/>
        <v>G</v>
      </c>
      <c r="BB4" s="57" t="str">
        <f t="shared" si="15"/>
        <v>R</v>
      </c>
      <c r="BC4" s="57" t="str">
        <f t="shared" si="16"/>
        <v/>
      </c>
      <c r="BD4" s="58" t="str">
        <f t="shared" si="17"/>
        <v>R</v>
      </c>
      <c r="BE4" s="322">
        <v>1506239</v>
      </c>
      <c r="BF4" s="323">
        <v>1506239</v>
      </c>
      <c r="BG4" s="324">
        <f>VLOOKUP(A4,Finance!$A$3:$J$39,8,FALSE)</f>
        <v>-25414</v>
      </c>
      <c r="BH4" s="62">
        <v>1107958</v>
      </c>
      <c r="BI4" s="60"/>
      <c r="BJ4" s="63">
        <f t="shared" si="18"/>
        <v>0</v>
      </c>
      <c r="BK4" s="63">
        <f t="shared" si="19"/>
        <v>-1.0168724883634006</v>
      </c>
      <c r="BL4" s="64" t="str">
        <f t="shared" si="20"/>
        <v>G</v>
      </c>
      <c r="BM4" s="18" t="s">
        <v>578</v>
      </c>
      <c r="BN4" s="359" t="s">
        <v>621</v>
      </c>
      <c r="BO4" s="65" t="str">
        <f>IF(AND(BL4="",BD4="",AS4="",W4=""),"",IF(AND(BL4="G",BD4="G",AS4="G",W4="G"),"G",IF(OR(BL4="R",BD4="R",AS4="R",W4="R"),"R",VLOOKUP(CONCATENATE(W4,AS4,BD4,BL4),'Rag Coding'!A:B,2,FALSE))))</f>
        <v>R</v>
      </c>
      <c r="BP4" s="310">
        <f>'Dashboard Page'!U5</f>
        <v>0</v>
      </c>
      <c r="BQ4" s="39" t="str">
        <f t="shared" ca="1" si="21"/>
        <v/>
      </c>
      <c r="BR4" s="39" t="str">
        <f t="shared" ca="1" si="22"/>
        <v/>
      </c>
      <c r="BS4" s="39" t="str">
        <f t="shared" ca="1" si="23"/>
        <v/>
      </c>
      <c r="BT4" s="39" t="str">
        <f t="shared" ca="1" si="24"/>
        <v/>
      </c>
      <c r="BU4" s="39" t="str">
        <f t="shared" ca="1" si="25"/>
        <v/>
      </c>
      <c r="BV4" s="39" t="str">
        <f t="shared" ca="1" si="26"/>
        <v/>
      </c>
      <c r="BW4" s="39" t="str">
        <f t="shared" ca="1" si="27"/>
        <v>Forecast Completion on 30-9-2017
365 day(s) late</v>
      </c>
      <c r="BX4" s="39" t="str">
        <f t="shared" ca="1" si="28"/>
        <v/>
      </c>
      <c r="BY4" s="39" t="str">
        <f t="shared" ca="1" si="29"/>
        <v>Current Forecast Spend £1506239</v>
      </c>
      <c r="BZ4" s="39" t="str">
        <f t="shared" si="30"/>
        <v>Stage Gate 5</v>
      </c>
    </row>
    <row r="5" spans="1:78" ht="56.25" customHeight="1" x14ac:dyDescent="0.2">
      <c r="A5" s="216" t="s">
        <v>115</v>
      </c>
      <c r="B5" s="21" t="s">
        <v>116</v>
      </c>
      <c r="C5" s="21" t="s">
        <v>133</v>
      </c>
      <c r="D5" s="20" t="s">
        <v>91</v>
      </c>
      <c r="E5" s="20" t="s">
        <v>101</v>
      </c>
      <c r="F5" s="100" t="s">
        <v>527</v>
      </c>
      <c r="G5" s="100" t="s">
        <v>99</v>
      </c>
      <c r="H5" s="314">
        <v>42380</v>
      </c>
      <c r="I5" s="267">
        <f t="shared" si="31"/>
        <v>42411</v>
      </c>
      <c r="J5" s="356">
        <v>42452</v>
      </c>
      <c r="K5" s="154" t="str">
        <f t="shared" si="0"/>
        <v>Completed
23/03/2016</v>
      </c>
      <c r="L5" s="317" t="str">
        <f t="shared" ca="1" si="1"/>
        <v>G</v>
      </c>
      <c r="M5" s="140">
        <v>42491</v>
      </c>
      <c r="N5" s="112">
        <v>42491</v>
      </c>
      <c r="O5" s="52">
        <v>42669</v>
      </c>
      <c r="P5" s="113">
        <v>42671</v>
      </c>
      <c r="Q5" s="112">
        <v>42671</v>
      </c>
      <c r="R5" s="28">
        <v>42669</v>
      </c>
      <c r="S5" s="28" t="s">
        <v>280</v>
      </c>
      <c r="T5" s="53" t="str">
        <f t="shared" si="2"/>
        <v>G</v>
      </c>
      <c r="U5" s="53" t="str">
        <f t="shared" si="3"/>
        <v>G</v>
      </c>
      <c r="V5" s="53" t="str">
        <f t="shared" si="4"/>
        <v>G</v>
      </c>
      <c r="W5" s="54" t="str">
        <f>IF(M5="N/A","B",IF(V5="",IF(U5="",T5,U5),V5))</f>
        <v>G</v>
      </c>
      <c r="X5" s="51"/>
      <c r="Y5" s="112"/>
      <c r="Z5" s="52"/>
      <c r="AA5" s="113"/>
      <c r="AB5" s="112"/>
      <c r="AC5" s="52"/>
      <c r="AD5" s="52" t="s">
        <v>334</v>
      </c>
      <c r="AE5" s="53" t="str">
        <f t="shared" si="5"/>
        <v/>
      </c>
      <c r="AF5" s="53" t="str">
        <f t="shared" si="6"/>
        <v/>
      </c>
      <c r="AG5" s="53" t="str">
        <f t="shared" si="7"/>
        <v/>
      </c>
      <c r="AH5" s="54" t="str">
        <f t="shared" si="8"/>
        <v/>
      </c>
      <c r="AI5" s="51">
        <v>42739</v>
      </c>
      <c r="AJ5" s="112">
        <v>42739</v>
      </c>
      <c r="AK5" s="52">
        <v>42908</v>
      </c>
      <c r="AL5" s="113">
        <v>42908</v>
      </c>
      <c r="AM5" s="112">
        <v>42908</v>
      </c>
      <c r="AN5" s="52"/>
      <c r="AO5" s="52"/>
      <c r="AP5" s="53" t="str">
        <f t="shared" si="9"/>
        <v>G</v>
      </c>
      <c r="AQ5" s="53" t="str">
        <f t="shared" si="10"/>
        <v>G</v>
      </c>
      <c r="AR5" s="53" t="str">
        <f t="shared" si="11"/>
        <v>G</v>
      </c>
      <c r="AS5" s="54" t="str">
        <f t="shared" si="12"/>
        <v>G</v>
      </c>
      <c r="AT5" s="55"/>
      <c r="AU5" s="113"/>
      <c r="AV5" s="56"/>
      <c r="AW5" s="113"/>
      <c r="AX5" s="113"/>
      <c r="AY5" s="45" t="str">
        <f t="shared" si="13"/>
        <v/>
      </c>
      <c r="AZ5" s="45"/>
      <c r="BA5" s="57" t="str">
        <f t="shared" si="14"/>
        <v/>
      </c>
      <c r="BB5" s="57" t="str">
        <f t="shared" si="15"/>
        <v/>
      </c>
      <c r="BC5" s="57" t="str">
        <f t="shared" si="16"/>
        <v/>
      </c>
      <c r="BD5" s="58" t="str">
        <f t="shared" si="17"/>
        <v/>
      </c>
      <c r="BE5" s="322">
        <v>180000</v>
      </c>
      <c r="BF5" s="323">
        <v>80000</v>
      </c>
      <c r="BG5" s="324">
        <f>VLOOKUP(A5,Finance!$A$3:$J$39,8,FALSE)</f>
        <v>4100</v>
      </c>
      <c r="BH5" s="62">
        <v>180000</v>
      </c>
      <c r="BI5" s="60"/>
      <c r="BJ5" s="63">
        <f t="shared" si="18"/>
        <v>-0.55555555555555558</v>
      </c>
      <c r="BK5" s="63">
        <f t="shared" si="19"/>
        <v>-0.97722222222222221</v>
      </c>
      <c r="BL5" s="64" t="str">
        <f t="shared" si="20"/>
        <v>G</v>
      </c>
      <c r="BM5" s="122" t="s">
        <v>548</v>
      </c>
      <c r="BN5" s="121" t="s">
        <v>669</v>
      </c>
      <c r="BO5" s="65" t="str">
        <f>IF(AND(BL5="",BD5="",AS5="",W5=""),"",IF(AND(BL5="G",BD5="G",AS5="G",W5="G"),"G",IF(OR(BL5="R",BD5="R",AS5="R",W5="R"),"R",VLOOKUP(CONCATENATE(W5,AS5,BD5,BL5),'Rag Coding'!A:B,2,FALSE))))</f>
        <v>G</v>
      </c>
      <c r="BP5" s="310" t="str">
        <f>'Dashboard Page'!U6</f>
        <v>SMT approved on 27th July 2017, to continue through to Stage 5 and 6</v>
      </c>
      <c r="BQ5" s="39" t="str">
        <f t="shared" ca="1" si="21"/>
        <v xml:space="preserve">Completed </v>
      </c>
      <c r="BR5" s="39" t="str">
        <f t="shared" ca="1" si="22"/>
        <v>2 day(s) late</v>
      </c>
      <c r="BS5" s="39" t="str">
        <f t="shared" ca="1" si="23"/>
        <v/>
      </c>
      <c r="BT5" s="39" t="str">
        <f t="shared" ca="1" si="24"/>
        <v/>
      </c>
      <c r="BU5" s="39" t="str">
        <f t="shared" ca="1" si="25"/>
        <v xml:space="preserve">Completed </v>
      </c>
      <c r="BV5" s="39" t="str">
        <f t="shared" ca="1" si="26"/>
        <v>on time</v>
      </c>
      <c r="BW5" s="39" t="str">
        <f t="shared" ca="1" si="27"/>
        <v/>
      </c>
      <c r="BX5" s="39" t="str">
        <f t="shared" ca="1" si="28"/>
        <v/>
      </c>
      <c r="BY5" s="39" t="str">
        <f t="shared" ca="1" si="29"/>
        <v>Current Forecast Spend £80000</v>
      </c>
      <c r="BZ5" s="39" t="str">
        <f t="shared" si="30"/>
        <v>Stage Gate 4</v>
      </c>
    </row>
    <row r="6" spans="1:78" ht="135" customHeight="1" x14ac:dyDescent="0.2">
      <c r="A6" s="216" t="s">
        <v>138</v>
      </c>
      <c r="B6" s="21" t="s">
        <v>139</v>
      </c>
      <c r="C6" s="21" t="s">
        <v>140</v>
      </c>
      <c r="D6" s="20" t="s">
        <v>91</v>
      </c>
      <c r="E6" s="20" t="s">
        <v>249</v>
      </c>
      <c r="F6" s="100" t="s">
        <v>532</v>
      </c>
      <c r="G6" s="100" t="s">
        <v>99</v>
      </c>
      <c r="H6" s="314">
        <v>41645</v>
      </c>
      <c r="I6" s="267">
        <f t="shared" si="31"/>
        <v>41676</v>
      </c>
      <c r="J6" s="356"/>
      <c r="K6" s="154" t="str">
        <f t="shared" si="0"/>
        <v>Board Date
06/02/2014</v>
      </c>
      <c r="L6" s="317" t="str">
        <f t="shared" ca="1" si="1"/>
        <v>R</v>
      </c>
      <c r="M6" s="140"/>
      <c r="N6" s="112"/>
      <c r="O6" s="52"/>
      <c r="P6" s="113"/>
      <c r="Q6" s="112"/>
      <c r="R6" s="28"/>
      <c r="S6" s="28" t="s">
        <v>149</v>
      </c>
      <c r="T6" s="53" t="str">
        <f t="shared" si="2"/>
        <v/>
      </c>
      <c r="U6" s="53" t="str">
        <f t="shared" si="3"/>
        <v/>
      </c>
      <c r="V6" s="53" t="str">
        <f t="shared" si="4"/>
        <v/>
      </c>
      <c r="W6" s="54" t="str">
        <f>IF(M6="N/A","B",IF(V6="",IF(U6="",T6,U6),V6))</f>
        <v/>
      </c>
      <c r="X6" s="51"/>
      <c r="Y6" s="112"/>
      <c r="Z6" s="52"/>
      <c r="AA6" s="112"/>
      <c r="AB6" s="112"/>
      <c r="AC6" s="52">
        <v>42121</v>
      </c>
      <c r="AD6" s="52"/>
      <c r="AE6" s="53" t="str">
        <f t="shared" si="5"/>
        <v/>
      </c>
      <c r="AF6" s="53" t="str">
        <f t="shared" si="6"/>
        <v/>
      </c>
      <c r="AG6" s="53" t="str">
        <f t="shared" si="7"/>
        <v/>
      </c>
      <c r="AH6" s="54" t="str">
        <f t="shared" si="8"/>
        <v/>
      </c>
      <c r="AI6" s="51"/>
      <c r="AJ6" s="112"/>
      <c r="AK6" s="52"/>
      <c r="AL6" s="112"/>
      <c r="AM6" s="112"/>
      <c r="AN6" s="52">
        <v>42618</v>
      </c>
      <c r="AO6" s="52" t="s">
        <v>132</v>
      </c>
      <c r="AP6" s="53" t="str">
        <f t="shared" si="9"/>
        <v/>
      </c>
      <c r="AQ6" s="53" t="str">
        <f t="shared" si="10"/>
        <v/>
      </c>
      <c r="AR6" s="53" t="str">
        <f t="shared" si="11"/>
        <v/>
      </c>
      <c r="AS6" s="54" t="str">
        <f t="shared" si="12"/>
        <v/>
      </c>
      <c r="AT6" s="55">
        <v>42268</v>
      </c>
      <c r="AU6" s="113">
        <v>42268</v>
      </c>
      <c r="AV6" s="56">
        <v>42814</v>
      </c>
      <c r="AW6" s="113">
        <v>42814</v>
      </c>
      <c r="AX6" s="113">
        <v>42824</v>
      </c>
      <c r="AY6" s="45">
        <f t="shared" si="13"/>
        <v>42916</v>
      </c>
      <c r="AZ6" s="45" t="s">
        <v>132</v>
      </c>
      <c r="BA6" s="57" t="str">
        <f t="shared" si="14"/>
        <v>G</v>
      </c>
      <c r="BB6" s="57" t="str">
        <f t="shared" si="15"/>
        <v>G</v>
      </c>
      <c r="BC6" s="57" t="str">
        <f t="shared" si="16"/>
        <v>G</v>
      </c>
      <c r="BD6" s="58" t="str">
        <f t="shared" si="17"/>
        <v>G</v>
      </c>
      <c r="BE6" s="322">
        <v>1115001</v>
      </c>
      <c r="BF6" s="323">
        <v>1013143</v>
      </c>
      <c r="BG6" s="324">
        <f>VLOOKUP(A6,Finance!$A$3:$J$39,8,FALSE)</f>
        <v>22776</v>
      </c>
      <c r="BH6" s="62">
        <v>301200</v>
      </c>
      <c r="BI6" s="60"/>
      <c r="BJ6" s="63">
        <f t="shared" si="18"/>
        <v>-9.1352384437323381E-2</v>
      </c>
      <c r="BK6" s="63">
        <f t="shared" si="19"/>
        <v>-0.97957311249048207</v>
      </c>
      <c r="BL6" s="64" t="str">
        <f t="shared" si="20"/>
        <v>G</v>
      </c>
      <c r="BM6" s="122" t="s">
        <v>639</v>
      </c>
      <c r="BN6" s="121" t="s">
        <v>663</v>
      </c>
      <c r="BO6" s="65" t="str">
        <f>IF(AND(BL6="",BD6="",AS6="",W6=""),"",IF(AND(BL6="G",BD6="G",AS6="G",W6="G"),"G",IF(OR(BL6="R",BD6="R",AS6="R",W6="R"),"R",VLOOKUP(CONCATENATE(W6,AS6,BD6,BL6),'Rag Coding'!A:B,2,FALSE))))</f>
        <v>G</v>
      </c>
      <c r="BP6" s="310" t="str">
        <f>'Dashboard Page'!U7</f>
        <v>John to issue Stage Gate 5 and 6 documents.</v>
      </c>
      <c r="BQ6" s="39" t="str">
        <f t="shared" ca="1" si="21"/>
        <v/>
      </c>
      <c r="BR6" s="39" t="str">
        <f t="shared" ca="1" si="22"/>
        <v/>
      </c>
      <c r="BS6" s="39" t="str">
        <f t="shared" ca="1" si="23"/>
        <v/>
      </c>
      <c r="BT6" s="39" t="str">
        <f t="shared" ca="1" si="24"/>
        <v/>
      </c>
      <c r="BU6" s="39" t="str">
        <f t="shared" ca="1" si="25"/>
        <v/>
      </c>
      <c r="BV6" s="39" t="str">
        <f t="shared" ca="1" si="26"/>
        <v/>
      </c>
      <c r="BW6" s="39" t="str">
        <f t="shared" ca="1" si="27"/>
        <v xml:space="preserve">Completed </v>
      </c>
      <c r="BX6" s="39" t="str">
        <f t="shared" ca="1" si="28"/>
        <v>10 day(s) late</v>
      </c>
      <c r="BY6" s="39" t="str">
        <f t="shared" ca="1" si="29"/>
        <v>Under budget by £101858</v>
      </c>
      <c r="BZ6" s="39" t="str">
        <f t="shared" si="30"/>
        <v>Stage Gate 5</v>
      </c>
    </row>
    <row r="7" spans="1:78" ht="84.75" customHeight="1" x14ac:dyDescent="0.2">
      <c r="A7" s="216" t="s">
        <v>144</v>
      </c>
      <c r="B7" s="21" t="s">
        <v>145</v>
      </c>
      <c r="C7" s="21" t="s">
        <v>146</v>
      </c>
      <c r="D7" s="20" t="s">
        <v>92</v>
      </c>
      <c r="E7" s="20" t="s">
        <v>249</v>
      </c>
      <c r="F7" s="100" t="s">
        <v>529</v>
      </c>
      <c r="G7" s="100" t="s">
        <v>99</v>
      </c>
      <c r="H7" s="314">
        <v>42262</v>
      </c>
      <c r="I7" s="267">
        <f t="shared" si="31"/>
        <v>42292</v>
      </c>
      <c r="J7" s="356">
        <v>42335</v>
      </c>
      <c r="K7" s="154" t="str">
        <f t="shared" si="0"/>
        <v>Completed
27/11/2015</v>
      </c>
      <c r="L7" s="317" t="str">
        <f t="shared" ca="1" si="1"/>
        <v>G</v>
      </c>
      <c r="M7" s="140"/>
      <c r="N7" s="112"/>
      <c r="O7" s="52"/>
      <c r="P7" s="113"/>
      <c r="Q7" s="112"/>
      <c r="R7" s="28"/>
      <c r="S7" s="28" t="s">
        <v>148</v>
      </c>
      <c r="T7" s="53" t="str">
        <f t="shared" si="2"/>
        <v/>
      </c>
      <c r="U7" s="53" t="str">
        <f t="shared" si="3"/>
        <v/>
      </c>
      <c r="V7" s="53" t="str">
        <f t="shared" si="4"/>
        <v/>
      </c>
      <c r="W7" s="54" t="str">
        <f t="shared" ref="W7:W40" si="32">IF(V7="",IF(U7="",T7,U7),V7)</f>
        <v/>
      </c>
      <c r="X7" s="51"/>
      <c r="Y7" s="112"/>
      <c r="Z7" s="52"/>
      <c r="AA7" s="112"/>
      <c r="AB7" s="112"/>
      <c r="AC7" s="52"/>
      <c r="AD7" s="52"/>
      <c r="AE7" s="53" t="str">
        <f t="shared" si="5"/>
        <v/>
      </c>
      <c r="AF7" s="53" t="str">
        <f t="shared" si="6"/>
        <v/>
      </c>
      <c r="AG7" s="53" t="str">
        <f t="shared" si="7"/>
        <v/>
      </c>
      <c r="AH7" s="54" t="str">
        <f t="shared" si="8"/>
        <v/>
      </c>
      <c r="AI7" s="51">
        <v>42368</v>
      </c>
      <c r="AJ7" s="112">
        <v>42531</v>
      </c>
      <c r="AK7" s="52">
        <v>42389</v>
      </c>
      <c r="AL7" s="112">
        <v>42815</v>
      </c>
      <c r="AM7" s="112">
        <v>42815</v>
      </c>
      <c r="AN7" s="52">
        <v>42863</v>
      </c>
      <c r="AO7" s="52" t="s">
        <v>148</v>
      </c>
      <c r="AP7" s="53" t="str">
        <f t="shared" si="9"/>
        <v>R</v>
      </c>
      <c r="AQ7" s="53" t="str">
        <f t="shared" si="10"/>
        <v>R</v>
      </c>
      <c r="AR7" s="53" t="str">
        <f t="shared" si="11"/>
        <v>R</v>
      </c>
      <c r="AS7" s="54" t="str">
        <f t="shared" si="12"/>
        <v>R</v>
      </c>
      <c r="AT7" s="55"/>
      <c r="AU7" s="113"/>
      <c r="AV7" s="56"/>
      <c r="AW7" s="113"/>
      <c r="AX7" s="113"/>
      <c r="AY7" s="45" t="str">
        <f t="shared" si="13"/>
        <v/>
      </c>
      <c r="AZ7" s="45" t="s">
        <v>654</v>
      </c>
      <c r="BA7" s="57" t="str">
        <f t="shared" si="14"/>
        <v/>
      </c>
      <c r="BB7" s="57" t="str">
        <f t="shared" si="15"/>
        <v/>
      </c>
      <c r="BC7" s="57" t="str">
        <f t="shared" si="16"/>
        <v/>
      </c>
      <c r="BD7" s="58" t="str">
        <f t="shared" si="17"/>
        <v/>
      </c>
      <c r="BE7" s="322">
        <v>344000</v>
      </c>
      <c r="BF7" s="323">
        <v>344000</v>
      </c>
      <c r="BG7" s="324">
        <f>VLOOKUP(A7,Finance!$A$3:$J$39,8,FALSE)</f>
        <v>2506</v>
      </c>
      <c r="BH7" s="62">
        <v>126000</v>
      </c>
      <c r="BI7" s="60"/>
      <c r="BJ7" s="63">
        <f t="shared" si="18"/>
        <v>0</v>
      </c>
      <c r="BK7" s="63">
        <f t="shared" si="19"/>
        <v>-0.99271511627906972</v>
      </c>
      <c r="BL7" s="64" t="str">
        <f t="shared" si="20"/>
        <v>G</v>
      </c>
      <c r="BM7" s="18" t="s">
        <v>640</v>
      </c>
      <c r="BN7" s="121" t="s">
        <v>658</v>
      </c>
      <c r="BO7" s="65" t="str">
        <f>IF(AND(BL7="",BD7="",AS7="",W7=""),"",IF(AND(BL7="G",BD7="G",AS7="G",W7="G"),"G",IF(OR(BL7="R",BD7="R",AS7="R",W7="R"),"R",VLOOKUP(CONCATENATE(W7,AS7,BD7,BL7),'Rag Coding'!A:B,2,FALSE))))</f>
        <v>R</v>
      </c>
      <c r="BP7" s="310" t="str">
        <f>'Dashboard Page'!U8</f>
        <v xml:space="preserve">PM to finalise costs, and prepare SG5 by 24th July 2017.  </v>
      </c>
      <c r="BQ7" s="39" t="str">
        <f t="shared" ca="1" si="21"/>
        <v/>
      </c>
      <c r="BR7" s="39" t="str">
        <f t="shared" ca="1" si="22"/>
        <v/>
      </c>
      <c r="BS7" s="39" t="str">
        <f t="shared" ca="1" si="23"/>
        <v/>
      </c>
      <c r="BT7" s="39" t="str">
        <f t="shared" ca="1" si="24"/>
        <v/>
      </c>
      <c r="BU7" s="39" t="str">
        <f t="shared" ca="1" si="25"/>
        <v xml:space="preserve">Completed </v>
      </c>
      <c r="BV7" s="39" t="str">
        <f t="shared" ca="1" si="26"/>
        <v>426 day(s) late</v>
      </c>
      <c r="BW7" s="39" t="str">
        <f t="shared" ca="1" si="27"/>
        <v/>
      </c>
      <c r="BX7" s="39" t="str">
        <f t="shared" ca="1" si="28"/>
        <v/>
      </c>
      <c r="BY7" s="39" t="str">
        <f t="shared" ca="1" si="29"/>
        <v>Current Forecast Spend £344000</v>
      </c>
      <c r="BZ7" s="39" t="str">
        <f t="shared" si="30"/>
        <v>Stage Gate 4</v>
      </c>
    </row>
    <row r="8" spans="1:78" ht="101.25" customHeight="1" x14ac:dyDescent="0.2">
      <c r="A8" s="216" t="s">
        <v>153</v>
      </c>
      <c r="B8" s="21" t="s">
        <v>154</v>
      </c>
      <c r="C8" s="21" t="s">
        <v>155</v>
      </c>
      <c r="D8" s="20" t="s">
        <v>94</v>
      </c>
      <c r="E8" s="20" t="s">
        <v>249</v>
      </c>
      <c r="F8" s="100" t="s">
        <v>531</v>
      </c>
      <c r="G8" s="100" t="s">
        <v>99</v>
      </c>
      <c r="H8" s="314">
        <v>42269</v>
      </c>
      <c r="I8" s="267">
        <f t="shared" si="31"/>
        <v>42299</v>
      </c>
      <c r="J8" s="356">
        <v>42439</v>
      </c>
      <c r="K8" s="154" t="str">
        <f t="shared" si="0"/>
        <v>Completed
10/03/2016</v>
      </c>
      <c r="L8" s="317" t="str">
        <f t="shared" ca="1" si="1"/>
        <v>G</v>
      </c>
      <c r="M8" s="140">
        <v>42697</v>
      </c>
      <c r="N8" s="112">
        <v>53654</v>
      </c>
      <c r="O8" s="52">
        <v>42725</v>
      </c>
      <c r="P8" s="113">
        <v>42851</v>
      </c>
      <c r="Q8" s="112">
        <v>42851</v>
      </c>
      <c r="R8" s="28"/>
      <c r="S8" s="28" t="s">
        <v>166</v>
      </c>
      <c r="T8" s="53" t="str">
        <f t="shared" si="2"/>
        <v>R</v>
      </c>
      <c r="U8" s="53" t="str">
        <f t="shared" si="3"/>
        <v>R</v>
      </c>
      <c r="V8" s="53" t="str">
        <f t="shared" si="4"/>
        <v>R</v>
      </c>
      <c r="W8" s="54" t="str">
        <f t="shared" si="32"/>
        <v>R</v>
      </c>
      <c r="X8" s="51"/>
      <c r="Y8" s="112"/>
      <c r="Z8" s="52"/>
      <c r="AA8" s="112"/>
      <c r="AB8" s="112"/>
      <c r="AC8" s="52"/>
      <c r="AD8" s="52"/>
      <c r="AE8" s="53" t="str">
        <f t="shared" si="5"/>
        <v/>
      </c>
      <c r="AF8" s="53" t="str">
        <f t="shared" si="6"/>
        <v/>
      </c>
      <c r="AG8" s="53" t="str">
        <f t="shared" si="7"/>
        <v/>
      </c>
      <c r="AH8" s="54" t="str">
        <f t="shared" si="8"/>
        <v/>
      </c>
      <c r="AI8" s="51">
        <v>42870</v>
      </c>
      <c r="AJ8" s="112">
        <v>42870</v>
      </c>
      <c r="AK8" s="52">
        <v>42888</v>
      </c>
      <c r="AL8" s="112">
        <v>42888</v>
      </c>
      <c r="AM8" s="112"/>
      <c r="AN8" s="52"/>
      <c r="AO8" s="52" t="s">
        <v>166</v>
      </c>
      <c r="AP8" s="53" t="str">
        <f t="shared" si="9"/>
        <v>G</v>
      </c>
      <c r="AQ8" s="53" t="str">
        <f t="shared" si="10"/>
        <v>G</v>
      </c>
      <c r="AR8" s="53" t="str">
        <f t="shared" si="11"/>
        <v/>
      </c>
      <c r="AS8" s="54" t="str">
        <f t="shared" si="12"/>
        <v>G</v>
      </c>
      <c r="AT8" s="55"/>
      <c r="AU8" s="113"/>
      <c r="AV8" s="56"/>
      <c r="AW8" s="113"/>
      <c r="AX8" s="113"/>
      <c r="AY8" s="45" t="str">
        <f t="shared" si="13"/>
        <v/>
      </c>
      <c r="AZ8" s="45"/>
      <c r="BA8" s="57" t="str">
        <f t="shared" si="14"/>
        <v/>
      </c>
      <c r="BB8" s="57" t="str">
        <f t="shared" si="15"/>
        <v/>
      </c>
      <c r="BC8" s="57" t="str">
        <f t="shared" si="16"/>
        <v/>
      </c>
      <c r="BD8" s="58" t="str">
        <f t="shared" si="17"/>
        <v/>
      </c>
      <c r="BE8" s="322">
        <v>571000</v>
      </c>
      <c r="BF8" s="323">
        <v>571000</v>
      </c>
      <c r="BG8" s="324">
        <f>VLOOKUP(A8,Finance!$A$3:$J$39,8,FALSE)</f>
        <v>-9230</v>
      </c>
      <c r="BH8" s="62">
        <v>571000</v>
      </c>
      <c r="BI8" s="60"/>
      <c r="BJ8" s="63">
        <f t="shared" si="18"/>
        <v>0</v>
      </c>
      <c r="BK8" s="63">
        <f t="shared" si="19"/>
        <v>-1.0161646234676007</v>
      </c>
      <c r="BL8" s="64" t="str">
        <f t="shared" si="20"/>
        <v>G</v>
      </c>
      <c r="BM8" s="122" t="s">
        <v>656</v>
      </c>
      <c r="BN8" s="121" t="s">
        <v>664</v>
      </c>
      <c r="BO8" s="65" t="str">
        <f>IF(AND(BL8="",BD8="",AS8="",W8=""),"",IF(AND(BL8="G",BD8="G",AS8="G",W8="G"),"G",IF(OR(BL8="R",BD8="R",AS8="R",W8="R"),"R",VLOOKUP(CONCATENATE(W8,AS8,BD8,BL8),'Rag Coding'!A:B,2,FALSE))))</f>
        <v>R</v>
      </c>
      <c r="BP8" s="310" t="str">
        <f>'Dashboard Page'!U9</f>
        <v>Stage Gate 4 has been declined and pushed back to  SG3, please can you liaise with Philip around how SG3 dates on the tracker should populated?   Bearing in mind we have a fully developed design, which is SG4 as defined by Pathway, and has been costed.</v>
      </c>
      <c r="BQ8" s="39" t="str">
        <f t="shared" ca="1" si="21"/>
        <v xml:space="preserve">Completed </v>
      </c>
      <c r="BR8" s="39" t="str">
        <f t="shared" ca="1" si="22"/>
        <v>126 day(s) late</v>
      </c>
      <c r="BS8" s="39" t="str">
        <f t="shared" ca="1" si="23"/>
        <v/>
      </c>
      <c r="BT8" s="39" t="str">
        <f t="shared" ca="1" si="24"/>
        <v/>
      </c>
      <c r="BU8" s="39" t="str">
        <f t="shared" ca="1" si="25"/>
        <v>Forecast Completion in the past, please update</v>
      </c>
      <c r="BV8" s="39" t="str">
        <f t="shared" ca="1" si="26"/>
        <v/>
      </c>
      <c r="BW8" s="39" t="str">
        <f t="shared" ca="1" si="27"/>
        <v/>
      </c>
      <c r="BX8" s="39" t="str">
        <f t="shared" ca="1" si="28"/>
        <v/>
      </c>
      <c r="BY8" s="39" t="str">
        <f t="shared" ca="1" si="29"/>
        <v>Current Forecast Spend £571000</v>
      </c>
      <c r="BZ8" s="39" t="str">
        <f t="shared" si="30"/>
        <v>Stage Gate 4</v>
      </c>
    </row>
    <row r="9" spans="1:78" ht="258.75" customHeight="1" x14ac:dyDescent="0.2">
      <c r="A9" s="216" t="s">
        <v>156</v>
      </c>
      <c r="B9" s="21" t="s">
        <v>154</v>
      </c>
      <c r="C9" s="21" t="s">
        <v>157</v>
      </c>
      <c r="D9" s="20" t="s">
        <v>89</v>
      </c>
      <c r="E9" s="20" t="s">
        <v>101</v>
      </c>
      <c r="F9" s="100"/>
      <c r="G9" s="100" t="s">
        <v>99</v>
      </c>
      <c r="H9" s="314">
        <v>42355</v>
      </c>
      <c r="I9" s="267">
        <f t="shared" si="31"/>
        <v>42386</v>
      </c>
      <c r="J9" s="356">
        <v>42445</v>
      </c>
      <c r="K9" s="154" t="str">
        <f t="shared" si="0"/>
        <v>Completed
16/03/2016</v>
      </c>
      <c r="L9" s="317" t="str">
        <f t="shared" ca="1" si="1"/>
        <v>G</v>
      </c>
      <c r="M9" s="140"/>
      <c r="N9" s="112"/>
      <c r="O9" s="52"/>
      <c r="P9" s="113"/>
      <c r="Q9" s="112"/>
      <c r="R9" s="28"/>
      <c r="S9" s="28" t="s">
        <v>166</v>
      </c>
      <c r="T9" s="53" t="str">
        <f t="shared" si="2"/>
        <v/>
      </c>
      <c r="U9" s="53" t="str">
        <f t="shared" si="3"/>
        <v/>
      </c>
      <c r="V9" s="53" t="str">
        <f t="shared" si="4"/>
        <v/>
      </c>
      <c r="W9" s="54" t="str">
        <f t="shared" si="32"/>
        <v/>
      </c>
      <c r="X9" s="51">
        <v>42383</v>
      </c>
      <c r="Y9" s="112">
        <v>42588</v>
      </c>
      <c r="Z9" s="52">
        <v>42909</v>
      </c>
      <c r="AA9" s="112">
        <v>42740</v>
      </c>
      <c r="AB9" s="112">
        <v>42909</v>
      </c>
      <c r="AC9" s="52">
        <v>42909</v>
      </c>
      <c r="AD9" s="52" t="s">
        <v>662</v>
      </c>
      <c r="AE9" s="53" t="str">
        <f t="shared" si="5"/>
        <v>R</v>
      </c>
      <c r="AF9" s="53" t="str">
        <f t="shared" si="6"/>
        <v>G</v>
      </c>
      <c r="AG9" s="53" t="str">
        <f t="shared" si="7"/>
        <v>G</v>
      </c>
      <c r="AH9" s="54" t="str">
        <f t="shared" si="8"/>
        <v>G</v>
      </c>
      <c r="AI9" s="51">
        <v>42912</v>
      </c>
      <c r="AJ9" s="112">
        <v>42912</v>
      </c>
      <c r="AK9" s="52">
        <v>42979</v>
      </c>
      <c r="AL9" s="112">
        <v>42979</v>
      </c>
      <c r="AM9" s="112"/>
      <c r="AN9" s="52"/>
      <c r="AO9" s="52" t="s">
        <v>166</v>
      </c>
      <c r="AP9" s="53" t="str">
        <f t="shared" si="9"/>
        <v>G</v>
      </c>
      <c r="AQ9" s="53" t="str">
        <f t="shared" si="10"/>
        <v>G</v>
      </c>
      <c r="AR9" s="53" t="str">
        <f t="shared" si="11"/>
        <v/>
      </c>
      <c r="AS9" s="54" t="str">
        <f t="shared" si="12"/>
        <v>G</v>
      </c>
      <c r="AT9" s="55">
        <v>42982</v>
      </c>
      <c r="AU9" s="113">
        <v>42912</v>
      </c>
      <c r="AV9" s="56">
        <v>43069</v>
      </c>
      <c r="AW9" s="113">
        <v>43069</v>
      </c>
      <c r="AX9" s="113"/>
      <c r="AY9" s="45" t="str">
        <f t="shared" si="13"/>
        <v/>
      </c>
      <c r="AZ9" s="45"/>
      <c r="BA9" s="57" t="str">
        <f t="shared" si="14"/>
        <v>G</v>
      </c>
      <c r="BB9" s="57" t="str">
        <f t="shared" si="15"/>
        <v>G</v>
      </c>
      <c r="BC9" s="57" t="str">
        <f t="shared" si="16"/>
        <v/>
      </c>
      <c r="BD9" s="58" t="str">
        <f t="shared" si="17"/>
        <v>G</v>
      </c>
      <c r="BE9" s="322">
        <v>500000</v>
      </c>
      <c r="BF9" s="323">
        <v>500000</v>
      </c>
      <c r="BG9" s="324">
        <f>VLOOKUP(A9,Finance!$A$3:$J$39,8,FALSE)</f>
        <v>-3181</v>
      </c>
      <c r="BH9" s="62">
        <v>61226</v>
      </c>
      <c r="BI9" s="60"/>
      <c r="BJ9" s="63">
        <f t="shared" si="18"/>
        <v>0</v>
      </c>
      <c r="BK9" s="63">
        <f t="shared" si="19"/>
        <v>-1.006362</v>
      </c>
      <c r="BL9" s="64" t="str">
        <f t="shared" si="20"/>
        <v>G</v>
      </c>
      <c r="BM9" s="122" t="s">
        <v>316</v>
      </c>
      <c r="BN9" s="19" t="s">
        <v>666</v>
      </c>
      <c r="BO9" s="65" t="str">
        <f>IF(AND(BL9="",BD9="",AS9="",W9=""),"",IF(AND(BL9="G",BD9="G",AS9="G",W9="G"),"G",IF(OR(BL9="R",BD9="R",AS9="R",W9="R"),"R",VLOOKUP(CONCATENATE(W9,AS9,BD9,BL9),'Rag Coding'!A:B,2,FALSE))))</f>
        <v>G</v>
      </c>
      <c r="BP9" s="310" t="str">
        <f>'Dashboard Page'!U10</f>
        <v>John to progress getting final approval for the CDS from Paul Grant by 31st July to enable the scaffolding to be erected in mid August.</v>
      </c>
      <c r="BQ9" s="39" t="str">
        <f t="shared" ca="1" si="21"/>
        <v/>
      </c>
      <c r="BR9" s="39" t="str">
        <f t="shared" ca="1" si="22"/>
        <v/>
      </c>
      <c r="BS9" s="39" t="str">
        <f t="shared" ca="1" si="23"/>
        <v xml:space="preserve">Completed </v>
      </c>
      <c r="BT9" s="39" t="str">
        <f t="shared" ca="1" si="24"/>
        <v>on time</v>
      </c>
      <c r="BU9" s="39" t="str">
        <f t="shared" ca="1" si="25"/>
        <v>Forecast Completion on 1-9-2017
on time</v>
      </c>
      <c r="BV9" s="39" t="str">
        <f t="shared" ca="1" si="26"/>
        <v/>
      </c>
      <c r="BW9" s="39" t="str">
        <f t="shared" ca="1" si="27"/>
        <v>Forecast Completion on 30-11-2017
on time</v>
      </c>
      <c r="BX9" s="39" t="str">
        <f t="shared" ca="1" si="28"/>
        <v/>
      </c>
      <c r="BY9" s="39" t="str">
        <f t="shared" ca="1" si="29"/>
        <v>Current Forecast Spend £500000</v>
      </c>
      <c r="BZ9" s="39" t="str">
        <f t="shared" si="30"/>
        <v>Stage Gate 5</v>
      </c>
    </row>
    <row r="10" spans="1:78" ht="63" customHeight="1" x14ac:dyDescent="0.2">
      <c r="A10" s="216" t="s">
        <v>343</v>
      </c>
      <c r="B10" s="21"/>
      <c r="C10" s="21" t="s">
        <v>344</v>
      </c>
      <c r="D10" s="20" t="s">
        <v>87</v>
      </c>
      <c r="E10" s="20" t="s">
        <v>249</v>
      </c>
      <c r="F10" s="100" t="s">
        <v>528</v>
      </c>
      <c r="G10" s="100" t="s">
        <v>99</v>
      </c>
      <c r="H10" s="357">
        <v>42689</v>
      </c>
      <c r="I10" s="315">
        <f>IF(H10="","",DATE(YEAR(H10),MONTH(H10)+2,DAY(H10)+3))</f>
        <v>42753</v>
      </c>
      <c r="J10" s="356">
        <v>42811</v>
      </c>
      <c r="K10" s="154" t="str">
        <f t="shared" si="0"/>
        <v>Completed
17/03/2017</v>
      </c>
      <c r="L10" s="317" t="str">
        <f t="shared" ca="1" si="1"/>
        <v>G</v>
      </c>
      <c r="M10" s="140"/>
      <c r="N10" s="112"/>
      <c r="O10" s="52"/>
      <c r="P10" s="113"/>
      <c r="Q10" s="112"/>
      <c r="R10" s="28"/>
      <c r="S10" s="28"/>
      <c r="T10" s="53" t="str">
        <f t="shared" si="2"/>
        <v/>
      </c>
      <c r="U10" s="53" t="str">
        <f t="shared" si="3"/>
        <v/>
      </c>
      <c r="V10" s="53" t="str">
        <f t="shared" si="4"/>
        <v/>
      </c>
      <c r="W10" s="54" t="str">
        <f t="shared" si="32"/>
        <v/>
      </c>
      <c r="X10" s="51"/>
      <c r="Y10" s="112"/>
      <c r="Z10" s="52"/>
      <c r="AA10" s="112"/>
      <c r="AB10" s="112"/>
      <c r="AC10" s="52"/>
      <c r="AD10" s="52"/>
      <c r="AE10" s="53" t="str">
        <f t="shared" si="5"/>
        <v/>
      </c>
      <c r="AF10" s="53" t="str">
        <f t="shared" si="6"/>
        <v/>
      </c>
      <c r="AG10" s="53" t="str">
        <f t="shared" si="7"/>
        <v/>
      </c>
      <c r="AH10" s="54" t="str">
        <f t="shared" si="8"/>
        <v/>
      </c>
      <c r="AI10" s="51"/>
      <c r="AJ10" s="112"/>
      <c r="AK10" s="52"/>
      <c r="AL10" s="112"/>
      <c r="AM10" s="112"/>
      <c r="AN10" s="52"/>
      <c r="AO10" s="52" t="s">
        <v>622</v>
      </c>
      <c r="AP10" s="53" t="str">
        <f t="shared" si="9"/>
        <v/>
      </c>
      <c r="AQ10" s="53" t="str">
        <f t="shared" si="10"/>
        <v/>
      </c>
      <c r="AR10" s="53" t="str">
        <f t="shared" si="11"/>
        <v/>
      </c>
      <c r="AS10" s="54" t="str">
        <f t="shared" si="12"/>
        <v/>
      </c>
      <c r="AT10" s="55"/>
      <c r="AU10" s="113"/>
      <c r="AV10" s="56"/>
      <c r="AW10" s="113"/>
      <c r="AX10" s="113"/>
      <c r="AY10" s="45" t="str">
        <f t="shared" si="13"/>
        <v/>
      </c>
      <c r="AZ10" s="45"/>
      <c r="BA10" s="57" t="str">
        <f t="shared" si="14"/>
        <v/>
      </c>
      <c r="BB10" s="57" t="str">
        <f t="shared" si="15"/>
        <v/>
      </c>
      <c r="BC10" s="57" t="str">
        <f t="shared" si="16"/>
        <v/>
      </c>
      <c r="BD10" s="58" t="str">
        <f t="shared" si="17"/>
        <v/>
      </c>
      <c r="BE10" s="322">
        <v>750000</v>
      </c>
      <c r="BF10" s="325">
        <v>750000</v>
      </c>
      <c r="BG10" s="324">
        <f>VLOOKUP(A10,Finance!A$3:$J$39,8,FALSE)</f>
        <v>5350</v>
      </c>
      <c r="BH10" s="59">
        <v>288000</v>
      </c>
      <c r="BI10" s="60"/>
      <c r="BJ10" s="63">
        <f t="shared" si="18"/>
        <v>0</v>
      </c>
      <c r="BK10" s="63">
        <f t="shared" si="19"/>
        <v>-0.99286666666666668</v>
      </c>
      <c r="BL10" s="64" t="str">
        <f t="shared" si="20"/>
        <v>G</v>
      </c>
      <c r="BM10" s="18" t="s">
        <v>655</v>
      </c>
      <c r="BN10" s="121" t="s">
        <v>665</v>
      </c>
      <c r="BO10" s="65" t="str">
        <f>IF(AND(BL10="",BD10="",AS10="",W10=""),"",IF(AND(BL10="G",BD10="G",AS10="G",W10="G"),"G",IF(OR(BL10="R",BD10="R",AS10="R",W10="R"),"R",VLOOKUP(CONCATENATE(W10,AS10,BD10,BL10),'Rag Coding'!A:B,2,FALSE))))</f>
        <v>G</v>
      </c>
      <c r="BP10" s="310">
        <f>'Dashboard Page'!U11</f>
        <v>0</v>
      </c>
      <c r="BQ10" s="39" t="str">
        <f t="shared" ca="1" si="21"/>
        <v/>
      </c>
      <c r="BR10" s="39" t="str">
        <f t="shared" ca="1" si="22"/>
        <v/>
      </c>
      <c r="BS10" s="39" t="str">
        <f t="shared" ca="1" si="23"/>
        <v/>
      </c>
      <c r="BT10" s="39" t="str">
        <f t="shared" ca="1" si="24"/>
        <v/>
      </c>
      <c r="BU10" s="39" t="str">
        <f t="shared" ca="1" si="25"/>
        <v/>
      </c>
      <c r="BV10" s="39" t="str">
        <f t="shared" ca="1" si="26"/>
        <v/>
      </c>
      <c r="BW10" s="39" t="str">
        <f t="shared" ca="1" si="27"/>
        <v/>
      </c>
      <c r="BX10" s="39" t="str">
        <f t="shared" ca="1" si="28"/>
        <v/>
      </c>
      <c r="BY10" s="39" t="str">
        <f t="shared" ca="1" si="29"/>
        <v>Current Forecast Spend £750000</v>
      </c>
      <c r="BZ10" s="39" t="str">
        <f t="shared" si="30"/>
        <v>Stage Gate 1</v>
      </c>
    </row>
    <row r="11" spans="1:78" ht="33.75" x14ac:dyDescent="0.2">
      <c r="A11" s="216" t="s">
        <v>544</v>
      </c>
      <c r="B11" s="21"/>
      <c r="C11" s="21" t="s">
        <v>533</v>
      </c>
      <c r="D11" s="20" t="s">
        <v>85</v>
      </c>
      <c r="E11" s="20" t="s">
        <v>104</v>
      </c>
      <c r="F11" s="100"/>
      <c r="G11" s="100" t="s">
        <v>100</v>
      </c>
      <c r="H11" s="357">
        <v>42740</v>
      </c>
      <c r="I11" s="315">
        <f t="shared" ref="I11:I40" si="33">IF(H11="","",DATE(YEAR(H11),MONTH(H11)+1,DAY(H11)))</f>
        <v>42771</v>
      </c>
      <c r="J11" s="356"/>
      <c r="K11" s="154" t="str">
        <f t="shared" ref="K11:K40" si="34">IF(H11="","",IF(J11="","Board Date"&amp;CHAR(10)&amp;TEXT(I11,"dd/mm/yyyy"),"Completed"&amp;CHAR(10)&amp;TEXT(J11,"dd/mm/yyyy")))</f>
        <v>Board Date
05/02/2017</v>
      </c>
      <c r="L11" s="317" t="str">
        <f t="shared" ca="1" si="1"/>
        <v>R</v>
      </c>
      <c r="M11" s="140"/>
      <c r="N11" s="112"/>
      <c r="O11" s="52"/>
      <c r="P11" s="113"/>
      <c r="Q11" s="112"/>
      <c r="R11" s="28"/>
      <c r="S11" s="28"/>
      <c r="T11" s="53" t="str">
        <f t="shared" si="2"/>
        <v/>
      </c>
      <c r="U11" s="53" t="str">
        <f t="shared" si="3"/>
        <v/>
      </c>
      <c r="V11" s="53" t="str">
        <f t="shared" si="4"/>
        <v/>
      </c>
      <c r="W11" s="54" t="str">
        <f t="shared" si="32"/>
        <v/>
      </c>
      <c r="X11" s="51"/>
      <c r="Y11" s="112"/>
      <c r="Z11" s="52"/>
      <c r="AA11" s="112"/>
      <c r="AB11" s="112"/>
      <c r="AC11" s="52"/>
      <c r="AD11" s="52"/>
      <c r="AE11" s="53" t="str">
        <f t="shared" si="5"/>
        <v/>
      </c>
      <c r="AF11" s="53" t="str">
        <f t="shared" si="6"/>
        <v/>
      </c>
      <c r="AG11" s="53" t="str">
        <f t="shared" si="7"/>
        <v/>
      </c>
      <c r="AH11" s="54" t="str">
        <f t="shared" si="8"/>
        <v/>
      </c>
      <c r="AI11" s="51"/>
      <c r="AJ11" s="112"/>
      <c r="AK11" s="52"/>
      <c r="AL11" s="112"/>
      <c r="AM11" s="112"/>
      <c r="AN11" s="52"/>
      <c r="AO11" s="52"/>
      <c r="AP11" s="53" t="str">
        <f t="shared" ref="AP11:AP40" si="35">IFERROR(IF(1-(AJ11-AI11)/(AK11-AI11)&gt;0.9,"G",IF(1-(AJ11-AI11)/(AK11-AI11)&gt;0.85,"A","R")),"")</f>
        <v/>
      </c>
      <c r="AQ11" s="53" t="str">
        <f t="shared" ref="AQ11:AQ40" si="36">IF(AL11="","",IF((AK11-AI11)/(AL11-AI11)&gt;0.9,"G",(IF((AK11-AI11)/(AL11-AI11)&gt;0.85,"A","R"))))</f>
        <v/>
      </c>
      <c r="AR11" s="53" t="str">
        <f t="shared" ref="AR11:AR40" si="37">IF(AM11="","",IF((AK11-AI11)/(AM11-AI11)&gt;0.9,"G",(IF((AK11-AI11)/(AM11-AI11)&gt;0.85,"A","R"))))</f>
        <v/>
      </c>
      <c r="AS11" s="54" t="str">
        <f t="shared" ref="AS11:AS40" si="38">IF(AR11="",IF(AQ11="",AP11,AQ11),AR11)</f>
        <v/>
      </c>
      <c r="AT11" s="55"/>
      <c r="AU11" s="113"/>
      <c r="AV11" s="56"/>
      <c r="AW11" s="113"/>
      <c r="AX11" s="113"/>
      <c r="AY11" s="45" t="str">
        <f t="shared" si="13"/>
        <v/>
      </c>
      <c r="AZ11" s="45"/>
      <c r="BA11" s="57" t="str">
        <f t="shared" si="14"/>
        <v/>
      </c>
      <c r="BB11" s="57" t="str">
        <f t="shared" si="15"/>
        <v/>
      </c>
      <c r="BC11" s="57" t="str">
        <f t="shared" si="16"/>
        <v/>
      </c>
      <c r="BD11" s="58" t="str">
        <f t="shared" ref="BD11:BD40" si="39">IF(BC11="",IF(BB11="",BA11,BB11),BC11)</f>
        <v/>
      </c>
      <c r="BE11" s="322">
        <v>85368</v>
      </c>
      <c r="BF11" s="323">
        <v>85368</v>
      </c>
      <c r="BG11" s="324" t="e">
        <f>VLOOKUP(A11,Finance!$A$3:$J$39,8,FALSE)</f>
        <v>#N/A</v>
      </c>
      <c r="BH11" s="62">
        <v>85368</v>
      </c>
      <c r="BI11" s="60"/>
      <c r="BJ11" s="63">
        <f t="shared" ref="BJ11:BJ40" si="40">(BF11-BE11)/BE11</f>
        <v>0</v>
      </c>
      <c r="BK11" s="63" t="e">
        <f t="shared" ref="BK11:BK40" si="41">(BG11-BE11)/BE11</f>
        <v>#N/A</v>
      </c>
      <c r="BL11" s="64" t="e">
        <f>IF(BE11="","",IF(AND(BJ11&lt;0.025,BK11&lt;0.025),"G",IF(OR(BJ11&gt;0.05,BK11&gt;0.05),"R",IF(AND(BJ11&gt;0.025,BK11&gt;0.025),"A","G"))))</f>
        <v>#N/A</v>
      </c>
      <c r="BM11" s="18"/>
      <c r="BN11" s="19"/>
      <c r="BO11" s="65" t="e">
        <f>IF(AND(BL11="",BD11="",AS11="",W11=""),"",IF(AND(BL11="G",BD11="G",AS11="G",W11="G"),"G",IF(OR(BL11="R",BD11="R",AS11="R",W11="R"),"R",VLOOKUP(CONCATENATE(W11,AS11,BD11,BL11),'Rag Coding'!A:B,2,FALSE))))</f>
        <v>#N/A</v>
      </c>
      <c r="BP11" s="310">
        <f>'Dashboard Page'!U12</f>
        <v>0</v>
      </c>
      <c r="BQ11" s="39" t="str">
        <f t="shared" ca="1" si="21"/>
        <v/>
      </c>
      <c r="BR11" s="39" t="str">
        <f t="shared" ca="1" si="22"/>
        <v/>
      </c>
      <c r="BS11" s="39" t="str">
        <f t="shared" ca="1" si="23"/>
        <v/>
      </c>
      <c r="BT11" s="39" t="str">
        <f t="shared" ca="1" si="24"/>
        <v/>
      </c>
      <c r="BU11" s="39" t="str">
        <f t="shared" ca="1" si="25"/>
        <v/>
      </c>
      <c r="BV11" s="39" t="str">
        <f t="shared" ca="1" si="26"/>
        <v/>
      </c>
      <c r="BW11" s="39" t="str">
        <f t="shared" ca="1" si="27"/>
        <v/>
      </c>
      <c r="BX11" s="39" t="str">
        <f t="shared" ca="1" si="28"/>
        <v/>
      </c>
      <c r="BY11" s="39" t="str">
        <f t="shared" ca="1" si="29"/>
        <v>Current Forecast Spend £85368</v>
      </c>
      <c r="BZ11" s="39" t="str">
        <f t="shared" si="30"/>
        <v>Stage Gate 1</v>
      </c>
    </row>
    <row r="12" spans="1:78" ht="56.25" x14ac:dyDescent="0.2">
      <c r="A12" s="216" t="s">
        <v>575</v>
      </c>
      <c r="B12" s="308"/>
      <c r="C12" s="308" t="s">
        <v>573</v>
      </c>
      <c r="D12" s="307" t="s">
        <v>560</v>
      </c>
      <c r="E12" s="307" t="s">
        <v>109</v>
      </c>
      <c r="F12" s="307"/>
      <c r="G12" s="260" t="s">
        <v>178</v>
      </c>
      <c r="H12" s="358"/>
      <c r="I12" s="315" t="str">
        <f t="shared" ref="I12:I33" si="42">IF(H12="","",DATE(YEAR(H12),MONTH(H12)+1,DAY(H12)))</f>
        <v/>
      </c>
      <c r="J12" s="356"/>
      <c r="K12" s="333" t="str">
        <f t="shared" ref="K12:K33" si="43">IF(H12="","",IF(J12="","Board Date"&amp;CHAR(10)&amp;TEXT(I12,"dd/mm/yyyy"),"Completed"&amp;CHAR(10)&amp;TEXT(J12,"dd/mm/yyyy")))</f>
        <v/>
      </c>
      <c r="L12" s="317" t="str">
        <f t="shared" ca="1" si="1"/>
        <v/>
      </c>
      <c r="M12" s="332"/>
      <c r="N12" s="330"/>
      <c r="O12" s="315"/>
      <c r="P12" s="331"/>
      <c r="Q12" s="330"/>
      <c r="R12" s="309"/>
      <c r="S12" s="309"/>
      <c r="T12" s="316" t="str">
        <f t="shared" ref="T12:T33" si="44">IFERROR(IF(1-(N12-M12)/(O12-M12)&gt;0.9,"G",IF(1-(N12-M12)/(O12-M12)&gt;0.85,"A","R")),"")</f>
        <v/>
      </c>
      <c r="U12" s="316" t="str">
        <f t="shared" ref="U12:U33" si="45">IF(P12="","",IF((O12-M12)/(P12-M12)&gt;0.9,"G",(IF((O12-M12)/(P12-M12)&gt;0.85,"A","R"))))</f>
        <v/>
      </c>
      <c r="V12" s="316" t="str">
        <f t="shared" ref="V12:V33" si="46">IF(Q12="","",IF((O12-M12)/(Q12-M12)&gt;0.9,"G",(IF((O12-M12)/(Q12-M12)&gt;0.85,"A","R"))))</f>
        <v/>
      </c>
      <c r="W12" s="317" t="str">
        <f t="shared" ref="W12:W33" si="47">IF(V12="",IF(U12="",T12,U12),V12)</f>
        <v/>
      </c>
      <c r="X12" s="314"/>
      <c r="Y12" s="330"/>
      <c r="Z12" s="315"/>
      <c r="AA12" s="330"/>
      <c r="AB12" s="330"/>
      <c r="AC12" s="315"/>
      <c r="AD12" s="315"/>
      <c r="AE12" s="316" t="str">
        <f t="shared" ref="AE12:AE33" si="48">IFERROR(IF(1-(Y12-X12)/(Z12-X12)&gt;0.9,"G",IF(1-(Y12-X12)/(Z12-X12)&gt;0.85,"A","R")),"")</f>
        <v/>
      </c>
      <c r="AF12" s="316" t="str">
        <f t="shared" ref="AF12:AF33" si="49">IF(AA12="","",IF((Z12-X12)/(AA12-X12)&gt;0.9,"G",(IF((Z12-X12)/(AA12-X12)&gt;0.85,"A","R"))))</f>
        <v/>
      </c>
      <c r="AG12" s="316" t="str">
        <f t="shared" ref="AG12:AG33" si="50">IF(AB12="","",IF((Z12-X12)/(AB12-X12)&gt;0.9,"G",(IF((Z12-X12)/(AB12-X12)&gt;0.85,"A","R"))))</f>
        <v/>
      </c>
      <c r="AH12" s="317" t="str">
        <f t="shared" ref="AH12:AH33" si="51">IF(AG12="",IF(AF12="",AE12,AF12),AG12)</f>
        <v/>
      </c>
      <c r="AI12" s="314"/>
      <c r="AJ12" s="330"/>
      <c r="AK12" s="315"/>
      <c r="AL12" s="330"/>
      <c r="AM12" s="330"/>
      <c r="AN12" s="315"/>
      <c r="AO12" s="315"/>
      <c r="AP12" s="316" t="str">
        <f t="shared" ref="AP12:AP33" si="52">IFERROR(IF(1-(AJ12-AI12)/(AK12-AI12)&gt;0.9,"G",IF(1-(AJ12-AI12)/(AK12-AI12)&gt;0.85,"A","R")),"")</f>
        <v/>
      </c>
      <c r="AQ12" s="316" t="str">
        <f t="shared" ref="AQ12:AQ33" si="53">IF(AL12="","",IF((AK12-AI12)/(AL12-AI12)&gt;0.9,"G",(IF((AK12-AI12)/(AL12-AI12)&gt;0.85,"A","R"))))</f>
        <v/>
      </c>
      <c r="AR12" s="316" t="str">
        <f t="shared" ref="AR12:AR33" si="54">IF(AM12="","",IF((AK12-AI12)/(AM12-AI12)&gt;0.9,"G",(IF((AK12-AI12)/(AM12-AI12)&gt;0.85,"A","R"))))</f>
        <v/>
      </c>
      <c r="AS12" s="317" t="str">
        <f t="shared" ref="AS12:AS33" si="55">IF(AR12="",IF(AQ12="",AP12,AQ12),AR12)</f>
        <v/>
      </c>
      <c r="AT12" s="318">
        <v>42814</v>
      </c>
      <c r="AU12" s="331">
        <v>42898</v>
      </c>
      <c r="AV12" s="319">
        <v>42828</v>
      </c>
      <c r="AW12" s="331">
        <v>42933</v>
      </c>
      <c r="AX12" s="331">
        <v>42937</v>
      </c>
      <c r="AY12" s="313">
        <f t="shared" ref="AY12:AY33" si="56">IF(AX12="","",DATE(YEAR(AX12),MONTH(AX12)+3,DAY(AX12)))</f>
        <v>43029</v>
      </c>
      <c r="AZ12" s="313"/>
      <c r="BA12" s="320" t="str">
        <f t="shared" si="14"/>
        <v>R</v>
      </c>
      <c r="BB12" s="320" t="str">
        <f t="shared" si="15"/>
        <v>R</v>
      </c>
      <c r="BC12" s="320" t="str">
        <f t="shared" si="16"/>
        <v>R</v>
      </c>
      <c r="BD12" s="321" t="str">
        <f t="shared" ref="BD12:BD33" si="57">IF(BC12="",IF(BB12="",BA12,BB12),BC12)</f>
        <v>R</v>
      </c>
      <c r="BE12" s="322">
        <v>107100</v>
      </c>
      <c r="BF12" s="323">
        <v>107100</v>
      </c>
      <c r="BG12" s="324" t="e">
        <f>VLOOKUP(A12,Finance!$A$3:$J$39,8,FALSE)</f>
        <v>#N/A</v>
      </c>
      <c r="BH12" s="325"/>
      <c r="BI12" s="323"/>
      <c r="BJ12" s="326">
        <f t="shared" ref="BJ12:BJ33" si="58">(BF12-BE12)/BE12</f>
        <v>0</v>
      </c>
      <c r="BK12" s="326" t="e">
        <f t="shared" ref="BK12:BK33" si="59">(BG12-BE12)/BE12</f>
        <v>#N/A</v>
      </c>
      <c r="BL12" s="327" t="e">
        <f t="shared" ref="BL12:BL33" si="60">IF(BE12="","",IF(AND(BJ12&lt;0.025,BK12&lt;0.025),"G",IF(OR(BJ12&gt;0.05,BK12&gt;0.05),"R",IF(AND(BJ12&gt;0.025,BK12&gt;0.025),"A","G"))))</f>
        <v>#N/A</v>
      </c>
      <c r="BM12" s="305" t="s">
        <v>631</v>
      </c>
      <c r="BN12" s="306" t="s">
        <v>660</v>
      </c>
      <c r="BO12" s="328" t="e">
        <f>IF(AND(BL12="",BD12="",AS12="",W12=""),"",IF(AND(BL12="G",BD12="G",AS12="G",W12="G"),"G",IF(OR(BL12="R",BD12="R",AS12="R",W12="R"),"R",VLOOKUP(CONCATENATE(W12,AS12,BD12,BL12),'Rag Coding'!A:B,2,FALSE))))</f>
        <v>#N/A</v>
      </c>
      <c r="BP12" s="310">
        <f>'Dashboard Page'!U13</f>
        <v>0</v>
      </c>
      <c r="BQ12" s="311" t="str">
        <f t="shared" ca="1" si="21"/>
        <v/>
      </c>
      <c r="BR12" s="311" t="str">
        <f t="shared" ca="1" si="22"/>
        <v/>
      </c>
      <c r="BS12" s="311" t="str">
        <f t="shared" ca="1" si="23"/>
        <v/>
      </c>
      <c r="BT12" s="311" t="str">
        <f t="shared" ca="1" si="24"/>
        <v/>
      </c>
      <c r="BU12" s="311" t="str">
        <f t="shared" ca="1" si="25"/>
        <v/>
      </c>
      <c r="BV12" s="311" t="str">
        <f t="shared" ca="1" si="26"/>
        <v/>
      </c>
      <c r="BW12" s="311" t="str">
        <f t="shared" ca="1" si="27"/>
        <v xml:space="preserve">Completed </v>
      </c>
      <c r="BX12" s="311" t="str">
        <f t="shared" ca="1" si="28"/>
        <v>109 day(s) late</v>
      </c>
      <c r="BY12" s="311" t="str">
        <f t="shared" ref="BY12:BY33" ca="1" si="61">IF(BW12="Completed ",IF(BF12-BE12&gt;0,"Over budget by £"&amp;(BF12-BE12),"Under budget by £"&amp;BE12-BF12),IF(BF12="","","Current Forecast Spend £"&amp;BF12))</f>
        <v>Under budget by £0</v>
      </c>
      <c r="BZ12" s="311" t="str">
        <f t="shared" si="30"/>
        <v>Stage Gate 5</v>
      </c>
    </row>
    <row r="13" spans="1:78" ht="33.75" x14ac:dyDescent="0.2">
      <c r="A13" s="312"/>
      <c r="B13" s="308"/>
      <c r="C13" s="308"/>
      <c r="D13" s="307"/>
      <c r="E13" s="307"/>
      <c r="F13" s="307"/>
      <c r="G13" s="260"/>
      <c r="H13" s="262"/>
      <c r="I13" s="335" t="str">
        <f t="shared" si="42"/>
        <v/>
      </c>
      <c r="J13" s="336"/>
      <c r="K13" s="333" t="str">
        <f t="shared" si="43"/>
        <v/>
      </c>
      <c r="L13" s="317" t="str">
        <f t="shared" ref="L13" ca="1" si="62">IF(AND(J13="",I13=""),"",IF(AND(J13="",I13&lt;TODAY()),"R","G"))</f>
        <v/>
      </c>
      <c r="M13" s="332"/>
      <c r="N13" s="330"/>
      <c r="O13" s="315"/>
      <c r="P13" s="331"/>
      <c r="Q13" s="330"/>
      <c r="R13" s="309"/>
      <c r="S13" s="309"/>
      <c r="T13" s="316" t="str">
        <f t="shared" si="44"/>
        <v/>
      </c>
      <c r="U13" s="316" t="str">
        <f t="shared" si="45"/>
        <v/>
      </c>
      <c r="V13" s="316" t="str">
        <f t="shared" si="46"/>
        <v/>
      </c>
      <c r="W13" s="317" t="str">
        <f t="shared" si="47"/>
        <v/>
      </c>
      <c r="X13" s="314"/>
      <c r="Y13" s="330"/>
      <c r="Z13" s="315"/>
      <c r="AA13" s="330"/>
      <c r="AB13" s="330"/>
      <c r="AC13" s="315"/>
      <c r="AD13" s="315"/>
      <c r="AE13" s="316" t="str">
        <f t="shared" si="48"/>
        <v/>
      </c>
      <c r="AF13" s="316" t="str">
        <f t="shared" si="49"/>
        <v/>
      </c>
      <c r="AG13" s="316" t="str">
        <f t="shared" si="50"/>
        <v/>
      </c>
      <c r="AH13" s="317" t="str">
        <f t="shared" si="51"/>
        <v/>
      </c>
      <c r="AI13" s="314"/>
      <c r="AJ13" s="330"/>
      <c r="AK13" s="315"/>
      <c r="AL13" s="330"/>
      <c r="AM13" s="330"/>
      <c r="AN13" s="315"/>
      <c r="AO13" s="315"/>
      <c r="AP13" s="316" t="str">
        <f t="shared" si="52"/>
        <v/>
      </c>
      <c r="AQ13" s="316" t="str">
        <f t="shared" si="53"/>
        <v/>
      </c>
      <c r="AR13" s="316" t="str">
        <f t="shared" si="54"/>
        <v/>
      </c>
      <c r="AS13" s="317" t="str">
        <f t="shared" si="55"/>
        <v/>
      </c>
      <c r="AT13" s="318"/>
      <c r="AU13" s="331"/>
      <c r="AV13" s="319"/>
      <c r="AW13" s="331"/>
      <c r="AX13" s="331"/>
      <c r="AY13" s="313" t="str">
        <f t="shared" si="56"/>
        <v/>
      </c>
      <c r="AZ13" s="313"/>
      <c r="BA13" s="320" t="str">
        <f t="shared" ref="BA13" si="63">IFERROR(IF(1-(AU13-AT13)/(AV13-AT13)&gt;0.9,"G",IF(1-(AU13-AT13)/(AV13-AT13)&gt;0.85,"A","R")),"")</f>
        <v/>
      </c>
      <c r="BB13" s="320" t="str">
        <f t="shared" ref="BB13" si="64">IF(AW13="","",IF((AV13-AT13)/(AW13-AT13)&gt;0.9,"G",(IF((AV13-AT13)/(AW13-AT13)&gt;0.85,"A","R"))))</f>
        <v/>
      </c>
      <c r="BC13" s="320" t="str">
        <f t="shared" ref="BC13" si="65">IF(AX13="","",IF((AV13-AT13)/(AX13-AT13)&gt;0.9,"G",(IF((AV13-AT13)/(AX13-AT13)&gt;0.85,"A","R"))))</f>
        <v/>
      </c>
      <c r="BD13" s="321" t="str">
        <f t="shared" si="57"/>
        <v/>
      </c>
      <c r="BE13" s="322"/>
      <c r="BF13" s="323"/>
      <c r="BG13" s="324" t="e">
        <f>VLOOKUP(A13,Finance!$A$3:$J$39,8,FALSE)</f>
        <v>#N/A</v>
      </c>
      <c r="BH13" s="325"/>
      <c r="BI13" s="323"/>
      <c r="BJ13" s="326" t="e">
        <f t="shared" si="58"/>
        <v>#DIV/0!</v>
      </c>
      <c r="BK13" s="326" t="e">
        <f t="shared" si="59"/>
        <v>#N/A</v>
      </c>
      <c r="BL13" s="327" t="str">
        <f t="shared" si="60"/>
        <v/>
      </c>
      <c r="BM13" s="305"/>
      <c r="BN13" s="306"/>
      <c r="BO13" s="328" t="str">
        <f>IF(AND(BL13="",BD13="",AS13="",W13=""),"",IF(AND(BL13="G",BD13="G",AS13="G",W13="G"),"G",IF(OR(BL13="R",BD13="R",AS13="R",W13="R"),"R",VLOOKUP(CONCATENATE(W13,AS13,BD13,BL13),'Rag Coding'!A:B,2,FALSE))))</f>
        <v/>
      </c>
      <c r="BP13" s="310">
        <f>'Dashboard Page'!U14</f>
        <v>0</v>
      </c>
      <c r="BQ13" s="311" t="str">
        <f t="shared" ref="BQ13" ca="1" si="66">IF(M13="","",IF(V13&lt;&gt;"","Completed ",IF(AND(U13&lt;&gt;"",P13&gt;TODAY()),"Forecast Completion on "&amp;DAY(P13)&amp;"-"&amp;MONTH(P13)&amp;"-"&amp;YEAR(P13)&amp;CHAR(10)&amp;IF(P13-O13&gt;0,(P13-O13)&amp;" day(s) late",(IF(P13-O13=0,"on time",(O13-P13)&amp;" day(s) early"))),IF(P13&lt;TODAY(),"Forecast Completion in the past, please update","Baseline Complete"))))</f>
        <v/>
      </c>
      <c r="BR13" s="311" t="str">
        <f t="shared" ref="BR13" ca="1" si="67">IF(BQ13="Completed ",IF(Q13-O13&gt;0,Q13-O13&amp;" day(s) late",(IF(Q13-O13=0,"on time",O13-Q13&amp;" day(s) early"))),"")</f>
        <v/>
      </c>
      <c r="BS13" s="311" t="str">
        <f t="shared" ref="BS13" ca="1" si="68">IF(X13="","",IF(AG13&lt;&gt;"","Completed ",IF(AND(AF13&lt;&gt;"",AA13&gt;TODAY()),"Forecast Completion on "&amp;DAY(AA13)&amp;"-"&amp;MONTH(AA13)&amp;"-"&amp;YEAR(AA13)&amp;CHAR(10)&amp;IF(AA13-Z13&gt;0,(AA13-Z13)&amp;" day(s) late",(IF(AA13-Z13=0,"on time",(Z13-AA13)&amp;" day(s) early"))),IF(AA13&lt;TODAY(),"Forecast Completion in the past, please update","Baseline Complete"))))</f>
        <v/>
      </c>
      <c r="BT13" s="311" t="str">
        <f t="shared" ref="BT13" ca="1" si="69">IF(BS13="Completed ",IF(AB13-Z13&gt;0,AB13-Z13&amp;" day(s) late",(IF(AB13-Z13=0,"on time",Z13-AB13&amp;" day(s) early"))),"")</f>
        <v/>
      </c>
      <c r="BU13" s="311" t="str">
        <f t="shared" ref="BU13" ca="1" si="70">IF(AI13="","",IF(AR13&lt;&gt;"","Completed ",IF(AND(AQ13&lt;&gt;"",AL13&gt;TODAY()),"Forecast Completion on "&amp;DAY(AL13)&amp;"-"&amp;MONTH(AL13)&amp;"-"&amp;YEAR(AL13)&amp;CHAR(10)&amp;IF(AL13-AK13&gt;0,(AL13-AK13)&amp;" day(s) late",(IF(AL13-AK13=0,"on time",(AK13-AL13)&amp;" day(s) early"))),IF(AL13&lt;TODAY(),"Forecast Completion in the past, please update","Baseline Complete"))))</f>
        <v/>
      </c>
      <c r="BV13" s="311" t="str">
        <f t="shared" ref="BV13" ca="1" si="71">IF(BU13="Completed ",IF(AM13-AK13&gt;0,AM13-AK13&amp;" day(s) late",(IF(AM13-AK13=0,"on time",AK13-AM13&amp;" day(s) early"))),"")</f>
        <v/>
      </c>
      <c r="BW13" s="311" t="str">
        <f t="shared" ref="BW13" ca="1" si="72">IF(AT13="","",IF(BC13&lt;&gt;"","Completed ",IF(AND(BB13&lt;&gt;"",AW13&gt;TODAY()),"Forecast Completion on "&amp;DAY(AW13)&amp;"-"&amp;MONTH(AW13)&amp;"-"&amp;YEAR(AW13)&amp;CHAR(10)&amp;IF(AW13-AV13&gt;0,(AW13-AV13)&amp;" day(s) late",(IF(AW13-AV13=0,"on time",(AV13-AW13)&amp;" day(s) early"))),IF(AW13&lt;TODAY(),"Forecast Completion in the past, please update","Baseline Complete"))))</f>
        <v/>
      </c>
      <c r="BX13" s="311" t="str">
        <f t="shared" ref="BX13" ca="1" si="73">IF(BW13="Completed ",IF(AX13-AV13&gt;0,AX13-AV13&amp;" day(s) late",(IF(AX13-AV13=0,"on time",AV13-AX13&amp;" day(s) early"))),"")</f>
        <v/>
      </c>
      <c r="BY13" s="311" t="str">
        <f t="shared" ca="1" si="61"/>
        <v/>
      </c>
      <c r="BZ13" s="311" t="str">
        <f t="shared" ref="BZ13:BZ18" si="74">IF(COUNTA(AT13:AX13),"Stage Gate 5",IF(COUNTA(AI13:AM13),"Stage Gate 4", IF(COUNTA(X13:AB13),"Stage Gate 3",  IF(COUNTA(M13:Q13),"Stage Gate 2", "Stage Gate 1"))))</f>
        <v>Stage Gate 1</v>
      </c>
    </row>
    <row r="14" spans="1:78" ht="33.75" x14ac:dyDescent="0.2">
      <c r="A14" s="312"/>
      <c r="B14" s="308"/>
      <c r="C14" s="308"/>
      <c r="D14" s="307"/>
      <c r="E14" s="307"/>
      <c r="F14" s="307"/>
      <c r="G14" s="260"/>
      <c r="H14" s="262"/>
      <c r="I14" s="335" t="str">
        <f t="shared" si="42"/>
        <v/>
      </c>
      <c r="J14" s="336"/>
      <c r="K14" s="333" t="str">
        <f t="shared" si="43"/>
        <v/>
      </c>
      <c r="L14" s="317" t="str">
        <f t="shared" ref="L14" ca="1" si="75">IF(AND(J14="",I14=""),"",IF(AND(J14="",I14&lt;TODAY()),"R","G"))</f>
        <v/>
      </c>
      <c r="M14" s="332"/>
      <c r="N14" s="330"/>
      <c r="O14" s="315"/>
      <c r="P14" s="331"/>
      <c r="Q14" s="330"/>
      <c r="R14" s="309"/>
      <c r="S14" s="309"/>
      <c r="T14" s="316" t="str">
        <f t="shared" si="44"/>
        <v/>
      </c>
      <c r="U14" s="316" t="str">
        <f t="shared" si="45"/>
        <v/>
      </c>
      <c r="V14" s="316" t="str">
        <f t="shared" si="46"/>
        <v/>
      </c>
      <c r="W14" s="317" t="str">
        <f t="shared" si="47"/>
        <v/>
      </c>
      <c r="X14" s="314"/>
      <c r="Y14" s="330"/>
      <c r="Z14" s="315"/>
      <c r="AA14" s="330"/>
      <c r="AB14" s="330"/>
      <c r="AC14" s="315"/>
      <c r="AD14" s="315"/>
      <c r="AE14" s="316" t="str">
        <f t="shared" si="48"/>
        <v/>
      </c>
      <c r="AF14" s="316" t="str">
        <f t="shared" si="49"/>
        <v/>
      </c>
      <c r="AG14" s="316" t="str">
        <f t="shared" si="50"/>
        <v/>
      </c>
      <c r="AH14" s="317" t="str">
        <f t="shared" si="51"/>
        <v/>
      </c>
      <c r="AI14" s="314"/>
      <c r="AJ14" s="330"/>
      <c r="AK14" s="315"/>
      <c r="AL14" s="330"/>
      <c r="AM14" s="330"/>
      <c r="AN14" s="315"/>
      <c r="AO14" s="315"/>
      <c r="AP14" s="316" t="str">
        <f t="shared" si="52"/>
        <v/>
      </c>
      <c r="AQ14" s="316" t="str">
        <f t="shared" si="53"/>
        <v/>
      </c>
      <c r="AR14" s="316" t="str">
        <f t="shared" si="54"/>
        <v/>
      </c>
      <c r="AS14" s="317" t="str">
        <f t="shared" si="55"/>
        <v/>
      </c>
      <c r="AT14" s="318"/>
      <c r="AU14" s="331"/>
      <c r="AV14" s="319"/>
      <c r="AW14" s="331"/>
      <c r="AX14" s="331"/>
      <c r="AY14" s="313" t="str">
        <f t="shared" si="56"/>
        <v/>
      </c>
      <c r="AZ14" s="313"/>
      <c r="BA14" s="320" t="str">
        <f t="shared" ref="BA14" si="76">IFERROR(IF(1-(AU14-AT14)/(AV14-AT14)&gt;0.9,"G",IF(1-(AU14-AT14)/(AV14-AT14)&gt;0.85,"A","R")),"")</f>
        <v/>
      </c>
      <c r="BB14" s="320" t="str">
        <f t="shared" ref="BB14" si="77">IF(AW14="","",IF((AV14-AT14)/(AW14-AT14)&gt;0.9,"G",(IF((AV14-AT14)/(AW14-AT14)&gt;0.85,"A","R"))))</f>
        <v/>
      </c>
      <c r="BC14" s="320" t="str">
        <f t="shared" ref="BC14" si="78">IF(AX14="","",IF((AV14-AT14)/(AX14-AT14)&gt;0.9,"G",(IF((AV14-AT14)/(AX14-AT14)&gt;0.85,"A","R"))))</f>
        <v/>
      </c>
      <c r="BD14" s="321" t="str">
        <f t="shared" si="57"/>
        <v/>
      </c>
      <c r="BE14" s="322"/>
      <c r="BF14" s="323"/>
      <c r="BG14" s="324" t="e">
        <f>VLOOKUP(A14,Finance!$A$3:$J$39,8,FALSE)</f>
        <v>#N/A</v>
      </c>
      <c r="BH14" s="325"/>
      <c r="BI14" s="323"/>
      <c r="BJ14" s="326" t="e">
        <f t="shared" si="58"/>
        <v>#DIV/0!</v>
      </c>
      <c r="BK14" s="326" t="e">
        <f t="shared" si="59"/>
        <v>#N/A</v>
      </c>
      <c r="BL14" s="327" t="str">
        <f t="shared" si="60"/>
        <v/>
      </c>
      <c r="BM14" s="305"/>
      <c r="BN14" s="306"/>
      <c r="BO14" s="328" t="str">
        <f>IF(AND(BL14="",BD14="",AS14="",W14=""),"",IF(AND(BL14="G",BD14="G",AS14="G",W14="G"),"G",IF(OR(BL14="R",BD14="R",AS14="R",W14="R"),"R",VLOOKUP(CONCATENATE(W14,AS14,BD14,BL14),'Rag Coding'!A:B,2,FALSE))))</f>
        <v/>
      </c>
      <c r="BP14" s="310">
        <f>'Dashboard Page'!U15</f>
        <v>0</v>
      </c>
      <c r="BQ14" s="311" t="str">
        <f t="shared" ref="BQ14" ca="1" si="79">IF(M14="","",IF(V14&lt;&gt;"","Completed ",IF(AND(U14&lt;&gt;"",P14&gt;TODAY()),"Forecast Completion on "&amp;DAY(P14)&amp;"-"&amp;MONTH(P14)&amp;"-"&amp;YEAR(P14)&amp;CHAR(10)&amp;IF(P14-O14&gt;0,(P14-O14)&amp;" day(s) late",(IF(P14-O14=0,"on time",(O14-P14)&amp;" day(s) early"))),IF(P14&lt;TODAY(),"Forecast Completion in the past, please update","Baseline Complete"))))</f>
        <v/>
      </c>
      <c r="BR14" s="311" t="str">
        <f t="shared" ref="BR14" ca="1" si="80">IF(BQ14="Completed ",IF(Q14-O14&gt;0,Q14-O14&amp;" day(s) late",(IF(Q14-O14=0,"on time",O14-Q14&amp;" day(s) early"))),"")</f>
        <v/>
      </c>
      <c r="BS14" s="311" t="str">
        <f t="shared" ref="BS14" ca="1" si="81">IF(X14="","",IF(AG14&lt;&gt;"","Completed ",IF(AND(AF14&lt;&gt;"",AA14&gt;TODAY()),"Forecast Completion on "&amp;DAY(AA14)&amp;"-"&amp;MONTH(AA14)&amp;"-"&amp;YEAR(AA14)&amp;CHAR(10)&amp;IF(AA14-Z14&gt;0,(AA14-Z14)&amp;" day(s) late",(IF(AA14-Z14=0,"on time",(Z14-AA14)&amp;" day(s) early"))),IF(AA14&lt;TODAY(),"Forecast Completion in the past, please update","Baseline Complete"))))</f>
        <v/>
      </c>
      <c r="BT14" s="311" t="str">
        <f t="shared" ref="BT14" ca="1" si="82">IF(BS14="Completed ",IF(AB14-Z14&gt;0,AB14-Z14&amp;" day(s) late",(IF(AB14-Z14=0,"on time",Z14-AB14&amp;" day(s) early"))),"")</f>
        <v/>
      </c>
      <c r="BU14" s="311" t="str">
        <f t="shared" ref="BU14" ca="1" si="83">IF(AI14="","",IF(AR14&lt;&gt;"","Completed ",IF(AND(AQ14&lt;&gt;"",AL14&gt;TODAY()),"Forecast Completion on "&amp;DAY(AL14)&amp;"-"&amp;MONTH(AL14)&amp;"-"&amp;YEAR(AL14)&amp;CHAR(10)&amp;IF(AL14-AK14&gt;0,(AL14-AK14)&amp;" day(s) late",(IF(AL14-AK14=0,"on time",(AK14-AL14)&amp;" day(s) early"))),IF(AL14&lt;TODAY(),"Forecast Completion in the past, please update","Baseline Complete"))))</f>
        <v/>
      </c>
      <c r="BV14" s="311" t="str">
        <f t="shared" ref="BV14" ca="1" si="84">IF(BU14="Completed ",IF(AM14-AK14&gt;0,AM14-AK14&amp;" day(s) late",(IF(AM14-AK14=0,"on time",AK14-AM14&amp;" day(s) early"))),"")</f>
        <v/>
      </c>
      <c r="BW14" s="311" t="str">
        <f t="shared" ref="BW14" ca="1" si="85">IF(AT14="","",IF(BC14&lt;&gt;"","Completed ",IF(AND(BB14&lt;&gt;"",AW14&gt;TODAY()),"Forecast Completion on "&amp;DAY(AW14)&amp;"-"&amp;MONTH(AW14)&amp;"-"&amp;YEAR(AW14)&amp;CHAR(10)&amp;IF(AW14-AV14&gt;0,(AW14-AV14)&amp;" day(s) late",(IF(AW14-AV14=0,"on time",(AV14-AW14)&amp;" day(s) early"))),IF(AW14&lt;TODAY(),"Forecast Completion in the past, please update","Baseline Complete"))))</f>
        <v/>
      </c>
      <c r="BX14" s="311" t="str">
        <f t="shared" ref="BX14" ca="1" si="86">IF(BW14="Completed ",IF(AX14-AV14&gt;0,AX14-AV14&amp;" day(s) late",(IF(AX14-AV14=0,"on time",AV14-AX14&amp;" day(s) early"))),"")</f>
        <v/>
      </c>
      <c r="BY14" s="311" t="str">
        <f t="shared" ca="1" si="61"/>
        <v/>
      </c>
      <c r="BZ14" s="311" t="str">
        <f t="shared" si="74"/>
        <v>Stage Gate 1</v>
      </c>
    </row>
    <row r="15" spans="1:78" ht="33.75" x14ac:dyDescent="0.2">
      <c r="A15" s="312"/>
      <c r="B15" s="308"/>
      <c r="C15" s="308"/>
      <c r="D15" s="307"/>
      <c r="E15" s="307"/>
      <c r="F15" s="307"/>
      <c r="G15" s="260"/>
      <c r="H15" s="262"/>
      <c r="I15" s="335" t="str">
        <f t="shared" si="42"/>
        <v/>
      </c>
      <c r="J15" s="336"/>
      <c r="K15" s="333" t="str">
        <f t="shared" si="43"/>
        <v/>
      </c>
      <c r="L15" s="317" t="str">
        <f t="shared" ref="L15" ca="1" si="87">IF(AND(J15="",I15=""),"",IF(AND(J15="",I15&lt;TODAY()),"R","G"))</f>
        <v/>
      </c>
      <c r="M15" s="332"/>
      <c r="N15" s="330"/>
      <c r="O15" s="315"/>
      <c r="P15" s="331"/>
      <c r="Q15" s="330"/>
      <c r="R15" s="309"/>
      <c r="S15" s="309"/>
      <c r="T15" s="316" t="str">
        <f t="shared" si="44"/>
        <v/>
      </c>
      <c r="U15" s="316" t="str">
        <f t="shared" si="45"/>
        <v/>
      </c>
      <c r="V15" s="316" t="str">
        <f t="shared" si="46"/>
        <v/>
      </c>
      <c r="W15" s="317" t="str">
        <f t="shared" si="47"/>
        <v/>
      </c>
      <c r="X15" s="314"/>
      <c r="Y15" s="330"/>
      <c r="Z15" s="315"/>
      <c r="AA15" s="330"/>
      <c r="AB15" s="330"/>
      <c r="AC15" s="315"/>
      <c r="AD15" s="315"/>
      <c r="AE15" s="316" t="str">
        <f t="shared" si="48"/>
        <v/>
      </c>
      <c r="AF15" s="316" t="str">
        <f t="shared" si="49"/>
        <v/>
      </c>
      <c r="AG15" s="316" t="str">
        <f t="shared" si="50"/>
        <v/>
      </c>
      <c r="AH15" s="317" t="str">
        <f t="shared" si="51"/>
        <v/>
      </c>
      <c r="AI15" s="314"/>
      <c r="AJ15" s="330"/>
      <c r="AK15" s="315"/>
      <c r="AL15" s="330"/>
      <c r="AM15" s="330"/>
      <c r="AN15" s="315"/>
      <c r="AO15" s="315"/>
      <c r="AP15" s="316" t="str">
        <f t="shared" si="52"/>
        <v/>
      </c>
      <c r="AQ15" s="316" t="str">
        <f t="shared" si="53"/>
        <v/>
      </c>
      <c r="AR15" s="316" t="str">
        <f t="shared" si="54"/>
        <v/>
      </c>
      <c r="AS15" s="317" t="str">
        <f t="shared" si="55"/>
        <v/>
      </c>
      <c r="AT15" s="318"/>
      <c r="AU15" s="331"/>
      <c r="AV15" s="319"/>
      <c r="AW15" s="331"/>
      <c r="AX15" s="331"/>
      <c r="AY15" s="313" t="str">
        <f t="shared" si="56"/>
        <v/>
      </c>
      <c r="AZ15" s="313"/>
      <c r="BA15" s="320" t="str">
        <f t="shared" ref="BA15" si="88">IFERROR(IF(1-(AU15-AT15)/(AV15-AT15)&gt;0.9,"G",IF(1-(AU15-AT15)/(AV15-AT15)&gt;0.85,"A","R")),"")</f>
        <v/>
      </c>
      <c r="BB15" s="320" t="str">
        <f t="shared" ref="BB15" si="89">IF(AW15="","",IF((AV15-AT15)/(AW15-AT15)&gt;0.9,"G",(IF((AV15-AT15)/(AW15-AT15)&gt;0.85,"A","R"))))</f>
        <v/>
      </c>
      <c r="BC15" s="320" t="str">
        <f t="shared" ref="BC15" si="90">IF(AX15="","",IF((AV15-AT15)/(AX15-AT15)&gt;0.9,"G",(IF((AV15-AT15)/(AX15-AT15)&gt;0.85,"A","R"))))</f>
        <v/>
      </c>
      <c r="BD15" s="321" t="str">
        <f t="shared" si="57"/>
        <v/>
      </c>
      <c r="BE15" s="322"/>
      <c r="BF15" s="323"/>
      <c r="BG15" s="324" t="e">
        <f>VLOOKUP(A15,Finance!$A$3:$J$39,8,FALSE)</f>
        <v>#N/A</v>
      </c>
      <c r="BH15" s="325"/>
      <c r="BI15" s="323"/>
      <c r="BJ15" s="326" t="e">
        <f t="shared" si="58"/>
        <v>#DIV/0!</v>
      </c>
      <c r="BK15" s="326" t="e">
        <f t="shared" si="59"/>
        <v>#N/A</v>
      </c>
      <c r="BL15" s="327" t="str">
        <f t="shared" si="60"/>
        <v/>
      </c>
      <c r="BM15" s="305"/>
      <c r="BN15" s="306"/>
      <c r="BO15" s="328" t="str">
        <f>IF(AND(BL15="",BD15="",AS15="",W15=""),"",IF(AND(BL15="G",BD15="G",AS15="G",W15="G"),"G",IF(OR(BL15="R",BD15="R",AS15="R",W15="R"),"R",VLOOKUP(CONCATENATE(W15,AS15,BD15,BL15),'Rag Coding'!A:B,2,FALSE))))</f>
        <v/>
      </c>
      <c r="BP15" s="310">
        <f>'Dashboard Page'!U16</f>
        <v>0</v>
      </c>
      <c r="BQ15" s="311" t="str">
        <f t="shared" ref="BQ15" ca="1" si="91">IF(M15="","",IF(V15&lt;&gt;"","Completed ",IF(AND(U15&lt;&gt;"",P15&gt;TODAY()),"Forecast Completion on "&amp;DAY(P15)&amp;"-"&amp;MONTH(P15)&amp;"-"&amp;YEAR(P15)&amp;CHAR(10)&amp;IF(P15-O15&gt;0,(P15-O15)&amp;" day(s) late",(IF(P15-O15=0,"on time",(O15-P15)&amp;" day(s) early"))),IF(P15&lt;TODAY(),"Forecast Completion in the past, please update","Baseline Complete"))))</f>
        <v/>
      </c>
      <c r="BR15" s="311" t="str">
        <f t="shared" ref="BR15" ca="1" si="92">IF(BQ15="Completed ",IF(Q15-O15&gt;0,Q15-O15&amp;" day(s) late",(IF(Q15-O15=0,"on time",O15-Q15&amp;" day(s) early"))),"")</f>
        <v/>
      </c>
      <c r="BS15" s="311" t="str">
        <f t="shared" ref="BS15" ca="1" si="93">IF(X15="","",IF(AG15&lt;&gt;"","Completed ",IF(AND(AF15&lt;&gt;"",AA15&gt;TODAY()),"Forecast Completion on "&amp;DAY(AA15)&amp;"-"&amp;MONTH(AA15)&amp;"-"&amp;YEAR(AA15)&amp;CHAR(10)&amp;IF(AA15-Z15&gt;0,(AA15-Z15)&amp;" day(s) late",(IF(AA15-Z15=0,"on time",(Z15-AA15)&amp;" day(s) early"))),IF(AA15&lt;TODAY(),"Forecast Completion in the past, please update","Baseline Complete"))))</f>
        <v/>
      </c>
      <c r="BT15" s="311" t="str">
        <f t="shared" ref="BT15" ca="1" si="94">IF(BS15="Completed ",IF(AB15-Z15&gt;0,AB15-Z15&amp;" day(s) late",(IF(AB15-Z15=0,"on time",Z15-AB15&amp;" day(s) early"))),"")</f>
        <v/>
      </c>
      <c r="BU15" s="311" t="str">
        <f t="shared" ref="BU15" ca="1" si="95">IF(AI15="","",IF(AR15&lt;&gt;"","Completed ",IF(AND(AQ15&lt;&gt;"",AL15&gt;TODAY()),"Forecast Completion on "&amp;DAY(AL15)&amp;"-"&amp;MONTH(AL15)&amp;"-"&amp;YEAR(AL15)&amp;CHAR(10)&amp;IF(AL15-AK15&gt;0,(AL15-AK15)&amp;" day(s) late",(IF(AL15-AK15=0,"on time",(AK15-AL15)&amp;" day(s) early"))),IF(AL15&lt;TODAY(),"Forecast Completion in the past, please update","Baseline Complete"))))</f>
        <v/>
      </c>
      <c r="BV15" s="311" t="str">
        <f t="shared" ref="BV15" ca="1" si="96">IF(BU15="Completed ",IF(AM15-AK15&gt;0,AM15-AK15&amp;" day(s) late",(IF(AM15-AK15=0,"on time",AK15-AM15&amp;" day(s) early"))),"")</f>
        <v/>
      </c>
      <c r="BW15" s="311" t="str">
        <f t="shared" ref="BW15" ca="1" si="97">IF(AT15="","",IF(BC15&lt;&gt;"","Completed ",IF(AND(BB15&lt;&gt;"",AW15&gt;TODAY()),"Forecast Completion on "&amp;DAY(AW15)&amp;"-"&amp;MONTH(AW15)&amp;"-"&amp;YEAR(AW15)&amp;CHAR(10)&amp;IF(AW15-AV15&gt;0,(AW15-AV15)&amp;" day(s) late",(IF(AW15-AV15=0,"on time",(AV15-AW15)&amp;" day(s) early"))),IF(AW15&lt;TODAY(),"Forecast Completion in the past, please update","Baseline Complete"))))</f>
        <v/>
      </c>
      <c r="BX15" s="311" t="str">
        <f t="shared" ref="BX15" ca="1" si="98">IF(BW15="Completed ",IF(AX15-AV15&gt;0,AX15-AV15&amp;" day(s) late",(IF(AX15-AV15=0,"on time",AV15-AX15&amp;" day(s) early"))),"")</f>
        <v/>
      </c>
      <c r="BY15" s="311" t="str">
        <f t="shared" ca="1" si="61"/>
        <v/>
      </c>
      <c r="BZ15" s="311" t="str">
        <f t="shared" si="74"/>
        <v>Stage Gate 1</v>
      </c>
    </row>
    <row r="16" spans="1:78" ht="33.75" x14ac:dyDescent="0.2">
      <c r="A16" s="312"/>
      <c r="B16" s="308"/>
      <c r="C16" s="308"/>
      <c r="D16" s="307"/>
      <c r="E16" s="307"/>
      <c r="F16" s="307"/>
      <c r="G16" s="260"/>
      <c r="H16" s="262"/>
      <c r="I16" s="335" t="str">
        <f t="shared" si="42"/>
        <v/>
      </c>
      <c r="J16" s="336"/>
      <c r="K16" s="333" t="str">
        <f t="shared" si="43"/>
        <v/>
      </c>
      <c r="L16" s="317" t="str">
        <f t="shared" ref="L16" ca="1" si="99">IF(AND(J16="",I16=""),"",IF(AND(J16="",I16&lt;TODAY()),"R","G"))</f>
        <v/>
      </c>
      <c r="M16" s="332"/>
      <c r="N16" s="330"/>
      <c r="O16" s="315"/>
      <c r="P16" s="331"/>
      <c r="Q16" s="330"/>
      <c r="R16" s="309"/>
      <c r="S16" s="309"/>
      <c r="T16" s="316" t="str">
        <f t="shared" si="44"/>
        <v/>
      </c>
      <c r="U16" s="316" t="str">
        <f t="shared" si="45"/>
        <v/>
      </c>
      <c r="V16" s="316" t="str">
        <f t="shared" si="46"/>
        <v/>
      </c>
      <c r="W16" s="317" t="str">
        <f t="shared" si="47"/>
        <v/>
      </c>
      <c r="X16" s="314"/>
      <c r="Y16" s="330"/>
      <c r="Z16" s="315"/>
      <c r="AA16" s="330"/>
      <c r="AB16" s="330"/>
      <c r="AC16" s="315"/>
      <c r="AD16" s="315"/>
      <c r="AE16" s="316" t="str">
        <f t="shared" si="48"/>
        <v/>
      </c>
      <c r="AF16" s="316" t="str">
        <f t="shared" si="49"/>
        <v/>
      </c>
      <c r="AG16" s="316" t="str">
        <f t="shared" si="50"/>
        <v/>
      </c>
      <c r="AH16" s="317" t="str">
        <f t="shared" si="51"/>
        <v/>
      </c>
      <c r="AI16" s="314"/>
      <c r="AJ16" s="330"/>
      <c r="AK16" s="315"/>
      <c r="AL16" s="330"/>
      <c r="AM16" s="330"/>
      <c r="AN16" s="315"/>
      <c r="AO16" s="315"/>
      <c r="AP16" s="316" t="str">
        <f t="shared" si="52"/>
        <v/>
      </c>
      <c r="AQ16" s="316" t="str">
        <f t="shared" si="53"/>
        <v/>
      </c>
      <c r="AR16" s="316" t="str">
        <f t="shared" si="54"/>
        <v/>
      </c>
      <c r="AS16" s="317" t="str">
        <f t="shared" si="55"/>
        <v/>
      </c>
      <c r="AT16" s="318"/>
      <c r="AU16" s="331"/>
      <c r="AV16" s="319"/>
      <c r="AW16" s="331"/>
      <c r="AX16" s="331"/>
      <c r="AY16" s="313" t="str">
        <f t="shared" si="56"/>
        <v/>
      </c>
      <c r="AZ16" s="313"/>
      <c r="BA16" s="320" t="str">
        <f t="shared" ref="BA16" si="100">IFERROR(IF(1-(AU16-AT16)/(AV16-AT16)&gt;0.9,"G",IF(1-(AU16-AT16)/(AV16-AT16)&gt;0.85,"A","R")),"")</f>
        <v/>
      </c>
      <c r="BB16" s="320" t="str">
        <f t="shared" ref="BB16" si="101">IF(AW16="","",IF((AV16-AT16)/(AW16-AT16)&gt;0.9,"G",(IF((AV16-AT16)/(AW16-AT16)&gt;0.85,"A","R"))))</f>
        <v/>
      </c>
      <c r="BC16" s="320" t="str">
        <f t="shared" ref="BC16" si="102">IF(AX16="","",IF((AV16-AT16)/(AX16-AT16)&gt;0.9,"G",(IF((AV16-AT16)/(AX16-AT16)&gt;0.85,"A","R"))))</f>
        <v/>
      </c>
      <c r="BD16" s="321" t="str">
        <f t="shared" si="57"/>
        <v/>
      </c>
      <c r="BE16" s="322"/>
      <c r="BF16" s="323"/>
      <c r="BG16" s="324" t="e">
        <f>VLOOKUP(A16,Finance!$A$3:$J$39,8,FALSE)</f>
        <v>#N/A</v>
      </c>
      <c r="BH16" s="325"/>
      <c r="BI16" s="323"/>
      <c r="BJ16" s="326" t="e">
        <f t="shared" si="58"/>
        <v>#DIV/0!</v>
      </c>
      <c r="BK16" s="326" t="e">
        <f t="shared" si="59"/>
        <v>#N/A</v>
      </c>
      <c r="BL16" s="327" t="str">
        <f t="shared" si="60"/>
        <v/>
      </c>
      <c r="BM16" s="305"/>
      <c r="BN16" s="306"/>
      <c r="BO16" s="328" t="str">
        <f>IF(AND(BL16="",BD16="",AS16="",W16=""),"",IF(AND(BL16="G",BD16="G",AS16="G",W16="G"),"G",IF(OR(BL16="R",BD16="R",AS16="R",W16="R"),"R",VLOOKUP(CONCATENATE(W16,AS16,BD16,BL16),'Rag Coding'!A:B,2,FALSE))))</f>
        <v/>
      </c>
      <c r="BP16" s="310">
        <f>'Dashboard Page'!U17</f>
        <v>0</v>
      </c>
      <c r="BQ16" s="311" t="str">
        <f t="shared" ref="BQ16" ca="1" si="103">IF(M16="","",IF(V16&lt;&gt;"","Completed ",IF(AND(U16&lt;&gt;"",P16&gt;TODAY()),"Forecast Completion on "&amp;DAY(P16)&amp;"-"&amp;MONTH(P16)&amp;"-"&amp;YEAR(P16)&amp;CHAR(10)&amp;IF(P16-O16&gt;0,(P16-O16)&amp;" day(s) late",(IF(P16-O16=0,"on time",(O16-P16)&amp;" day(s) early"))),IF(P16&lt;TODAY(),"Forecast Completion in the past, please update","Baseline Complete"))))</f>
        <v/>
      </c>
      <c r="BR16" s="311" t="str">
        <f t="shared" ref="BR16" ca="1" si="104">IF(BQ16="Completed ",IF(Q16-O16&gt;0,Q16-O16&amp;" day(s) late",(IF(Q16-O16=0,"on time",O16-Q16&amp;" day(s) early"))),"")</f>
        <v/>
      </c>
      <c r="BS16" s="311" t="str">
        <f t="shared" ref="BS16" ca="1" si="105">IF(X16="","",IF(AG16&lt;&gt;"","Completed ",IF(AND(AF16&lt;&gt;"",AA16&gt;TODAY()),"Forecast Completion on "&amp;DAY(AA16)&amp;"-"&amp;MONTH(AA16)&amp;"-"&amp;YEAR(AA16)&amp;CHAR(10)&amp;IF(AA16-Z16&gt;0,(AA16-Z16)&amp;" day(s) late",(IF(AA16-Z16=0,"on time",(Z16-AA16)&amp;" day(s) early"))),IF(AA16&lt;TODAY(),"Forecast Completion in the past, please update","Baseline Complete"))))</f>
        <v/>
      </c>
      <c r="BT16" s="311" t="str">
        <f t="shared" ref="BT16" ca="1" si="106">IF(BS16="Completed ",IF(AB16-Z16&gt;0,AB16-Z16&amp;" day(s) late",(IF(AB16-Z16=0,"on time",Z16-AB16&amp;" day(s) early"))),"")</f>
        <v/>
      </c>
      <c r="BU16" s="311" t="str">
        <f t="shared" ref="BU16" ca="1" si="107">IF(AI16="","",IF(AR16&lt;&gt;"","Completed ",IF(AND(AQ16&lt;&gt;"",AL16&gt;TODAY()),"Forecast Completion on "&amp;DAY(AL16)&amp;"-"&amp;MONTH(AL16)&amp;"-"&amp;YEAR(AL16)&amp;CHAR(10)&amp;IF(AL16-AK16&gt;0,(AL16-AK16)&amp;" day(s) late",(IF(AL16-AK16=0,"on time",(AK16-AL16)&amp;" day(s) early"))),IF(AL16&lt;TODAY(),"Forecast Completion in the past, please update","Baseline Complete"))))</f>
        <v/>
      </c>
      <c r="BV16" s="311" t="str">
        <f t="shared" ref="BV16" ca="1" si="108">IF(BU16="Completed ",IF(AM16-AK16&gt;0,AM16-AK16&amp;" day(s) late",(IF(AM16-AK16=0,"on time",AK16-AM16&amp;" day(s) early"))),"")</f>
        <v/>
      </c>
      <c r="BW16" s="311" t="str">
        <f t="shared" ref="BW16" ca="1" si="109">IF(AT16="","",IF(BC16&lt;&gt;"","Completed ",IF(AND(BB16&lt;&gt;"",AW16&gt;TODAY()),"Forecast Completion on "&amp;DAY(AW16)&amp;"-"&amp;MONTH(AW16)&amp;"-"&amp;YEAR(AW16)&amp;CHAR(10)&amp;IF(AW16-AV16&gt;0,(AW16-AV16)&amp;" day(s) late",(IF(AW16-AV16=0,"on time",(AV16-AW16)&amp;" day(s) early"))),IF(AW16&lt;TODAY(),"Forecast Completion in the past, please update","Baseline Complete"))))</f>
        <v/>
      </c>
      <c r="BX16" s="311" t="str">
        <f t="shared" ref="BX16" ca="1" si="110">IF(BW16="Completed ",IF(AX16-AV16&gt;0,AX16-AV16&amp;" day(s) late",(IF(AX16-AV16=0,"on time",AV16-AX16&amp;" day(s) early"))),"")</f>
        <v/>
      </c>
      <c r="BY16" s="311" t="str">
        <f t="shared" ca="1" si="61"/>
        <v/>
      </c>
      <c r="BZ16" s="311" t="str">
        <f t="shared" si="74"/>
        <v>Stage Gate 1</v>
      </c>
    </row>
    <row r="17" spans="1:78" ht="33.75" x14ac:dyDescent="0.2">
      <c r="A17" s="312"/>
      <c r="B17" s="308"/>
      <c r="C17" s="308"/>
      <c r="D17" s="307"/>
      <c r="E17" s="307"/>
      <c r="F17" s="307"/>
      <c r="G17" s="260"/>
      <c r="H17" s="262"/>
      <c r="I17" s="335" t="str">
        <f t="shared" si="42"/>
        <v/>
      </c>
      <c r="J17" s="336"/>
      <c r="K17" s="333" t="str">
        <f t="shared" si="43"/>
        <v/>
      </c>
      <c r="L17" s="317" t="str">
        <f t="shared" ref="L17" ca="1" si="111">IF(AND(J17="",I17=""),"",IF(AND(J17="",I17&lt;TODAY()),"R","G"))</f>
        <v/>
      </c>
      <c r="M17" s="332"/>
      <c r="N17" s="330"/>
      <c r="O17" s="315"/>
      <c r="P17" s="331"/>
      <c r="Q17" s="330"/>
      <c r="R17" s="309"/>
      <c r="S17" s="309"/>
      <c r="T17" s="316" t="str">
        <f t="shared" si="44"/>
        <v/>
      </c>
      <c r="U17" s="316" t="str">
        <f t="shared" si="45"/>
        <v/>
      </c>
      <c r="V17" s="316" t="str">
        <f t="shared" si="46"/>
        <v/>
      </c>
      <c r="W17" s="317" t="str">
        <f t="shared" si="47"/>
        <v/>
      </c>
      <c r="X17" s="314"/>
      <c r="Y17" s="330"/>
      <c r="Z17" s="315"/>
      <c r="AA17" s="330"/>
      <c r="AB17" s="330"/>
      <c r="AC17" s="315"/>
      <c r="AD17" s="315"/>
      <c r="AE17" s="316" t="str">
        <f t="shared" si="48"/>
        <v/>
      </c>
      <c r="AF17" s="316" t="str">
        <f t="shared" si="49"/>
        <v/>
      </c>
      <c r="AG17" s="316" t="str">
        <f t="shared" si="50"/>
        <v/>
      </c>
      <c r="AH17" s="317" t="str">
        <f t="shared" si="51"/>
        <v/>
      </c>
      <c r="AI17" s="314"/>
      <c r="AJ17" s="330"/>
      <c r="AK17" s="315"/>
      <c r="AL17" s="330"/>
      <c r="AM17" s="330"/>
      <c r="AN17" s="315"/>
      <c r="AO17" s="315"/>
      <c r="AP17" s="316" t="str">
        <f t="shared" si="52"/>
        <v/>
      </c>
      <c r="AQ17" s="316" t="str">
        <f t="shared" si="53"/>
        <v/>
      </c>
      <c r="AR17" s="316" t="str">
        <f t="shared" si="54"/>
        <v/>
      </c>
      <c r="AS17" s="317" t="str">
        <f t="shared" si="55"/>
        <v/>
      </c>
      <c r="AT17" s="318"/>
      <c r="AU17" s="331"/>
      <c r="AV17" s="319"/>
      <c r="AW17" s="331"/>
      <c r="AX17" s="331"/>
      <c r="AY17" s="313" t="str">
        <f t="shared" si="56"/>
        <v/>
      </c>
      <c r="AZ17" s="313"/>
      <c r="BA17" s="320" t="str">
        <f t="shared" ref="BA17" si="112">IFERROR(IF(1-(AU17-AT17)/(AV17-AT17)&gt;0.9,"G",IF(1-(AU17-AT17)/(AV17-AT17)&gt;0.85,"A","R")),"")</f>
        <v/>
      </c>
      <c r="BB17" s="320" t="str">
        <f t="shared" ref="BB17" si="113">IF(AW17="","",IF((AV17-AT17)/(AW17-AT17)&gt;0.9,"G",(IF((AV17-AT17)/(AW17-AT17)&gt;0.85,"A","R"))))</f>
        <v/>
      </c>
      <c r="BC17" s="320" t="str">
        <f t="shared" ref="BC17" si="114">IF(AX17="","",IF((AV17-AT17)/(AX17-AT17)&gt;0.9,"G",(IF((AV17-AT17)/(AX17-AT17)&gt;0.85,"A","R"))))</f>
        <v/>
      </c>
      <c r="BD17" s="321" t="str">
        <f t="shared" si="57"/>
        <v/>
      </c>
      <c r="BE17" s="322"/>
      <c r="BF17" s="323"/>
      <c r="BG17" s="324" t="e">
        <f>VLOOKUP(A17,Finance!$A$3:$J$39,8,FALSE)</f>
        <v>#N/A</v>
      </c>
      <c r="BH17" s="325"/>
      <c r="BI17" s="323"/>
      <c r="BJ17" s="326" t="e">
        <f t="shared" si="58"/>
        <v>#DIV/0!</v>
      </c>
      <c r="BK17" s="326" t="e">
        <f t="shared" si="59"/>
        <v>#N/A</v>
      </c>
      <c r="BL17" s="327" t="str">
        <f t="shared" si="60"/>
        <v/>
      </c>
      <c r="BM17" s="305"/>
      <c r="BN17" s="306"/>
      <c r="BO17" s="328" t="str">
        <f>IF(AND(BL17="",BD17="",AS17="",W17=""),"",IF(AND(BL17="G",BD17="G",AS17="G",W17="G"),"G",IF(OR(BL17="R",BD17="R",AS17="R",W17="R"),"R",VLOOKUP(CONCATENATE(W17,AS17,BD17,BL17),'Rag Coding'!A:B,2,FALSE))))</f>
        <v/>
      </c>
      <c r="BP17" s="310">
        <f>'Dashboard Page'!U18</f>
        <v>0</v>
      </c>
      <c r="BQ17" s="311" t="str">
        <f t="shared" ref="BQ17" ca="1" si="115">IF(M17="","",IF(V17&lt;&gt;"","Completed ",IF(AND(U17&lt;&gt;"",P17&gt;TODAY()),"Forecast Completion on "&amp;DAY(P17)&amp;"-"&amp;MONTH(P17)&amp;"-"&amp;YEAR(P17)&amp;CHAR(10)&amp;IF(P17-O17&gt;0,(P17-O17)&amp;" day(s) late",(IF(P17-O17=0,"on time",(O17-P17)&amp;" day(s) early"))),IF(P17&lt;TODAY(),"Forecast Completion in the past, please update","Baseline Complete"))))</f>
        <v/>
      </c>
      <c r="BR17" s="311" t="str">
        <f t="shared" ref="BR17" ca="1" si="116">IF(BQ17="Completed ",IF(Q17-O17&gt;0,Q17-O17&amp;" day(s) late",(IF(Q17-O17=0,"on time",O17-Q17&amp;" day(s) early"))),"")</f>
        <v/>
      </c>
      <c r="BS17" s="311" t="str">
        <f t="shared" ref="BS17" ca="1" si="117">IF(X17="","",IF(AG17&lt;&gt;"","Completed ",IF(AND(AF17&lt;&gt;"",AA17&gt;TODAY()),"Forecast Completion on "&amp;DAY(AA17)&amp;"-"&amp;MONTH(AA17)&amp;"-"&amp;YEAR(AA17)&amp;CHAR(10)&amp;IF(AA17-Z17&gt;0,(AA17-Z17)&amp;" day(s) late",(IF(AA17-Z17=0,"on time",(Z17-AA17)&amp;" day(s) early"))),IF(AA17&lt;TODAY(),"Forecast Completion in the past, please update","Baseline Complete"))))</f>
        <v/>
      </c>
      <c r="BT17" s="311" t="str">
        <f t="shared" ref="BT17" ca="1" si="118">IF(BS17="Completed ",IF(AB17-Z17&gt;0,AB17-Z17&amp;" day(s) late",(IF(AB17-Z17=0,"on time",Z17-AB17&amp;" day(s) early"))),"")</f>
        <v/>
      </c>
      <c r="BU17" s="311" t="str">
        <f t="shared" ref="BU17" ca="1" si="119">IF(AI17="","",IF(AR17&lt;&gt;"","Completed ",IF(AND(AQ17&lt;&gt;"",AL17&gt;TODAY()),"Forecast Completion on "&amp;DAY(AL17)&amp;"-"&amp;MONTH(AL17)&amp;"-"&amp;YEAR(AL17)&amp;CHAR(10)&amp;IF(AL17-AK17&gt;0,(AL17-AK17)&amp;" day(s) late",(IF(AL17-AK17=0,"on time",(AK17-AL17)&amp;" day(s) early"))),IF(AL17&lt;TODAY(),"Forecast Completion in the past, please update","Baseline Complete"))))</f>
        <v/>
      </c>
      <c r="BV17" s="311" t="str">
        <f t="shared" ref="BV17" ca="1" si="120">IF(BU17="Completed ",IF(AM17-AK17&gt;0,AM17-AK17&amp;" day(s) late",(IF(AM17-AK17=0,"on time",AK17-AM17&amp;" day(s) early"))),"")</f>
        <v/>
      </c>
      <c r="BW17" s="311" t="str">
        <f t="shared" ref="BW17" ca="1" si="121">IF(AT17="","",IF(BC17&lt;&gt;"","Completed ",IF(AND(BB17&lt;&gt;"",AW17&gt;TODAY()),"Forecast Completion on "&amp;DAY(AW17)&amp;"-"&amp;MONTH(AW17)&amp;"-"&amp;YEAR(AW17)&amp;CHAR(10)&amp;IF(AW17-AV17&gt;0,(AW17-AV17)&amp;" day(s) late",(IF(AW17-AV17=0,"on time",(AV17-AW17)&amp;" day(s) early"))),IF(AW17&lt;TODAY(),"Forecast Completion in the past, please update","Baseline Complete"))))</f>
        <v/>
      </c>
      <c r="BX17" s="311" t="str">
        <f t="shared" ref="BX17" ca="1" si="122">IF(BW17="Completed ",IF(AX17-AV17&gt;0,AX17-AV17&amp;" day(s) late",(IF(AX17-AV17=0,"on time",AV17-AX17&amp;" day(s) early"))),"")</f>
        <v/>
      </c>
      <c r="BY17" s="311" t="str">
        <f t="shared" ca="1" si="61"/>
        <v/>
      </c>
      <c r="BZ17" s="311" t="str">
        <f t="shared" si="74"/>
        <v>Stage Gate 1</v>
      </c>
    </row>
    <row r="18" spans="1:78" ht="33.75" x14ac:dyDescent="0.2">
      <c r="A18" s="312"/>
      <c r="B18" s="308"/>
      <c r="C18" s="308"/>
      <c r="D18" s="307"/>
      <c r="E18" s="307"/>
      <c r="F18" s="307"/>
      <c r="G18" s="260"/>
      <c r="H18" s="262"/>
      <c r="I18" s="335" t="str">
        <f t="shared" si="42"/>
        <v/>
      </c>
      <c r="J18" s="336"/>
      <c r="K18" s="333" t="str">
        <f t="shared" si="43"/>
        <v/>
      </c>
      <c r="L18" s="317" t="str">
        <f t="shared" ref="L18" ca="1" si="123">IF(AND(J18="",I18=""),"",IF(AND(J18="",I18&lt;TODAY()),"R","G"))</f>
        <v/>
      </c>
      <c r="M18" s="332"/>
      <c r="N18" s="330"/>
      <c r="O18" s="315"/>
      <c r="P18" s="331"/>
      <c r="Q18" s="330"/>
      <c r="R18" s="309"/>
      <c r="S18" s="309"/>
      <c r="T18" s="316" t="str">
        <f t="shared" si="44"/>
        <v/>
      </c>
      <c r="U18" s="316" t="str">
        <f t="shared" si="45"/>
        <v/>
      </c>
      <c r="V18" s="316" t="str">
        <f t="shared" si="46"/>
        <v/>
      </c>
      <c r="W18" s="317" t="str">
        <f t="shared" si="47"/>
        <v/>
      </c>
      <c r="X18" s="314"/>
      <c r="Y18" s="330"/>
      <c r="Z18" s="315"/>
      <c r="AA18" s="330"/>
      <c r="AB18" s="330"/>
      <c r="AC18" s="315"/>
      <c r="AD18" s="315"/>
      <c r="AE18" s="316" t="str">
        <f t="shared" si="48"/>
        <v/>
      </c>
      <c r="AF18" s="316" t="str">
        <f t="shared" si="49"/>
        <v/>
      </c>
      <c r="AG18" s="316" t="str">
        <f t="shared" si="50"/>
        <v/>
      </c>
      <c r="AH18" s="317" t="str">
        <f t="shared" si="51"/>
        <v/>
      </c>
      <c r="AI18" s="314"/>
      <c r="AJ18" s="330"/>
      <c r="AK18" s="315"/>
      <c r="AL18" s="330"/>
      <c r="AM18" s="330"/>
      <c r="AN18" s="315"/>
      <c r="AO18" s="315"/>
      <c r="AP18" s="316" t="str">
        <f t="shared" si="52"/>
        <v/>
      </c>
      <c r="AQ18" s="316" t="str">
        <f t="shared" si="53"/>
        <v/>
      </c>
      <c r="AR18" s="316" t="str">
        <f t="shared" si="54"/>
        <v/>
      </c>
      <c r="AS18" s="317" t="str">
        <f t="shared" si="55"/>
        <v/>
      </c>
      <c r="AT18" s="318"/>
      <c r="AU18" s="331"/>
      <c r="AV18" s="319"/>
      <c r="AW18" s="331"/>
      <c r="AX18" s="331"/>
      <c r="AY18" s="313" t="str">
        <f t="shared" si="56"/>
        <v/>
      </c>
      <c r="AZ18" s="313"/>
      <c r="BA18" s="320" t="str">
        <f t="shared" ref="BA18" si="124">IFERROR(IF(1-(AU18-AT18)/(AV18-AT18)&gt;0.9,"G",IF(1-(AU18-AT18)/(AV18-AT18)&gt;0.85,"A","R")),"")</f>
        <v/>
      </c>
      <c r="BB18" s="320" t="str">
        <f t="shared" ref="BB18" si="125">IF(AW18="","",IF((AV18-AT18)/(AW18-AT18)&gt;0.9,"G",(IF((AV18-AT18)/(AW18-AT18)&gt;0.85,"A","R"))))</f>
        <v/>
      </c>
      <c r="BC18" s="320" t="str">
        <f t="shared" ref="BC18" si="126">IF(AX18="","",IF((AV18-AT18)/(AX18-AT18)&gt;0.9,"G",(IF((AV18-AT18)/(AX18-AT18)&gt;0.85,"A","R"))))</f>
        <v/>
      </c>
      <c r="BD18" s="321" t="str">
        <f t="shared" si="57"/>
        <v/>
      </c>
      <c r="BE18" s="322"/>
      <c r="BF18" s="323"/>
      <c r="BG18" s="324" t="e">
        <f>VLOOKUP(A18,Finance!$A$3:$J$39,8,FALSE)</f>
        <v>#N/A</v>
      </c>
      <c r="BH18" s="325"/>
      <c r="BI18" s="323"/>
      <c r="BJ18" s="326" t="e">
        <f t="shared" si="58"/>
        <v>#DIV/0!</v>
      </c>
      <c r="BK18" s="326" t="e">
        <f t="shared" si="59"/>
        <v>#N/A</v>
      </c>
      <c r="BL18" s="327" t="str">
        <f t="shared" si="60"/>
        <v/>
      </c>
      <c r="BM18" s="305"/>
      <c r="BN18" s="306"/>
      <c r="BO18" s="328" t="str">
        <f>IF(AND(BL18="",BD18="",AS18="",W18=""),"",IF(AND(BL18="G",BD18="G",AS18="G",W18="G"),"G",IF(OR(BL18="R",BD18="R",AS18="R",W18="R"),"R",VLOOKUP(CONCATENATE(W18,AS18,BD18,BL18),'Rag Coding'!A:B,2,FALSE))))</f>
        <v/>
      </c>
      <c r="BP18" s="310">
        <f>'Dashboard Page'!U19</f>
        <v>0</v>
      </c>
      <c r="BQ18" s="311" t="str">
        <f t="shared" ref="BQ18" ca="1" si="127">IF(M18="","",IF(V18&lt;&gt;"","Completed ",IF(AND(U18&lt;&gt;"",P18&gt;TODAY()),"Forecast Completion on "&amp;DAY(P18)&amp;"-"&amp;MONTH(P18)&amp;"-"&amp;YEAR(P18)&amp;CHAR(10)&amp;IF(P18-O18&gt;0,(P18-O18)&amp;" day(s) late",(IF(P18-O18=0,"on time",(O18-P18)&amp;" day(s) early"))),IF(P18&lt;TODAY(),"Forecast Completion in the past, please update","Baseline Complete"))))</f>
        <v/>
      </c>
      <c r="BR18" s="311" t="str">
        <f t="shared" ref="BR18" ca="1" si="128">IF(BQ18="Completed ",IF(Q18-O18&gt;0,Q18-O18&amp;" day(s) late",(IF(Q18-O18=0,"on time",O18-Q18&amp;" day(s) early"))),"")</f>
        <v/>
      </c>
      <c r="BS18" s="311" t="str">
        <f t="shared" ref="BS18" ca="1" si="129">IF(X18="","",IF(AG18&lt;&gt;"","Completed ",IF(AND(AF18&lt;&gt;"",AA18&gt;TODAY()),"Forecast Completion on "&amp;DAY(AA18)&amp;"-"&amp;MONTH(AA18)&amp;"-"&amp;YEAR(AA18)&amp;CHAR(10)&amp;IF(AA18-Z18&gt;0,(AA18-Z18)&amp;" day(s) late",(IF(AA18-Z18=0,"on time",(Z18-AA18)&amp;" day(s) early"))),IF(AA18&lt;TODAY(),"Forecast Completion in the past, please update","Baseline Complete"))))</f>
        <v/>
      </c>
      <c r="BT18" s="311" t="str">
        <f t="shared" ref="BT18" ca="1" si="130">IF(BS18="Completed ",IF(AB18-Z18&gt;0,AB18-Z18&amp;" day(s) late",(IF(AB18-Z18=0,"on time",Z18-AB18&amp;" day(s) early"))),"")</f>
        <v/>
      </c>
      <c r="BU18" s="311" t="str">
        <f t="shared" ref="BU18" ca="1" si="131">IF(AI18="","",IF(AR18&lt;&gt;"","Completed ",IF(AND(AQ18&lt;&gt;"",AL18&gt;TODAY()),"Forecast Completion on "&amp;DAY(AL18)&amp;"-"&amp;MONTH(AL18)&amp;"-"&amp;YEAR(AL18)&amp;CHAR(10)&amp;IF(AL18-AK18&gt;0,(AL18-AK18)&amp;" day(s) late",(IF(AL18-AK18=0,"on time",(AK18-AL18)&amp;" day(s) early"))),IF(AL18&lt;TODAY(),"Forecast Completion in the past, please update","Baseline Complete"))))</f>
        <v/>
      </c>
      <c r="BV18" s="311" t="str">
        <f t="shared" ref="BV18" ca="1" si="132">IF(BU18="Completed ",IF(AM18-AK18&gt;0,AM18-AK18&amp;" day(s) late",(IF(AM18-AK18=0,"on time",AK18-AM18&amp;" day(s) early"))),"")</f>
        <v/>
      </c>
      <c r="BW18" s="311" t="str">
        <f t="shared" ref="BW18" ca="1" si="133">IF(AT18="","",IF(BC18&lt;&gt;"","Completed ",IF(AND(BB18&lt;&gt;"",AW18&gt;TODAY()),"Forecast Completion on "&amp;DAY(AW18)&amp;"-"&amp;MONTH(AW18)&amp;"-"&amp;YEAR(AW18)&amp;CHAR(10)&amp;IF(AW18-AV18&gt;0,(AW18-AV18)&amp;" day(s) late",(IF(AW18-AV18=0,"on time",(AV18-AW18)&amp;" day(s) early"))),IF(AW18&lt;TODAY(),"Forecast Completion in the past, please update","Baseline Complete"))))</f>
        <v/>
      </c>
      <c r="BX18" s="311" t="str">
        <f t="shared" ref="BX18" ca="1" si="134">IF(BW18="Completed ",IF(AX18-AV18&gt;0,AX18-AV18&amp;" day(s) late",(IF(AX18-AV18=0,"on time",AV18-AX18&amp;" day(s) early"))),"")</f>
        <v/>
      </c>
      <c r="BY18" s="311" t="str">
        <f t="shared" ca="1" si="61"/>
        <v/>
      </c>
      <c r="BZ18" s="311" t="str">
        <f t="shared" si="74"/>
        <v>Stage Gate 1</v>
      </c>
    </row>
    <row r="19" spans="1:78" ht="33.75" x14ac:dyDescent="0.2">
      <c r="A19" s="312"/>
      <c r="B19" s="308"/>
      <c r="C19" s="308"/>
      <c r="D19" s="307"/>
      <c r="E19" s="307"/>
      <c r="F19" s="307"/>
      <c r="G19" s="260"/>
      <c r="H19" s="262"/>
      <c r="I19" s="335" t="str">
        <f t="shared" si="42"/>
        <v/>
      </c>
      <c r="J19" s="336"/>
      <c r="K19" s="333" t="str">
        <f t="shared" si="43"/>
        <v/>
      </c>
      <c r="L19" s="317" t="str">
        <f t="shared" ref="L19" ca="1" si="135">IF(AND(J19="",I19=""),"",IF(AND(J19="",I19&lt;TODAY()),"R","G"))</f>
        <v/>
      </c>
      <c r="M19" s="332"/>
      <c r="N19" s="330"/>
      <c r="O19" s="315"/>
      <c r="P19" s="331"/>
      <c r="Q19" s="330"/>
      <c r="R19" s="309"/>
      <c r="S19" s="309"/>
      <c r="T19" s="316" t="str">
        <f t="shared" si="44"/>
        <v/>
      </c>
      <c r="U19" s="316" t="str">
        <f t="shared" si="45"/>
        <v/>
      </c>
      <c r="V19" s="316" t="str">
        <f t="shared" si="46"/>
        <v/>
      </c>
      <c r="W19" s="317" t="str">
        <f t="shared" si="47"/>
        <v/>
      </c>
      <c r="X19" s="314"/>
      <c r="Y19" s="330"/>
      <c r="Z19" s="315"/>
      <c r="AA19" s="330"/>
      <c r="AB19" s="330"/>
      <c r="AC19" s="315"/>
      <c r="AD19" s="315"/>
      <c r="AE19" s="316" t="str">
        <f t="shared" si="48"/>
        <v/>
      </c>
      <c r="AF19" s="316" t="str">
        <f t="shared" si="49"/>
        <v/>
      </c>
      <c r="AG19" s="316" t="str">
        <f t="shared" si="50"/>
        <v/>
      </c>
      <c r="AH19" s="317" t="str">
        <f t="shared" si="51"/>
        <v/>
      </c>
      <c r="AI19" s="314"/>
      <c r="AJ19" s="330"/>
      <c r="AK19" s="315"/>
      <c r="AL19" s="330"/>
      <c r="AM19" s="330"/>
      <c r="AN19" s="315"/>
      <c r="AO19" s="315"/>
      <c r="AP19" s="316" t="str">
        <f t="shared" si="52"/>
        <v/>
      </c>
      <c r="AQ19" s="316" t="str">
        <f t="shared" si="53"/>
        <v/>
      </c>
      <c r="AR19" s="316" t="str">
        <f t="shared" si="54"/>
        <v/>
      </c>
      <c r="AS19" s="317" t="str">
        <f t="shared" si="55"/>
        <v/>
      </c>
      <c r="AT19" s="318"/>
      <c r="AU19" s="331"/>
      <c r="AV19" s="319"/>
      <c r="AW19" s="331"/>
      <c r="AX19" s="331"/>
      <c r="AY19" s="313" t="str">
        <f t="shared" si="56"/>
        <v/>
      </c>
      <c r="AZ19" s="313"/>
      <c r="BA19" s="320" t="str">
        <f t="shared" si="14"/>
        <v/>
      </c>
      <c r="BB19" s="320" t="str">
        <f t="shared" si="15"/>
        <v/>
      </c>
      <c r="BC19" s="320" t="str">
        <f t="shared" si="16"/>
        <v/>
      </c>
      <c r="BD19" s="321" t="str">
        <f t="shared" si="57"/>
        <v/>
      </c>
      <c r="BE19" s="322"/>
      <c r="BF19" s="323"/>
      <c r="BG19" s="324" t="e">
        <f>VLOOKUP(A19,Finance!$A$3:$J$39,8,FALSE)</f>
        <v>#N/A</v>
      </c>
      <c r="BH19" s="325"/>
      <c r="BI19" s="323"/>
      <c r="BJ19" s="326" t="e">
        <f t="shared" si="58"/>
        <v>#DIV/0!</v>
      </c>
      <c r="BK19" s="326" t="e">
        <f t="shared" si="59"/>
        <v>#N/A</v>
      </c>
      <c r="BL19" s="327" t="str">
        <f t="shared" si="60"/>
        <v/>
      </c>
      <c r="BM19" s="305"/>
      <c r="BN19" s="306"/>
      <c r="BO19" s="328" t="str">
        <f>IF(AND(BL19="",BD19="",AS19="",W19=""),"",IF(AND(BL19="G",BD19="G",AS19="G",W19="G"),"G",IF(OR(BL19="R",BD19="R",AS19="R",W19="R"),"R",VLOOKUP(CONCATENATE(W19,AS19,BD19,BL19),'Rag Coding'!A:B,2,FALSE))))</f>
        <v/>
      </c>
      <c r="BP19" s="310">
        <f>'Dashboard Page'!U20</f>
        <v>0</v>
      </c>
      <c r="BQ19" s="311" t="str">
        <f t="shared" ca="1" si="21"/>
        <v/>
      </c>
      <c r="BR19" s="311" t="str">
        <f t="shared" ca="1" si="22"/>
        <v/>
      </c>
      <c r="BS19" s="311" t="str">
        <f t="shared" ca="1" si="23"/>
        <v/>
      </c>
      <c r="BT19" s="311" t="str">
        <f t="shared" ca="1" si="24"/>
        <v/>
      </c>
      <c r="BU19" s="311" t="str">
        <f t="shared" ca="1" si="25"/>
        <v/>
      </c>
      <c r="BV19" s="311" t="str">
        <f t="shared" ca="1" si="26"/>
        <v/>
      </c>
      <c r="BW19" s="311" t="str">
        <f t="shared" ca="1" si="27"/>
        <v/>
      </c>
      <c r="BX19" s="311" t="str">
        <f t="shared" ca="1" si="28"/>
        <v/>
      </c>
      <c r="BY19" s="311" t="str">
        <f t="shared" ca="1" si="61"/>
        <v/>
      </c>
      <c r="BZ19" s="311" t="str">
        <f t="shared" si="30"/>
        <v>Stage Gate 1</v>
      </c>
    </row>
    <row r="20" spans="1:78" ht="33.75" x14ac:dyDescent="0.2">
      <c r="A20" s="312"/>
      <c r="B20" s="308"/>
      <c r="C20" s="308"/>
      <c r="D20" s="307"/>
      <c r="E20" s="307"/>
      <c r="F20" s="307"/>
      <c r="G20" s="260"/>
      <c r="H20" s="262"/>
      <c r="I20" s="335" t="str">
        <f t="shared" si="42"/>
        <v/>
      </c>
      <c r="J20" s="336"/>
      <c r="K20" s="333" t="str">
        <f t="shared" si="43"/>
        <v/>
      </c>
      <c r="L20" s="317" t="str">
        <f t="shared" ref="L20" ca="1" si="136">IF(AND(J20="",I20=""),"",IF(AND(J20="",I20&lt;TODAY()),"R","G"))</f>
        <v/>
      </c>
      <c r="M20" s="332"/>
      <c r="N20" s="330"/>
      <c r="O20" s="315"/>
      <c r="P20" s="331"/>
      <c r="Q20" s="330"/>
      <c r="R20" s="309"/>
      <c r="S20" s="309"/>
      <c r="T20" s="316" t="str">
        <f t="shared" si="44"/>
        <v/>
      </c>
      <c r="U20" s="316" t="str">
        <f t="shared" si="45"/>
        <v/>
      </c>
      <c r="V20" s="316" t="str">
        <f t="shared" si="46"/>
        <v/>
      </c>
      <c r="W20" s="317" t="str">
        <f t="shared" si="47"/>
        <v/>
      </c>
      <c r="X20" s="314"/>
      <c r="Y20" s="330"/>
      <c r="Z20" s="315"/>
      <c r="AA20" s="330"/>
      <c r="AB20" s="330"/>
      <c r="AC20" s="315"/>
      <c r="AD20" s="315"/>
      <c r="AE20" s="316" t="str">
        <f t="shared" si="48"/>
        <v/>
      </c>
      <c r="AF20" s="316" t="str">
        <f t="shared" si="49"/>
        <v/>
      </c>
      <c r="AG20" s="316" t="str">
        <f t="shared" si="50"/>
        <v/>
      </c>
      <c r="AH20" s="317" t="str">
        <f t="shared" si="51"/>
        <v/>
      </c>
      <c r="AI20" s="314"/>
      <c r="AJ20" s="330"/>
      <c r="AK20" s="315"/>
      <c r="AL20" s="330"/>
      <c r="AM20" s="330"/>
      <c r="AN20" s="315"/>
      <c r="AO20" s="315"/>
      <c r="AP20" s="316" t="str">
        <f t="shared" si="52"/>
        <v/>
      </c>
      <c r="AQ20" s="316" t="str">
        <f t="shared" si="53"/>
        <v/>
      </c>
      <c r="AR20" s="316" t="str">
        <f t="shared" si="54"/>
        <v/>
      </c>
      <c r="AS20" s="317" t="str">
        <f t="shared" si="55"/>
        <v/>
      </c>
      <c r="AT20" s="318"/>
      <c r="AU20" s="331"/>
      <c r="AV20" s="319"/>
      <c r="AW20" s="331"/>
      <c r="AX20" s="331"/>
      <c r="AY20" s="313" t="str">
        <f t="shared" si="56"/>
        <v/>
      </c>
      <c r="AZ20" s="313"/>
      <c r="BA20" s="320" t="str">
        <f t="shared" si="14"/>
        <v/>
      </c>
      <c r="BB20" s="320" t="str">
        <f t="shared" si="15"/>
        <v/>
      </c>
      <c r="BC20" s="320" t="str">
        <f t="shared" si="16"/>
        <v/>
      </c>
      <c r="BD20" s="321" t="str">
        <f t="shared" si="57"/>
        <v/>
      </c>
      <c r="BE20" s="322"/>
      <c r="BF20" s="323"/>
      <c r="BG20" s="324" t="e">
        <f>VLOOKUP(A20,Finance!$A$3:$J$39,8,FALSE)</f>
        <v>#N/A</v>
      </c>
      <c r="BH20" s="325"/>
      <c r="BI20" s="323"/>
      <c r="BJ20" s="326" t="e">
        <f t="shared" si="58"/>
        <v>#DIV/0!</v>
      </c>
      <c r="BK20" s="326" t="e">
        <f t="shared" si="59"/>
        <v>#N/A</v>
      </c>
      <c r="BL20" s="327" t="str">
        <f t="shared" si="60"/>
        <v/>
      </c>
      <c r="BM20" s="305"/>
      <c r="BN20" s="306"/>
      <c r="BO20" s="328" t="str">
        <f>IF(AND(BL20="",BD20="",AS20="",W20=""),"",IF(AND(BL20="G",BD20="G",AS20="G",W20="G"),"G",IF(OR(BL20="R",BD20="R",AS20="R",W20="R"),"R",VLOOKUP(CONCATENATE(W20,AS20,BD20,BL20),'Rag Coding'!A:B,2,FALSE))))</f>
        <v/>
      </c>
      <c r="BP20" s="310">
        <f>'Dashboard Page'!U21</f>
        <v>0</v>
      </c>
      <c r="BQ20" s="311" t="str">
        <f t="shared" ca="1" si="21"/>
        <v/>
      </c>
      <c r="BR20" s="311" t="str">
        <f t="shared" ca="1" si="22"/>
        <v/>
      </c>
      <c r="BS20" s="311" t="str">
        <f t="shared" ca="1" si="23"/>
        <v/>
      </c>
      <c r="BT20" s="311" t="str">
        <f t="shared" ca="1" si="24"/>
        <v/>
      </c>
      <c r="BU20" s="311" t="str">
        <f t="shared" ca="1" si="25"/>
        <v/>
      </c>
      <c r="BV20" s="311" t="str">
        <f t="shared" ca="1" si="26"/>
        <v/>
      </c>
      <c r="BW20" s="311" t="str">
        <f t="shared" ca="1" si="27"/>
        <v/>
      </c>
      <c r="BX20" s="311" t="str">
        <f t="shared" ca="1" si="28"/>
        <v/>
      </c>
      <c r="BY20" s="311" t="str">
        <f t="shared" ca="1" si="61"/>
        <v/>
      </c>
      <c r="BZ20" s="311" t="str">
        <f t="shared" si="30"/>
        <v>Stage Gate 1</v>
      </c>
    </row>
    <row r="21" spans="1:78" ht="33.75" x14ac:dyDescent="0.2">
      <c r="A21" s="312"/>
      <c r="B21" s="308"/>
      <c r="C21" s="308"/>
      <c r="D21" s="307"/>
      <c r="E21" s="307"/>
      <c r="F21" s="307"/>
      <c r="G21" s="260"/>
      <c r="H21" s="262"/>
      <c r="I21" s="335" t="str">
        <f t="shared" si="42"/>
        <v/>
      </c>
      <c r="J21" s="336"/>
      <c r="K21" s="333" t="str">
        <f t="shared" si="43"/>
        <v/>
      </c>
      <c r="L21" s="317" t="str">
        <f t="shared" ref="L21" ca="1" si="137">IF(AND(J21="",I21=""),"",IF(AND(J21="",I21&lt;TODAY()),"R","G"))</f>
        <v/>
      </c>
      <c r="M21" s="332"/>
      <c r="N21" s="330"/>
      <c r="O21" s="315"/>
      <c r="P21" s="331"/>
      <c r="Q21" s="330"/>
      <c r="R21" s="309"/>
      <c r="S21" s="309"/>
      <c r="T21" s="316" t="str">
        <f t="shared" si="44"/>
        <v/>
      </c>
      <c r="U21" s="316" t="str">
        <f t="shared" si="45"/>
        <v/>
      </c>
      <c r="V21" s="316" t="str">
        <f t="shared" si="46"/>
        <v/>
      </c>
      <c r="W21" s="317" t="str">
        <f t="shared" si="47"/>
        <v/>
      </c>
      <c r="X21" s="314"/>
      <c r="Y21" s="330"/>
      <c r="Z21" s="315"/>
      <c r="AA21" s="330"/>
      <c r="AB21" s="330"/>
      <c r="AC21" s="315"/>
      <c r="AD21" s="315"/>
      <c r="AE21" s="316" t="str">
        <f t="shared" si="48"/>
        <v/>
      </c>
      <c r="AF21" s="316" t="str">
        <f t="shared" si="49"/>
        <v/>
      </c>
      <c r="AG21" s="316" t="str">
        <f t="shared" si="50"/>
        <v/>
      </c>
      <c r="AH21" s="317" t="str">
        <f t="shared" si="51"/>
        <v/>
      </c>
      <c r="AI21" s="314"/>
      <c r="AJ21" s="330"/>
      <c r="AK21" s="315"/>
      <c r="AL21" s="330"/>
      <c r="AM21" s="330"/>
      <c r="AN21" s="315"/>
      <c r="AO21" s="315"/>
      <c r="AP21" s="316" t="str">
        <f t="shared" si="52"/>
        <v/>
      </c>
      <c r="AQ21" s="316" t="str">
        <f t="shared" si="53"/>
        <v/>
      </c>
      <c r="AR21" s="316" t="str">
        <f t="shared" si="54"/>
        <v/>
      </c>
      <c r="AS21" s="317" t="str">
        <f t="shared" si="55"/>
        <v/>
      </c>
      <c r="AT21" s="318"/>
      <c r="AU21" s="331"/>
      <c r="AV21" s="319"/>
      <c r="AW21" s="331"/>
      <c r="AX21" s="331"/>
      <c r="AY21" s="313" t="str">
        <f t="shared" si="56"/>
        <v/>
      </c>
      <c r="AZ21" s="313"/>
      <c r="BA21" s="320" t="str">
        <f t="shared" si="14"/>
        <v/>
      </c>
      <c r="BB21" s="320" t="str">
        <f t="shared" si="15"/>
        <v/>
      </c>
      <c r="BC21" s="320" t="str">
        <f t="shared" si="16"/>
        <v/>
      </c>
      <c r="BD21" s="321" t="str">
        <f t="shared" si="57"/>
        <v/>
      </c>
      <c r="BE21" s="322"/>
      <c r="BF21" s="323"/>
      <c r="BG21" s="324" t="e">
        <f>VLOOKUP(A21,Finance!$A$3:$J$39,8,FALSE)</f>
        <v>#N/A</v>
      </c>
      <c r="BH21" s="325"/>
      <c r="BI21" s="323"/>
      <c r="BJ21" s="326" t="e">
        <f t="shared" si="58"/>
        <v>#DIV/0!</v>
      </c>
      <c r="BK21" s="326" t="e">
        <f t="shared" si="59"/>
        <v>#N/A</v>
      </c>
      <c r="BL21" s="327" t="str">
        <f t="shared" si="60"/>
        <v/>
      </c>
      <c r="BM21" s="305"/>
      <c r="BN21" s="306"/>
      <c r="BO21" s="328" t="str">
        <f>IF(AND(BL21="",BD21="",AS21="",W21=""),"",IF(AND(BL21="G",BD21="G",AS21="G",W21="G"),"G",IF(OR(BL21="R",BD21="R",AS21="R",W21="R"),"R",VLOOKUP(CONCATENATE(W21,AS21,BD21,BL21),'Rag Coding'!A:B,2,FALSE))))</f>
        <v/>
      </c>
      <c r="BP21" s="310">
        <f>'Dashboard Page'!U22</f>
        <v>0</v>
      </c>
      <c r="BQ21" s="311" t="str">
        <f t="shared" ca="1" si="21"/>
        <v/>
      </c>
      <c r="BR21" s="311" t="str">
        <f t="shared" ca="1" si="22"/>
        <v/>
      </c>
      <c r="BS21" s="311" t="str">
        <f t="shared" ca="1" si="23"/>
        <v/>
      </c>
      <c r="BT21" s="311" t="str">
        <f t="shared" ca="1" si="24"/>
        <v/>
      </c>
      <c r="BU21" s="311" t="str">
        <f t="shared" ca="1" si="25"/>
        <v/>
      </c>
      <c r="BV21" s="311" t="str">
        <f t="shared" ca="1" si="26"/>
        <v/>
      </c>
      <c r="BW21" s="311" t="str">
        <f t="shared" ca="1" si="27"/>
        <v/>
      </c>
      <c r="BX21" s="311" t="str">
        <f t="shared" ca="1" si="28"/>
        <v/>
      </c>
      <c r="BY21" s="311" t="str">
        <f t="shared" ca="1" si="61"/>
        <v/>
      </c>
      <c r="BZ21" s="311" t="str">
        <f t="shared" si="30"/>
        <v>Stage Gate 1</v>
      </c>
    </row>
    <row r="22" spans="1:78" ht="33.75" x14ac:dyDescent="0.2">
      <c r="A22" s="312"/>
      <c r="B22" s="308"/>
      <c r="C22" s="308"/>
      <c r="D22" s="307"/>
      <c r="E22" s="307"/>
      <c r="F22" s="307"/>
      <c r="G22" s="260"/>
      <c r="H22" s="262"/>
      <c r="I22" s="335" t="str">
        <f t="shared" si="42"/>
        <v/>
      </c>
      <c r="J22" s="336"/>
      <c r="K22" s="333" t="str">
        <f t="shared" si="43"/>
        <v/>
      </c>
      <c r="L22" s="317" t="str">
        <f t="shared" ref="L22" ca="1" si="138">IF(AND(J22="",I22=""),"",IF(AND(J22="",I22&lt;TODAY()),"R","G"))</f>
        <v/>
      </c>
      <c r="M22" s="332"/>
      <c r="N22" s="330"/>
      <c r="O22" s="315"/>
      <c r="P22" s="331"/>
      <c r="Q22" s="330"/>
      <c r="R22" s="309"/>
      <c r="S22" s="309"/>
      <c r="T22" s="316" t="str">
        <f t="shared" si="44"/>
        <v/>
      </c>
      <c r="U22" s="316" t="str">
        <f t="shared" si="45"/>
        <v/>
      </c>
      <c r="V22" s="316" t="str">
        <f t="shared" si="46"/>
        <v/>
      </c>
      <c r="W22" s="317" t="str">
        <f t="shared" si="47"/>
        <v/>
      </c>
      <c r="X22" s="314"/>
      <c r="Y22" s="330"/>
      <c r="Z22" s="315"/>
      <c r="AA22" s="330"/>
      <c r="AB22" s="330"/>
      <c r="AC22" s="315"/>
      <c r="AD22" s="315"/>
      <c r="AE22" s="316" t="str">
        <f t="shared" si="48"/>
        <v/>
      </c>
      <c r="AF22" s="316" t="str">
        <f t="shared" si="49"/>
        <v/>
      </c>
      <c r="AG22" s="316" t="str">
        <f t="shared" si="50"/>
        <v/>
      </c>
      <c r="AH22" s="317" t="str">
        <f t="shared" si="51"/>
        <v/>
      </c>
      <c r="AI22" s="314"/>
      <c r="AJ22" s="330"/>
      <c r="AK22" s="315"/>
      <c r="AL22" s="330"/>
      <c r="AM22" s="330"/>
      <c r="AN22" s="315"/>
      <c r="AO22" s="315"/>
      <c r="AP22" s="316" t="str">
        <f t="shared" si="52"/>
        <v/>
      </c>
      <c r="AQ22" s="316" t="str">
        <f t="shared" si="53"/>
        <v/>
      </c>
      <c r="AR22" s="316" t="str">
        <f t="shared" si="54"/>
        <v/>
      </c>
      <c r="AS22" s="317" t="str">
        <f t="shared" si="55"/>
        <v/>
      </c>
      <c r="AT22" s="318"/>
      <c r="AU22" s="331"/>
      <c r="AV22" s="319"/>
      <c r="AW22" s="331"/>
      <c r="AX22" s="331"/>
      <c r="AY22" s="313" t="str">
        <f t="shared" si="56"/>
        <v/>
      </c>
      <c r="AZ22" s="313"/>
      <c r="BA22" s="320" t="str">
        <f t="shared" si="14"/>
        <v/>
      </c>
      <c r="BB22" s="320" t="str">
        <f t="shared" si="15"/>
        <v/>
      </c>
      <c r="BC22" s="320" t="str">
        <f t="shared" si="16"/>
        <v/>
      </c>
      <c r="BD22" s="321" t="str">
        <f t="shared" si="57"/>
        <v/>
      </c>
      <c r="BE22" s="322"/>
      <c r="BF22" s="323"/>
      <c r="BG22" s="324" t="e">
        <f>VLOOKUP(A22,Finance!$A$3:$J$39,8,FALSE)</f>
        <v>#N/A</v>
      </c>
      <c r="BH22" s="325"/>
      <c r="BI22" s="323"/>
      <c r="BJ22" s="326" t="e">
        <f t="shared" si="58"/>
        <v>#DIV/0!</v>
      </c>
      <c r="BK22" s="326" t="e">
        <f t="shared" si="59"/>
        <v>#N/A</v>
      </c>
      <c r="BL22" s="327" t="str">
        <f t="shared" si="60"/>
        <v/>
      </c>
      <c r="BM22" s="305"/>
      <c r="BN22" s="306"/>
      <c r="BO22" s="328" t="str">
        <f>IF(AND(BL22="",BD22="",AS22="",W22=""),"",IF(AND(BL22="G",BD22="G",AS22="G",W22="G"),"G",IF(OR(BL22="R",BD22="R",AS22="R",W22="R"),"R",VLOOKUP(CONCATENATE(W22,AS22,BD22,BL22),'Rag Coding'!A:B,2,FALSE))))</f>
        <v/>
      </c>
      <c r="BP22" s="310">
        <f>'Dashboard Page'!U23</f>
        <v>0</v>
      </c>
      <c r="BQ22" s="311" t="str">
        <f t="shared" ca="1" si="21"/>
        <v/>
      </c>
      <c r="BR22" s="311" t="str">
        <f t="shared" ca="1" si="22"/>
        <v/>
      </c>
      <c r="BS22" s="311" t="str">
        <f t="shared" ca="1" si="23"/>
        <v/>
      </c>
      <c r="BT22" s="311" t="str">
        <f t="shared" ca="1" si="24"/>
        <v/>
      </c>
      <c r="BU22" s="311" t="str">
        <f t="shared" ca="1" si="25"/>
        <v/>
      </c>
      <c r="BV22" s="311" t="str">
        <f t="shared" ca="1" si="26"/>
        <v/>
      </c>
      <c r="BW22" s="311" t="str">
        <f t="shared" ca="1" si="27"/>
        <v/>
      </c>
      <c r="BX22" s="311" t="str">
        <f t="shared" ca="1" si="28"/>
        <v/>
      </c>
      <c r="BY22" s="311" t="str">
        <f t="shared" ca="1" si="61"/>
        <v/>
      </c>
      <c r="BZ22" s="311" t="str">
        <f t="shared" si="30"/>
        <v>Stage Gate 1</v>
      </c>
    </row>
    <row r="23" spans="1:78" ht="33.75" x14ac:dyDescent="0.2">
      <c r="A23" s="312"/>
      <c r="B23" s="308"/>
      <c r="C23" s="308"/>
      <c r="D23" s="307"/>
      <c r="E23" s="307"/>
      <c r="F23" s="307"/>
      <c r="G23" s="260"/>
      <c r="H23" s="262"/>
      <c r="I23" s="335" t="str">
        <f t="shared" si="42"/>
        <v/>
      </c>
      <c r="J23" s="336"/>
      <c r="K23" s="333" t="str">
        <f t="shared" si="43"/>
        <v/>
      </c>
      <c r="L23" s="317" t="str">
        <f t="shared" ref="L23" ca="1" si="139">IF(AND(J23="",I23=""),"",IF(AND(J23="",I23&lt;TODAY()),"R","G"))</f>
        <v/>
      </c>
      <c r="M23" s="332"/>
      <c r="N23" s="330"/>
      <c r="O23" s="315"/>
      <c r="P23" s="331"/>
      <c r="Q23" s="330"/>
      <c r="R23" s="309"/>
      <c r="S23" s="309"/>
      <c r="T23" s="316" t="str">
        <f t="shared" si="44"/>
        <v/>
      </c>
      <c r="U23" s="316" t="str">
        <f t="shared" si="45"/>
        <v/>
      </c>
      <c r="V23" s="316" t="str">
        <f t="shared" si="46"/>
        <v/>
      </c>
      <c r="W23" s="317" t="str">
        <f t="shared" si="47"/>
        <v/>
      </c>
      <c r="X23" s="314"/>
      <c r="Y23" s="330"/>
      <c r="Z23" s="315"/>
      <c r="AA23" s="330"/>
      <c r="AB23" s="330"/>
      <c r="AC23" s="315"/>
      <c r="AD23" s="315"/>
      <c r="AE23" s="316" t="str">
        <f t="shared" si="48"/>
        <v/>
      </c>
      <c r="AF23" s="316" t="str">
        <f t="shared" si="49"/>
        <v/>
      </c>
      <c r="AG23" s="316" t="str">
        <f t="shared" si="50"/>
        <v/>
      </c>
      <c r="AH23" s="317" t="str">
        <f t="shared" si="51"/>
        <v/>
      </c>
      <c r="AI23" s="314"/>
      <c r="AJ23" s="330"/>
      <c r="AK23" s="315"/>
      <c r="AL23" s="330"/>
      <c r="AM23" s="330"/>
      <c r="AN23" s="315"/>
      <c r="AO23" s="315"/>
      <c r="AP23" s="316" t="str">
        <f t="shared" si="52"/>
        <v/>
      </c>
      <c r="AQ23" s="316" t="str">
        <f t="shared" si="53"/>
        <v/>
      </c>
      <c r="AR23" s="316" t="str">
        <f t="shared" si="54"/>
        <v/>
      </c>
      <c r="AS23" s="317" t="str">
        <f t="shared" si="55"/>
        <v/>
      </c>
      <c r="AT23" s="318"/>
      <c r="AU23" s="331"/>
      <c r="AV23" s="319"/>
      <c r="AW23" s="331"/>
      <c r="AX23" s="331"/>
      <c r="AY23" s="313" t="str">
        <f t="shared" si="56"/>
        <v/>
      </c>
      <c r="AZ23" s="313"/>
      <c r="BA23" s="320" t="str">
        <f t="shared" si="14"/>
        <v/>
      </c>
      <c r="BB23" s="320" t="str">
        <f t="shared" si="15"/>
        <v/>
      </c>
      <c r="BC23" s="320" t="str">
        <f t="shared" si="16"/>
        <v/>
      </c>
      <c r="BD23" s="321" t="str">
        <f t="shared" si="57"/>
        <v/>
      </c>
      <c r="BE23" s="322"/>
      <c r="BF23" s="323"/>
      <c r="BG23" s="324" t="e">
        <f>VLOOKUP(A23,Finance!$A$3:$J$39,8,FALSE)</f>
        <v>#N/A</v>
      </c>
      <c r="BH23" s="325"/>
      <c r="BI23" s="323"/>
      <c r="BJ23" s="326" t="e">
        <f t="shared" si="58"/>
        <v>#DIV/0!</v>
      </c>
      <c r="BK23" s="326" t="e">
        <f t="shared" si="59"/>
        <v>#N/A</v>
      </c>
      <c r="BL23" s="327" t="str">
        <f t="shared" si="60"/>
        <v/>
      </c>
      <c r="BM23" s="305"/>
      <c r="BN23" s="306"/>
      <c r="BO23" s="328" t="str">
        <f>IF(AND(BL23="",BD23="",AS23="",W23=""),"",IF(AND(BL23="G",BD23="G",AS23="G",W23="G"),"G",IF(OR(BL23="R",BD23="R",AS23="R",W23="R"),"R",VLOOKUP(CONCATENATE(W23,AS23,BD23,BL23),'Rag Coding'!A:B,2,FALSE))))</f>
        <v/>
      </c>
      <c r="BP23" s="310">
        <f>'Dashboard Page'!U24</f>
        <v>0</v>
      </c>
      <c r="BQ23" s="311" t="str">
        <f t="shared" ca="1" si="21"/>
        <v/>
      </c>
      <c r="BR23" s="311" t="str">
        <f t="shared" ca="1" si="22"/>
        <v/>
      </c>
      <c r="BS23" s="311" t="str">
        <f t="shared" ca="1" si="23"/>
        <v/>
      </c>
      <c r="BT23" s="311" t="str">
        <f t="shared" ca="1" si="24"/>
        <v/>
      </c>
      <c r="BU23" s="311" t="str">
        <f t="shared" ca="1" si="25"/>
        <v/>
      </c>
      <c r="BV23" s="311" t="str">
        <f t="shared" ca="1" si="26"/>
        <v/>
      </c>
      <c r="BW23" s="311" t="str">
        <f t="shared" ca="1" si="27"/>
        <v/>
      </c>
      <c r="BX23" s="311" t="str">
        <f t="shared" ca="1" si="28"/>
        <v/>
      </c>
      <c r="BY23" s="311" t="str">
        <f t="shared" ca="1" si="61"/>
        <v/>
      </c>
      <c r="BZ23" s="311" t="str">
        <f t="shared" si="30"/>
        <v>Stage Gate 1</v>
      </c>
    </row>
    <row r="24" spans="1:78" ht="33.75" x14ac:dyDescent="0.2">
      <c r="A24" s="312"/>
      <c r="B24" s="308"/>
      <c r="C24" s="308"/>
      <c r="D24" s="307"/>
      <c r="E24" s="307"/>
      <c r="F24" s="307"/>
      <c r="G24" s="260"/>
      <c r="H24" s="262"/>
      <c r="I24" s="335" t="str">
        <f t="shared" si="42"/>
        <v/>
      </c>
      <c r="J24" s="336"/>
      <c r="K24" s="333" t="str">
        <f t="shared" si="43"/>
        <v/>
      </c>
      <c r="L24" s="317" t="str">
        <f t="shared" ref="L24" ca="1" si="140">IF(AND(J24="",I24=""),"",IF(AND(J24="",I24&lt;TODAY()),"R","G"))</f>
        <v/>
      </c>
      <c r="M24" s="332"/>
      <c r="N24" s="330"/>
      <c r="O24" s="315"/>
      <c r="P24" s="331"/>
      <c r="Q24" s="330"/>
      <c r="R24" s="309"/>
      <c r="S24" s="309"/>
      <c r="T24" s="316" t="str">
        <f t="shared" si="44"/>
        <v/>
      </c>
      <c r="U24" s="316" t="str">
        <f t="shared" si="45"/>
        <v/>
      </c>
      <c r="V24" s="316" t="str">
        <f t="shared" si="46"/>
        <v/>
      </c>
      <c r="W24" s="317" t="str">
        <f t="shared" si="47"/>
        <v/>
      </c>
      <c r="X24" s="314"/>
      <c r="Y24" s="330"/>
      <c r="Z24" s="315"/>
      <c r="AA24" s="330"/>
      <c r="AB24" s="330"/>
      <c r="AC24" s="315"/>
      <c r="AD24" s="315"/>
      <c r="AE24" s="316" t="str">
        <f t="shared" si="48"/>
        <v/>
      </c>
      <c r="AF24" s="316" t="str">
        <f t="shared" si="49"/>
        <v/>
      </c>
      <c r="AG24" s="316" t="str">
        <f t="shared" si="50"/>
        <v/>
      </c>
      <c r="AH24" s="317" t="str">
        <f t="shared" si="51"/>
        <v/>
      </c>
      <c r="AI24" s="314"/>
      <c r="AJ24" s="330"/>
      <c r="AK24" s="315"/>
      <c r="AL24" s="330"/>
      <c r="AM24" s="330"/>
      <c r="AN24" s="315"/>
      <c r="AO24" s="315"/>
      <c r="AP24" s="316" t="str">
        <f t="shared" si="52"/>
        <v/>
      </c>
      <c r="AQ24" s="316" t="str">
        <f t="shared" si="53"/>
        <v/>
      </c>
      <c r="AR24" s="316" t="str">
        <f t="shared" si="54"/>
        <v/>
      </c>
      <c r="AS24" s="317" t="str">
        <f t="shared" si="55"/>
        <v/>
      </c>
      <c r="AT24" s="318"/>
      <c r="AU24" s="331"/>
      <c r="AV24" s="319"/>
      <c r="AW24" s="331"/>
      <c r="AX24" s="331"/>
      <c r="AY24" s="313" t="str">
        <f t="shared" si="56"/>
        <v/>
      </c>
      <c r="AZ24" s="313"/>
      <c r="BA24" s="320" t="str">
        <f t="shared" si="14"/>
        <v/>
      </c>
      <c r="BB24" s="320" t="str">
        <f t="shared" si="15"/>
        <v/>
      </c>
      <c r="BC24" s="320" t="str">
        <f t="shared" si="16"/>
        <v/>
      </c>
      <c r="BD24" s="321" t="str">
        <f t="shared" si="57"/>
        <v/>
      </c>
      <c r="BE24" s="322"/>
      <c r="BF24" s="323"/>
      <c r="BG24" s="324" t="e">
        <f>VLOOKUP(A24,Finance!$A$3:$J$39,8,FALSE)</f>
        <v>#N/A</v>
      </c>
      <c r="BH24" s="325"/>
      <c r="BI24" s="323"/>
      <c r="BJ24" s="326" t="e">
        <f t="shared" si="58"/>
        <v>#DIV/0!</v>
      </c>
      <c r="BK24" s="326" t="e">
        <f t="shared" si="59"/>
        <v>#N/A</v>
      </c>
      <c r="BL24" s="327" t="str">
        <f t="shared" si="60"/>
        <v/>
      </c>
      <c r="BM24" s="305"/>
      <c r="BN24" s="306"/>
      <c r="BO24" s="328" t="str">
        <f>IF(AND(BL24="",BD24="",AS24="",W24=""),"",IF(AND(BL24="G",BD24="G",AS24="G",W24="G"),"G",IF(OR(BL24="R",BD24="R",AS24="R",W24="R"),"R",VLOOKUP(CONCATENATE(W24,AS24,BD24,BL24),'Rag Coding'!A:B,2,FALSE))))</f>
        <v/>
      </c>
      <c r="BP24" s="310">
        <f>'Dashboard Page'!U25</f>
        <v>0</v>
      </c>
      <c r="BQ24" s="311" t="str">
        <f t="shared" ca="1" si="21"/>
        <v/>
      </c>
      <c r="BR24" s="311" t="str">
        <f t="shared" ca="1" si="22"/>
        <v/>
      </c>
      <c r="BS24" s="311" t="str">
        <f t="shared" ca="1" si="23"/>
        <v/>
      </c>
      <c r="BT24" s="311" t="str">
        <f t="shared" ca="1" si="24"/>
        <v/>
      </c>
      <c r="BU24" s="311" t="str">
        <f t="shared" ca="1" si="25"/>
        <v/>
      </c>
      <c r="BV24" s="311" t="str">
        <f t="shared" ca="1" si="26"/>
        <v/>
      </c>
      <c r="BW24" s="311" t="str">
        <f t="shared" ca="1" si="27"/>
        <v/>
      </c>
      <c r="BX24" s="311" t="str">
        <f t="shared" ca="1" si="28"/>
        <v/>
      </c>
      <c r="BY24" s="311" t="str">
        <f t="shared" ca="1" si="61"/>
        <v/>
      </c>
      <c r="BZ24" s="311" t="str">
        <f t="shared" si="30"/>
        <v>Stage Gate 1</v>
      </c>
    </row>
    <row r="25" spans="1:78" ht="33.75" x14ac:dyDescent="0.2">
      <c r="A25" s="312"/>
      <c r="B25" s="308"/>
      <c r="C25" s="308"/>
      <c r="D25" s="307"/>
      <c r="E25" s="307"/>
      <c r="F25" s="307"/>
      <c r="G25" s="260"/>
      <c r="H25" s="262"/>
      <c r="I25" s="335" t="str">
        <f t="shared" si="42"/>
        <v/>
      </c>
      <c r="J25" s="336"/>
      <c r="K25" s="333" t="str">
        <f t="shared" si="43"/>
        <v/>
      </c>
      <c r="L25" s="317" t="str">
        <f t="shared" ref="L25" ca="1" si="141">IF(AND(J25="",I25=""),"",IF(AND(J25="",I25&lt;TODAY()),"R","G"))</f>
        <v/>
      </c>
      <c r="M25" s="332"/>
      <c r="N25" s="330"/>
      <c r="O25" s="315"/>
      <c r="P25" s="331"/>
      <c r="Q25" s="330"/>
      <c r="R25" s="309"/>
      <c r="S25" s="309"/>
      <c r="T25" s="316" t="str">
        <f t="shared" si="44"/>
        <v/>
      </c>
      <c r="U25" s="316" t="str">
        <f t="shared" si="45"/>
        <v/>
      </c>
      <c r="V25" s="316" t="str">
        <f t="shared" si="46"/>
        <v/>
      </c>
      <c r="W25" s="317" t="str">
        <f t="shared" si="47"/>
        <v/>
      </c>
      <c r="X25" s="314"/>
      <c r="Y25" s="330"/>
      <c r="Z25" s="315"/>
      <c r="AA25" s="330"/>
      <c r="AB25" s="330"/>
      <c r="AC25" s="315"/>
      <c r="AD25" s="315"/>
      <c r="AE25" s="316" t="str">
        <f t="shared" si="48"/>
        <v/>
      </c>
      <c r="AF25" s="316" t="str">
        <f t="shared" si="49"/>
        <v/>
      </c>
      <c r="AG25" s="316" t="str">
        <f t="shared" si="50"/>
        <v/>
      </c>
      <c r="AH25" s="317" t="str">
        <f t="shared" si="51"/>
        <v/>
      </c>
      <c r="AI25" s="314"/>
      <c r="AJ25" s="330"/>
      <c r="AK25" s="315"/>
      <c r="AL25" s="330"/>
      <c r="AM25" s="330"/>
      <c r="AN25" s="315"/>
      <c r="AO25" s="315"/>
      <c r="AP25" s="316" t="str">
        <f t="shared" si="52"/>
        <v/>
      </c>
      <c r="AQ25" s="316" t="str">
        <f t="shared" si="53"/>
        <v/>
      </c>
      <c r="AR25" s="316" t="str">
        <f t="shared" si="54"/>
        <v/>
      </c>
      <c r="AS25" s="317" t="str">
        <f t="shared" si="55"/>
        <v/>
      </c>
      <c r="AT25" s="318"/>
      <c r="AU25" s="331"/>
      <c r="AV25" s="319"/>
      <c r="AW25" s="331"/>
      <c r="AX25" s="331"/>
      <c r="AY25" s="313" t="str">
        <f t="shared" si="56"/>
        <v/>
      </c>
      <c r="AZ25" s="313"/>
      <c r="BA25" s="320" t="str">
        <f t="shared" si="14"/>
        <v/>
      </c>
      <c r="BB25" s="320" t="str">
        <f t="shared" si="15"/>
        <v/>
      </c>
      <c r="BC25" s="320" t="str">
        <f t="shared" si="16"/>
        <v/>
      </c>
      <c r="BD25" s="321" t="str">
        <f t="shared" si="57"/>
        <v/>
      </c>
      <c r="BE25" s="322"/>
      <c r="BF25" s="323"/>
      <c r="BG25" s="324" t="e">
        <f>VLOOKUP(A25,Finance!$A$3:$J$39,8,FALSE)</f>
        <v>#N/A</v>
      </c>
      <c r="BH25" s="325"/>
      <c r="BI25" s="323"/>
      <c r="BJ25" s="326" t="e">
        <f t="shared" si="58"/>
        <v>#DIV/0!</v>
      </c>
      <c r="BK25" s="326" t="e">
        <f t="shared" si="59"/>
        <v>#N/A</v>
      </c>
      <c r="BL25" s="327" t="str">
        <f t="shared" si="60"/>
        <v/>
      </c>
      <c r="BM25" s="305"/>
      <c r="BN25" s="306"/>
      <c r="BO25" s="328" t="str">
        <f>IF(AND(BL25="",BD25="",AS25="",W25=""),"",IF(AND(BL25="G",BD25="G",AS25="G",W25="G"),"G",IF(OR(BL25="R",BD25="R",AS25="R",W25="R"),"R",VLOOKUP(CONCATENATE(W25,AS25,BD25,BL25),'Rag Coding'!A:B,2,FALSE))))</f>
        <v/>
      </c>
      <c r="BP25" s="310">
        <f>'Dashboard Page'!U26</f>
        <v>0</v>
      </c>
      <c r="BQ25" s="311" t="str">
        <f t="shared" ca="1" si="21"/>
        <v/>
      </c>
      <c r="BR25" s="311" t="str">
        <f t="shared" ca="1" si="22"/>
        <v/>
      </c>
      <c r="BS25" s="311" t="str">
        <f t="shared" ca="1" si="23"/>
        <v/>
      </c>
      <c r="BT25" s="311" t="str">
        <f t="shared" ca="1" si="24"/>
        <v/>
      </c>
      <c r="BU25" s="311" t="str">
        <f t="shared" ca="1" si="25"/>
        <v/>
      </c>
      <c r="BV25" s="311" t="str">
        <f t="shared" ca="1" si="26"/>
        <v/>
      </c>
      <c r="BW25" s="311" t="str">
        <f t="shared" ca="1" si="27"/>
        <v/>
      </c>
      <c r="BX25" s="311" t="str">
        <f t="shared" ca="1" si="28"/>
        <v/>
      </c>
      <c r="BY25" s="311" t="str">
        <f t="shared" ca="1" si="61"/>
        <v/>
      </c>
      <c r="BZ25" s="311" t="str">
        <f t="shared" si="30"/>
        <v>Stage Gate 1</v>
      </c>
    </row>
    <row r="26" spans="1:78" ht="33.75" x14ac:dyDescent="0.2">
      <c r="A26" s="312"/>
      <c r="B26" s="308"/>
      <c r="C26" s="308"/>
      <c r="D26" s="307"/>
      <c r="E26" s="307"/>
      <c r="F26" s="307"/>
      <c r="G26" s="260"/>
      <c r="H26" s="262"/>
      <c r="I26" s="335" t="str">
        <f t="shared" si="42"/>
        <v/>
      </c>
      <c r="J26" s="336"/>
      <c r="K26" s="333" t="str">
        <f t="shared" si="43"/>
        <v/>
      </c>
      <c r="L26" s="317" t="str">
        <f t="shared" ca="1" si="1"/>
        <v/>
      </c>
      <c r="M26" s="332"/>
      <c r="N26" s="330"/>
      <c r="O26" s="315"/>
      <c r="P26" s="331"/>
      <c r="Q26" s="330"/>
      <c r="R26" s="309"/>
      <c r="S26" s="309"/>
      <c r="T26" s="316" t="str">
        <f t="shared" si="44"/>
        <v/>
      </c>
      <c r="U26" s="316" t="str">
        <f t="shared" si="45"/>
        <v/>
      </c>
      <c r="V26" s="316" t="str">
        <f t="shared" si="46"/>
        <v/>
      </c>
      <c r="W26" s="317" t="str">
        <f t="shared" si="47"/>
        <v/>
      </c>
      <c r="X26" s="314"/>
      <c r="Y26" s="330"/>
      <c r="Z26" s="315"/>
      <c r="AA26" s="330"/>
      <c r="AB26" s="330"/>
      <c r="AC26" s="315"/>
      <c r="AD26" s="315"/>
      <c r="AE26" s="316" t="str">
        <f t="shared" si="48"/>
        <v/>
      </c>
      <c r="AF26" s="316" t="str">
        <f t="shared" si="49"/>
        <v/>
      </c>
      <c r="AG26" s="316" t="str">
        <f t="shared" si="50"/>
        <v/>
      </c>
      <c r="AH26" s="317" t="str">
        <f t="shared" si="51"/>
        <v/>
      </c>
      <c r="AI26" s="314"/>
      <c r="AJ26" s="330"/>
      <c r="AK26" s="315"/>
      <c r="AL26" s="330"/>
      <c r="AM26" s="330"/>
      <c r="AN26" s="315"/>
      <c r="AO26" s="315"/>
      <c r="AP26" s="316" t="str">
        <f t="shared" si="52"/>
        <v/>
      </c>
      <c r="AQ26" s="316" t="str">
        <f t="shared" si="53"/>
        <v/>
      </c>
      <c r="AR26" s="316" t="str">
        <f t="shared" si="54"/>
        <v/>
      </c>
      <c r="AS26" s="317" t="str">
        <f t="shared" si="55"/>
        <v/>
      </c>
      <c r="AT26" s="318"/>
      <c r="AU26" s="331"/>
      <c r="AV26" s="319"/>
      <c r="AW26" s="331"/>
      <c r="AX26" s="331"/>
      <c r="AY26" s="313" t="str">
        <f t="shared" si="56"/>
        <v/>
      </c>
      <c r="AZ26" s="313"/>
      <c r="BA26" s="320" t="str">
        <f t="shared" si="14"/>
        <v/>
      </c>
      <c r="BB26" s="320" t="str">
        <f t="shared" si="15"/>
        <v/>
      </c>
      <c r="BC26" s="320" t="str">
        <f t="shared" si="16"/>
        <v/>
      </c>
      <c r="BD26" s="321" t="str">
        <f t="shared" si="57"/>
        <v/>
      </c>
      <c r="BE26" s="322"/>
      <c r="BF26" s="323"/>
      <c r="BG26" s="324" t="e">
        <f>VLOOKUP(A26,Finance!$A$3:$J$39,8,FALSE)</f>
        <v>#N/A</v>
      </c>
      <c r="BH26" s="325"/>
      <c r="BI26" s="323"/>
      <c r="BJ26" s="326" t="e">
        <f t="shared" si="58"/>
        <v>#DIV/0!</v>
      </c>
      <c r="BK26" s="326" t="e">
        <f t="shared" si="59"/>
        <v>#N/A</v>
      </c>
      <c r="BL26" s="327" t="str">
        <f t="shared" si="60"/>
        <v/>
      </c>
      <c r="BM26" s="305"/>
      <c r="BN26" s="306"/>
      <c r="BO26" s="328" t="str">
        <f>IF(AND(BL26="",BD26="",AS26="",W26=""),"",IF(AND(BL26="G",BD26="G",AS26="G",W26="G"),"G",IF(OR(BL26="R",BD26="R",AS26="R",W26="R"),"R",VLOOKUP(CONCATENATE(W26,AS26,BD26,BL26),'Rag Coding'!A:B,2,FALSE))))</f>
        <v/>
      </c>
      <c r="BP26" s="310">
        <f>'Dashboard Page'!U27</f>
        <v>0</v>
      </c>
      <c r="BQ26" s="311" t="str">
        <f t="shared" ca="1" si="21"/>
        <v/>
      </c>
      <c r="BR26" s="311" t="str">
        <f t="shared" ca="1" si="22"/>
        <v/>
      </c>
      <c r="BS26" s="311" t="str">
        <f t="shared" ca="1" si="23"/>
        <v/>
      </c>
      <c r="BT26" s="311" t="str">
        <f t="shared" ca="1" si="24"/>
        <v/>
      </c>
      <c r="BU26" s="311" t="str">
        <f t="shared" ca="1" si="25"/>
        <v/>
      </c>
      <c r="BV26" s="311" t="str">
        <f t="shared" ca="1" si="26"/>
        <v/>
      </c>
      <c r="BW26" s="311" t="str">
        <f t="shared" ca="1" si="27"/>
        <v/>
      </c>
      <c r="BX26" s="311" t="str">
        <f t="shared" ca="1" si="28"/>
        <v/>
      </c>
      <c r="BY26" s="311" t="str">
        <f t="shared" ca="1" si="61"/>
        <v/>
      </c>
      <c r="BZ26" s="311" t="str">
        <f t="shared" si="30"/>
        <v>Stage Gate 1</v>
      </c>
    </row>
    <row r="27" spans="1:78" ht="33.75" x14ac:dyDescent="0.2">
      <c r="A27" s="312"/>
      <c r="B27" s="308"/>
      <c r="C27" s="308"/>
      <c r="D27" s="307"/>
      <c r="E27" s="307"/>
      <c r="F27" s="307"/>
      <c r="G27" s="260"/>
      <c r="H27" s="262"/>
      <c r="I27" s="335" t="str">
        <f t="shared" si="42"/>
        <v/>
      </c>
      <c r="J27" s="336"/>
      <c r="K27" s="333" t="str">
        <f t="shared" si="43"/>
        <v/>
      </c>
      <c r="L27" s="317" t="str">
        <f t="shared" ca="1" si="1"/>
        <v/>
      </c>
      <c r="M27" s="332"/>
      <c r="N27" s="330"/>
      <c r="O27" s="315"/>
      <c r="P27" s="331"/>
      <c r="Q27" s="330"/>
      <c r="R27" s="309"/>
      <c r="S27" s="309"/>
      <c r="T27" s="316" t="str">
        <f t="shared" si="44"/>
        <v/>
      </c>
      <c r="U27" s="316" t="str">
        <f t="shared" si="45"/>
        <v/>
      </c>
      <c r="V27" s="316" t="str">
        <f t="shared" si="46"/>
        <v/>
      </c>
      <c r="W27" s="317" t="str">
        <f t="shared" si="47"/>
        <v/>
      </c>
      <c r="X27" s="314"/>
      <c r="Y27" s="330"/>
      <c r="Z27" s="315"/>
      <c r="AA27" s="330"/>
      <c r="AB27" s="330"/>
      <c r="AC27" s="315"/>
      <c r="AD27" s="315"/>
      <c r="AE27" s="316" t="str">
        <f t="shared" si="48"/>
        <v/>
      </c>
      <c r="AF27" s="316" t="str">
        <f t="shared" si="49"/>
        <v/>
      </c>
      <c r="AG27" s="316" t="str">
        <f t="shared" si="50"/>
        <v/>
      </c>
      <c r="AH27" s="317" t="str">
        <f t="shared" si="51"/>
        <v/>
      </c>
      <c r="AI27" s="314"/>
      <c r="AJ27" s="330"/>
      <c r="AK27" s="315"/>
      <c r="AL27" s="330"/>
      <c r="AM27" s="330"/>
      <c r="AN27" s="315"/>
      <c r="AO27" s="315"/>
      <c r="AP27" s="316" t="str">
        <f t="shared" si="52"/>
        <v/>
      </c>
      <c r="AQ27" s="316" t="str">
        <f t="shared" si="53"/>
        <v/>
      </c>
      <c r="AR27" s="316" t="str">
        <f t="shared" si="54"/>
        <v/>
      </c>
      <c r="AS27" s="317" t="str">
        <f t="shared" si="55"/>
        <v/>
      </c>
      <c r="AT27" s="318"/>
      <c r="AU27" s="331"/>
      <c r="AV27" s="319"/>
      <c r="AW27" s="331"/>
      <c r="AX27" s="331"/>
      <c r="AY27" s="313" t="str">
        <f t="shared" si="56"/>
        <v/>
      </c>
      <c r="AZ27" s="313"/>
      <c r="BA27" s="320" t="str">
        <f t="shared" si="14"/>
        <v/>
      </c>
      <c r="BB27" s="320" t="str">
        <f t="shared" si="15"/>
        <v/>
      </c>
      <c r="BC27" s="320" t="str">
        <f t="shared" si="16"/>
        <v/>
      </c>
      <c r="BD27" s="321" t="str">
        <f t="shared" si="57"/>
        <v/>
      </c>
      <c r="BE27" s="322"/>
      <c r="BF27" s="323"/>
      <c r="BG27" s="324" t="e">
        <f>VLOOKUP(A27,Finance!$A$3:$J$39,8,FALSE)</f>
        <v>#N/A</v>
      </c>
      <c r="BH27" s="325"/>
      <c r="BI27" s="323"/>
      <c r="BJ27" s="326" t="e">
        <f t="shared" si="58"/>
        <v>#DIV/0!</v>
      </c>
      <c r="BK27" s="326" t="e">
        <f t="shared" si="59"/>
        <v>#N/A</v>
      </c>
      <c r="BL27" s="327" t="str">
        <f t="shared" si="60"/>
        <v/>
      </c>
      <c r="BM27" s="305"/>
      <c r="BN27" s="306"/>
      <c r="BO27" s="328" t="str">
        <f>IF(AND(BL27="",BD27="",AS27="",W27=""),"",IF(AND(BL27="G",BD27="G",AS27="G",W27="G"),"G",IF(OR(BL27="R",BD27="R",AS27="R",W27="R"),"R",VLOOKUP(CONCATENATE(W27,AS27,BD27,BL27),'Rag Coding'!A:B,2,FALSE))))</f>
        <v/>
      </c>
      <c r="BP27" s="310">
        <f>'Dashboard Page'!U28</f>
        <v>0</v>
      </c>
      <c r="BQ27" s="311" t="str">
        <f t="shared" ca="1" si="21"/>
        <v/>
      </c>
      <c r="BR27" s="311" t="str">
        <f t="shared" ca="1" si="22"/>
        <v/>
      </c>
      <c r="BS27" s="311" t="str">
        <f t="shared" ca="1" si="23"/>
        <v/>
      </c>
      <c r="BT27" s="311" t="str">
        <f t="shared" ca="1" si="24"/>
        <v/>
      </c>
      <c r="BU27" s="311" t="str">
        <f t="shared" ca="1" si="25"/>
        <v/>
      </c>
      <c r="BV27" s="311" t="str">
        <f t="shared" ca="1" si="26"/>
        <v/>
      </c>
      <c r="BW27" s="311" t="str">
        <f t="shared" ca="1" si="27"/>
        <v/>
      </c>
      <c r="BX27" s="311" t="str">
        <f t="shared" ca="1" si="28"/>
        <v/>
      </c>
      <c r="BY27" s="311" t="str">
        <f t="shared" ca="1" si="61"/>
        <v/>
      </c>
      <c r="BZ27" s="311" t="str">
        <f t="shared" si="30"/>
        <v>Stage Gate 1</v>
      </c>
    </row>
    <row r="28" spans="1:78" ht="33.75" x14ac:dyDescent="0.2">
      <c r="A28" s="312"/>
      <c r="B28" s="308"/>
      <c r="C28" s="308"/>
      <c r="D28" s="307"/>
      <c r="E28" s="307"/>
      <c r="F28" s="307"/>
      <c r="G28" s="260"/>
      <c r="H28" s="262"/>
      <c r="I28" s="335" t="str">
        <f t="shared" si="42"/>
        <v/>
      </c>
      <c r="J28" s="336"/>
      <c r="K28" s="333" t="str">
        <f t="shared" si="43"/>
        <v/>
      </c>
      <c r="L28" s="317" t="str">
        <f t="shared" ca="1" si="1"/>
        <v/>
      </c>
      <c r="M28" s="332"/>
      <c r="N28" s="330"/>
      <c r="O28" s="315"/>
      <c r="P28" s="331"/>
      <c r="Q28" s="330"/>
      <c r="R28" s="309"/>
      <c r="S28" s="309"/>
      <c r="T28" s="316" t="str">
        <f t="shared" si="44"/>
        <v/>
      </c>
      <c r="U28" s="316" t="str">
        <f t="shared" si="45"/>
        <v/>
      </c>
      <c r="V28" s="316" t="str">
        <f t="shared" si="46"/>
        <v/>
      </c>
      <c r="W28" s="317" t="str">
        <f t="shared" si="47"/>
        <v/>
      </c>
      <c r="X28" s="314"/>
      <c r="Y28" s="330"/>
      <c r="Z28" s="315"/>
      <c r="AA28" s="330"/>
      <c r="AB28" s="330"/>
      <c r="AC28" s="315"/>
      <c r="AD28" s="315"/>
      <c r="AE28" s="316" t="str">
        <f t="shared" si="48"/>
        <v/>
      </c>
      <c r="AF28" s="316" t="str">
        <f t="shared" si="49"/>
        <v/>
      </c>
      <c r="AG28" s="316" t="str">
        <f t="shared" si="50"/>
        <v/>
      </c>
      <c r="AH28" s="317" t="str">
        <f t="shared" si="51"/>
        <v/>
      </c>
      <c r="AI28" s="314"/>
      <c r="AJ28" s="330"/>
      <c r="AK28" s="315"/>
      <c r="AL28" s="330"/>
      <c r="AM28" s="330"/>
      <c r="AN28" s="315"/>
      <c r="AO28" s="315"/>
      <c r="AP28" s="316" t="str">
        <f t="shared" si="52"/>
        <v/>
      </c>
      <c r="AQ28" s="316" t="str">
        <f t="shared" si="53"/>
        <v/>
      </c>
      <c r="AR28" s="316" t="str">
        <f t="shared" si="54"/>
        <v/>
      </c>
      <c r="AS28" s="317" t="str">
        <f t="shared" si="55"/>
        <v/>
      </c>
      <c r="AT28" s="318"/>
      <c r="AU28" s="331"/>
      <c r="AV28" s="319"/>
      <c r="AW28" s="331"/>
      <c r="AX28" s="331"/>
      <c r="AY28" s="313" t="str">
        <f t="shared" si="56"/>
        <v/>
      </c>
      <c r="AZ28" s="313"/>
      <c r="BA28" s="320" t="str">
        <f t="shared" si="14"/>
        <v/>
      </c>
      <c r="BB28" s="320" t="str">
        <f t="shared" si="15"/>
        <v/>
      </c>
      <c r="BC28" s="320" t="str">
        <f t="shared" si="16"/>
        <v/>
      </c>
      <c r="BD28" s="321" t="str">
        <f t="shared" si="57"/>
        <v/>
      </c>
      <c r="BE28" s="322"/>
      <c r="BF28" s="323"/>
      <c r="BG28" s="324" t="e">
        <f>VLOOKUP(A28,Finance!$A$3:$J$39,8,FALSE)</f>
        <v>#N/A</v>
      </c>
      <c r="BH28" s="325"/>
      <c r="BI28" s="323"/>
      <c r="BJ28" s="326" t="e">
        <f t="shared" si="58"/>
        <v>#DIV/0!</v>
      </c>
      <c r="BK28" s="326" t="e">
        <f t="shared" si="59"/>
        <v>#N/A</v>
      </c>
      <c r="BL28" s="327" t="str">
        <f t="shared" si="60"/>
        <v/>
      </c>
      <c r="BM28" s="305"/>
      <c r="BN28" s="306"/>
      <c r="BO28" s="328" t="str">
        <f>IF(AND(BL28="",BD28="",AS28="",W28=""),"",IF(AND(BL28="G",BD28="G",AS28="G",W28="G"),"G",IF(OR(BL28="R",BD28="R",AS28="R",W28="R"),"R",VLOOKUP(CONCATENATE(W28,AS28,BD28,BL28),'Rag Coding'!A:B,2,FALSE))))</f>
        <v/>
      </c>
      <c r="BP28" s="310">
        <f>'Dashboard Page'!U29</f>
        <v>0</v>
      </c>
      <c r="BQ28" s="311" t="str">
        <f t="shared" ca="1" si="21"/>
        <v/>
      </c>
      <c r="BR28" s="311" t="str">
        <f t="shared" ca="1" si="22"/>
        <v/>
      </c>
      <c r="BS28" s="311" t="str">
        <f t="shared" ca="1" si="23"/>
        <v/>
      </c>
      <c r="BT28" s="311" t="str">
        <f t="shared" ca="1" si="24"/>
        <v/>
      </c>
      <c r="BU28" s="311" t="str">
        <f t="shared" ca="1" si="25"/>
        <v/>
      </c>
      <c r="BV28" s="311" t="str">
        <f t="shared" ca="1" si="26"/>
        <v/>
      </c>
      <c r="BW28" s="311" t="str">
        <f t="shared" ca="1" si="27"/>
        <v/>
      </c>
      <c r="BX28" s="311" t="str">
        <f t="shared" ca="1" si="28"/>
        <v/>
      </c>
      <c r="BY28" s="311" t="str">
        <f t="shared" ca="1" si="61"/>
        <v/>
      </c>
      <c r="BZ28" s="311" t="str">
        <f t="shared" si="30"/>
        <v>Stage Gate 1</v>
      </c>
    </row>
    <row r="29" spans="1:78" ht="33.75" x14ac:dyDescent="0.2">
      <c r="A29" s="312"/>
      <c r="B29" s="308"/>
      <c r="C29" s="308"/>
      <c r="D29" s="307"/>
      <c r="E29" s="307"/>
      <c r="F29" s="307"/>
      <c r="G29" s="260"/>
      <c r="H29" s="262"/>
      <c r="I29" s="335" t="str">
        <f t="shared" si="42"/>
        <v/>
      </c>
      <c r="J29" s="336"/>
      <c r="K29" s="333" t="str">
        <f t="shared" si="43"/>
        <v/>
      </c>
      <c r="L29" s="317" t="str">
        <f t="shared" ca="1" si="1"/>
        <v/>
      </c>
      <c r="M29" s="332"/>
      <c r="N29" s="330"/>
      <c r="O29" s="315"/>
      <c r="P29" s="331"/>
      <c r="Q29" s="330"/>
      <c r="R29" s="309"/>
      <c r="S29" s="309"/>
      <c r="T29" s="316" t="str">
        <f t="shared" si="44"/>
        <v/>
      </c>
      <c r="U29" s="316" t="str">
        <f t="shared" si="45"/>
        <v/>
      </c>
      <c r="V29" s="316" t="str">
        <f t="shared" si="46"/>
        <v/>
      </c>
      <c r="W29" s="317" t="str">
        <f t="shared" si="47"/>
        <v/>
      </c>
      <c r="X29" s="314"/>
      <c r="Y29" s="330"/>
      <c r="Z29" s="315"/>
      <c r="AA29" s="330"/>
      <c r="AB29" s="330"/>
      <c r="AC29" s="315"/>
      <c r="AD29" s="315"/>
      <c r="AE29" s="316" t="str">
        <f t="shared" si="48"/>
        <v/>
      </c>
      <c r="AF29" s="316" t="str">
        <f t="shared" si="49"/>
        <v/>
      </c>
      <c r="AG29" s="316" t="str">
        <f t="shared" si="50"/>
        <v/>
      </c>
      <c r="AH29" s="317" t="str">
        <f t="shared" si="51"/>
        <v/>
      </c>
      <c r="AI29" s="314"/>
      <c r="AJ29" s="330"/>
      <c r="AK29" s="315"/>
      <c r="AL29" s="330"/>
      <c r="AM29" s="330"/>
      <c r="AN29" s="315"/>
      <c r="AO29" s="315"/>
      <c r="AP29" s="316" t="str">
        <f t="shared" si="52"/>
        <v/>
      </c>
      <c r="AQ29" s="316" t="str">
        <f t="shared" si="53"/>
        <v/>
      </c>
      <c r="AR29" s="316" t="str">
        <f t="shared" si="54"/>
        <v/>
      </c>
      <c r="AS29" s="317" t="str">
        <f t="shared" si="55"/>
        <v/>
      </c>
      <c r="AT29" s="318"/>
      <c r="AU29" s="331"/>
      <c r="AV29" s="319"/>
      <c r="AW29" s="331"/>
      <c r="AX29" s="331"/>
      <c r="AY29" s="313" t="str">
        <f t="shared" si="56"/>
        <v/>
      </c>
      <c r="AZ29" s="313"/>
      <c r="BA29" s="320" t="str">
        <f t="shared" si="14"/>
        <v/>
      </c>
      <c r="BB29" s="320" t="str">
        <f t="shared" si="15"/>
        <v/>
      </c>
      <c r="BC29" s="320" t="str">
        <f t="shared" si="16"/>
        <v/>
      </c>
      <c r="BD29" s="321" t="str">
        <f t="shared" si="57"/>
        <v/>
      </c>
      <c r="BE29" s="322"/>
      <c r="BF29" s="323"/>
      <c r="BG29" s="324" t="e">
        <f>VLOOKUP(A29,Finance!$A$3:$J$39,8,FALSE)</f>
        <v>#N/A</v>
      </c>
      <c r="BH29" s="325"/>
      <c r="BI29" s="323"/>
      <c r="BJ29" s="326" t="e">
        <f t="shared" si="58"/>
        <v>#DIV/0!</v>
      </c>
      <c r="BK29" s="326" t="e">
        <f t="shared" si="59"/>
        <v>#N/A</v>
      </c>
      <c r="BL29" s="327" t="str">
        <f t="shared" si="60"/>
        <v/>
      </c>
      <c r="BM29" s="305"/>
      <c r="BN29" s="306"/>
      <c r="BO29" s="328" t="str">
        <f>IF(AND(BL29="",BD29="",AS29="",W29=""),"",IF(AND(BL29="G",BD29="G",AS29="G",W29="G"),"G",IF(OR(BL29="R",BD29="R",AS29="R",W29="R"),"R",VLOOKUP(CONCATENATE(W29,AS29,BD29,BL29),'Rag Coding'!A:B,2,FALSE))))</f>
        <v/>
      </c>
      <c r="BP29" s="310">
        <f>'Dashboard Page'!U30</f>
        <v>0</v>
      </c>
      <c r="BQ29" s="311" t="str">
        <f t="shared" ca="1" si="21"/>
        <v/>
      </c>
      <c r="BR29" s="311" t="str">
        <f t="shared" ca="1" si="22"/>
        <v/>
      </c>
      <c r="BS29" s="311" t="str">
        <f t="shared" ca="1" si="23"/>
        <v/>
      </c>
      <c r="BT29" s="311" t="str">
        <f t="shared" ca="1" si="24"/>
        <v/>
      </c>
      <c r="BU29" s="311" t="str">
        <f t="shared" ca="1" si="25"/>
        <v/>
      </c>
      <c r="BV29" s="311" t="str">
        <f t="shared" ca="1" si="26"/>
        <v/>
      </c>
      <c r="BW29" s="311" t="str">
        <f t="shared" ca="1" si="27"/>
        <v/>
      </c>
      <c r="BX29" s="311" t="str">
        <f t="shared" ca="1" si="28"/>
        <v/>
      </c>
      <c r="BY29" s="311" t="str">
        <f t="shared" ca="1" si="61"/>
        <v/>
      </c>
      <c r="BZ29" s="311" t="str">
        <f t="shared" si="30"/>
        <v>Stage Gate 1</v>
      </c>
    </row>
    <row r="30" spans="1:78" ht="33.75" x14ac:dyDescent="0.2">
      <c r="A30" s="312"/>
      <c r="B30" s="308"/>
      <c r="C30" s="308"/>
      <c r="D30" s="307"/>
      <c r="E30" s="307"/>
      <c r="F30" s="307"/>
      <c r="G30" s="260"/>
      <c r="H30" s="262"/>
      <c r="I30" s="335" t="str">
        <f t="shared" si="42"/>
        <v/>
      </c>
      <c r="J30" s="336"/>
      <c r="K30" s="333" t="str">
        <f t="shared" si="43"/>
        <v/>
      </c>
      <c r="L30" s="317" t="str">
        <f t="shared" ca="1" si="1"/>
        <v/>
      </c>
      <c r="M30" s="332"/>
      <c r="N30" s="330"/>
      <c r="O30" s="315"/>
      <c r="P30" s="331"/>
      <c r="Q30" s="330"/>
      <c r="R30" s="309"/>
      <c r="S30" s="309"/>
      <c r="T30" s="316" t="str">
        <f t="shared" si="44"/>
        <v/>
      </c>
      <c r="U30" s="316" t="str">
        <f t="shared" si="45"/>
        <v/>
      </c>
      <c r="V30" s="316" t="str">
        <f t="shared" si="46"/>
        <v/>
      </c>
      <c r="W30" s="317" t="str">
        <f t="shared" si="47"/>
        <v/>
      </c>
      <c r="X30" s="314"/>
      <c r="Y30" s="330"/>
      <c r="Z30" s="315"/>
      <c r="AA30" s="330"/>
      <c r="AB30" s="330"/>
      <c r="AC30" s="315"/>
      <c r="AD30" s="315"/>
      <c r="AE30" s="316" t="str">
        <f t="shared" si="48"/>
        <v/>
      </c>
      <c r="AF30" s="316" t="str">
        <f t="shared" si="49"/>
        <v/>
      </c>
      <c r="AG30" s="316" t="str">
        <f t="shared" si="50"/>
        <v/>
      </c>
      <c r="AH30" s="317" t="str">
        <f t="shared" si="51"/>
        <v/>
      </c>
      <c r="AI30" s="314"/>
      <c r="AJ30" s="330"/>
      <c r="AK30" s="315"/>
      <c r="AL30" s="330"/>
      <c r="AM30" s="330"/>
      <c r="AN30" s="315"/>
      <c r="AO30" s="315"/>
      <c r="AP30" s="316" t="str">
        <f t="shared" si="52"/>
        <v/>
      </c>
      <c r="AQ30" s="316" t="str">
        <f t="shared" si="53"/>
        <v/>
      </c>
      <c r="AR30" s="316" t="str">
        <f t="shared" si="54"/>
        <v/>
      </c>
      <c r="AS30" s="317" t="str">
        <f t="shared" si="55"/>
        <v/>
      </c>
      <c r="AT30" s="318"/>
      <c r="AU30" s="331"/>
      <c r="AV30" s="319"/>
      <c r="AW30" s="331"/>
      <c r="AX30" s="331"/>
      <c r="AY30" s="313" t="str">
        <f t="shared" si="56"/>
        <v/>
      </c>
      <c r="AZ30" s="313"/>
      <c r="BA30" s="320" t="str">
        <f t="shared" si="14"/>
        <v/>
      </c>
      <c r="BB30" s="320" t="str">
        <f t="shared" si="15"/>
        <v/>
      </c>
      <c r="BC30" s="320" t="str">
        <f t="shared" si="16"/>
        <v/>
      </c>
      <c r="BD30" s="321" t="str">
        <f t="shared" si="57"/>
        <v/>
      </c>
      <c r="BE30" s="322"/>
      <c r="BF30" s="323"/>
      <c r="BG30" s="324" t="e">
        <f>VLOOKUP(A30,Finance!$A$3:$J$39,8,FALSE)</f>
        <v>#N/A</v>
      </c>
      <c r="BH30" s="325"/>
      <c r="BI30" s="323"/>
      <c r="BJ30" s="326" t="e">
        <f t="shared" si="58"/>
        <v>#DIV/0!</v>
      </c>
      <c r="BK30" s="326" t="e">
        <f t="shared" si="59"/>
        <v>#N/A</v>
      </c>
      <c r="BL30" s="327" t="str">
        <f t="shared" si="60"/>
        <v/>
      </c>
      <c r="BM30" s="305"/>
      <c r="BN30" s="306"/>
      <c r="BO30" s="328" t="str">
        <f>IF(AND(BL30="",BD30="",AS30="",W30=""),"",IF(AND(BL30="G",BD30="G",AS30="G",W30="G"),"G",IF(OR(BL30="R",BD30="R",AS30="R",W30="R"),"R",VLOOKUP(CONCATENATE(W30,AS30,BD30,BL30),'Rag Coding'!A:B,2,FALSE))))</f>
        <v/>
      </c>
      <c r="BP30" s="310">
        <f>'Dashboard Page'!U31</f>
        <v>0</v>
      </c>
      <c r="BQ30" s="311" t="str">
        <f t="shared" ca="1" si="21"/>
        <v/>
      </c>
      <c r="BR30" s="311" t="str">
        <f t="shared" ca="1" si="22"/>
        <v/>
      </c>
      <c r="BS30" s="311" t="str">
        <f t="shared" ca="1" si="23"/>
        <v/>
      </c>
      <c r="BT30" s="311" t="str">
        <f t="shared" ca="1" si="24"/>
        <v/>
      </c>
      <c r="BU30" s="311" t="str">
        <f t="shared" ca="1" si="25"/>
        <v/>
      </c>
      <c r="BV30" s="311" t="str">
        <f t="shared" ca="1" si="26"/>
        <v/>
      </c>
      <c r="BW30" s="311" t="str">
        <f t="shared" ca="1" si="27"/>
        <v/>
      </c>
      <c r="BX30" s="311" t="str">
        <f t="shared" ca="1" si="28"/>
        <v/>
      </c>
      <c r="BY30" s="311" t="str">
        <f t="shared" ca="1" si="61"/>
        <v/>
      </c>
      <c r="BZ30" s="311" t="str">
        <f t="shared" si="30"/>
        <v>Stage Gate 1</v>
      </c>
    </row>
    <row r="31" spans="1:78" ht="33.75" x14ac:dyDescent="0.2">
      <c r="A31" s="312"/>
      <c r="B31" s="308"/>
      <c r="C31" s="308"/>
      <c r="D31" s="307"/>
      <c r="E31" s="307"/>
      <c r="F31" s="307"/>
      <c r="G31" s="260"/>
      <c r="H31" s="262"/>
      <c r="I31" s="335" t="str">
        <f t="shared" si="42"/>
        <v/>
      </c>
      <c r="J31" s="336"/>
      <c r="K31" s="333" t="str">
        <f t="shared" si="43"/>
        <v/>
      </c>
      <c r="L31" s="317" t="str">
        <f t="shared" ca="1" si="1"/>
        <v/>
      </c>
      <c r="M31" s="332"/>
      <c r="N31" s="330"/>
      <c r="O31" s="315"/>
      <c r="P31" s="331"/>
      <c r="Q31" s="330"/>
      <c r="R31" s="309"/>
      <c r="S31" s="309"/>
      <c r="T31" s="316" t="str">
        <f t="shared" si="44"/>
        <v/>
      </c>
      <c r="U31" s="316" t="str">
        <f t="shared" si="45"/>
        <v/>
      </c>
      <c r="V31" s="316" t="str">
        <f t="shared" si="46"/>
        <v/>
      </c>
      <c r="W31" s="317" t="str">
        <f t="shared" si="47"/>
        <v/>
      </c>
      <c r="X31" s="314"/>
      <c r="Y31" s="330"/>
      <c r="Z31" s="315"/>
      <c r="AA31" s="330"/>
      <c r="AB31" s="330"/>
      <c r="AC31" s="315"/>
      <c r="AD31" s="315"/>
      <c r="AE31" s="316" t="str">
        <f t="shared" si="48"/>
        <v/>
      </c>
      <c r="AF31" s="316" t="str">
        <f t="shared" si="49"/>
        <v/>
      </c>
      <c r="AG31" s="316" t="str">
        <f t="shared" si="50"/>
        <v/>
      </c>
      <c r="AH31" s="317" t="str">
        <f t="shared" si="51"/>
        <v/>
      </c>
      <c r="AI31" s="314"/>
      <c r="AJ31" s="330"/>
      <c r="AK31" s="315"/>
      <c r="AL31" s="330"/>
      <c r="AM31" s="330"/>
      <c r="AN31" s="315"/>
      <c r="AO31" s="315"/>
      <c r="AP31" s="316" t="str">
        <f t="shared" si="52"/>
        <v/>
      </c>
      <c r="AQ31" s="316" t="str">
        <f t="shared" si="53"/>
        <v/>
      </c>
      <c r="AR31" s="316" t="str">
        <f t="shared" si="54"/>
        <v/>
      </c>
      <c r="AS31" s="317" t="str">
        <f t="shared" si="55"/>
        <v/>
      </c>
      <c r="AT31" s="318"/>
      <c r="AU31" s="331"/>
      <c r="AV31" s="319"/>
      <c r="AW31" s="331"/>
      <c r="AX31" s="331"/>
      <c r="AY31" s="313" t="str">
        <f t="shared" si="56"/>
        <v/>
      </c>
      <c r="AZ31" s="313"/>
      <c r="BA31" s="320" t="str">
        <f t="shared" si="14"/>
        <v/>
      </c>
      <c r="BB31" s="320" t="str">
        <f t="shared" si="15"/>
        <v/>
      </c>
      <c r="BC31" s="320" t="str">
        <f t="shared" si="16"/>
        <v/>
      </c>
      <c r="BD31" s="321" t="str">
        <f t="shared" si="57"/>
        <v/>
      </c>
      <c r="BE31" s="322"/>
      <c r="BF31" s="323"/>
      <c r="BG31" s="324" t="e">
        <f>VLOOKUP(A31,Finance!$A$3:$J$39,8,FALSE)</f>
        <v>#N/A</v>
      </c>
      <c r="BH31" s="325"/>
      <c r="BI31" s="323"/>
      <c r="BJ31" s="326" t="e">
        <f t="shared" si="58"/>
        <v>#DIV/0!</v>
      </c>
      <c r="BK31" s="326" t="e">
        <f t="shared" si="59"/>
        <v>#N/A</v>
      </c>
      <c r="BL31" s="327" t="str">
        <f t="shared" si="60"/>
        <v/>
      </c>
      <c r="BM31" s="305"/>
      <c r="BN31" s="306"/>
      <c r="BO31" s="328" t="str">
        <f>IF(AND(BL31="",BD31="",AS31="",W31=""),"",IF(AND(BL31="G",BD31="G",AS31="G",W31="G"),"G",IF(OR(BL31="R",BD31="R",AS31="R",W31="R"),"R",VLOOKUP(CONCATENATE(W31,AS31,BD31,BL31),'Rag Coding'!A:B,2,FALSE))))</f>
        <v/>
      </c>
      <c r="BP31" s="310">
        <f>'Dashboard Page'!U32</f>
        <v>0</v>
      </c>
      <c r="BQ31" s="311" t="str">
        <f t="shared" ca="1" si="21"/>
        <v/>
      </c>
      <c r="BR31" s="311" t="str">
        <f t="shared" ca="1" si="22"/>
        <v/>
      </c>
      <c r="BS31" s="311" t="str">
        <f t="shared" ca="1" si="23"/>
        <v/>
      </c>
      <c r="BT31" s="311" t="str">
        <f t="shared" ca="1" si="24"/>
        <v/>
      </c>
      <c r="BU31" s="311" t="str">
        <f t="shared" ca="1" si="25"/>
        <v/>
      </c>
      <c r="BV31" s="311" t="str">
        <f t="shared" ca="1" si="26"/>
        <v/>
      </c>
      <c r="BW31" s="311" t="str">
        <f t="shared" ca="1" si="27"/>
        <v/>
      </c>
      <c r="BX31" s="311" t="str">
        <f t="shared" ca="1" si="28"/>
        <v/>
      </c>
      <c r="BY31" s="311" t="str">
        <f t="shared" ca="1" si="61"/>
        <v/>
      </c>
      <c r="BZ31" s="311" t="str">
        <f t="shared" si="30"/>
        <v>Stage Gate 1</v>
      </c>
    </row>
    <row r="32" spans="1:78" ht="33.75" x14ac:dyDescent="0.2">
      <c r="A32" s="312"/>
      <c r="B32" s="308"/>
      <c r="C32" s="308"/>
      <c r="D32" s="307"/>
      <c r="E32" s="307"/>
      <c r="F32" s="307"/>
      <c r="G32" s="260"/>
      <c r="H32" s="262"/>
      <c r="I32" s="335" t="str">
        <f t="shared" si="42"/>
        <v/>
      </c>
      <c r="J32" s="336"/>
      <c r="K32" s="333" t="str">
        <f t="shared" si="43"/>
        <v/>
      </c>
      <c r="L32" s="317" t="str">
        <f t="shared" ca="1" si="1"/>
        <v/>
      </c>
      <c r="M32" s="332"/>
      <c r="N32" s="330"/>
      <c r="O32" s="315"/>
      <c r="P32" s="331"/>
      <c r="Q32" s="330"/>
      <c r="R32" s="309"/>
      <c r="S32" s="309"/>
      <c r="T32" s="316" t="str">
        <f t="shared" si="44"/>
        <v/>
      </c>
      <c r="U32" s="316" t="str">
        <f t="shared" si="45"/>
        <v/>
      </c>
      <c r="V32" s="316" t="str">
        <f t="shared" si="46"/>
        <v/>
      </c>
      <c r="W32" s="317" t="str">
        <f t="shared" si="47"/>
        <v/>
      </c>
      <c r="X32" s="314"/>
      <c r="Y32" s="330"/>
      <c r="Z32" s="315"/>
      <c r="AA32" s="330"/>
      <c r="AB32" s="330"/>
      <c r="AC32" s="315"/>
      <c r="AD32" s="315"/>
      <c r="AE32" s="316" t="str">
        <f t="shared" si="48"/>
        <v/>
      </c>
      <c r="AF32" s="316" t="str">
        <f t="shared" si="49"/>
        <v/>
      </c>
      <c r="AG32" s="316" t="str">
        <f t="shared" si="50"/>
        <v/>
      </c>
      <c r="AH32" s="317" t="str">
        <f t="shared" si="51"/>
        <v/>
      </c>
      <c r="AI32" s="314"/>
      <c r="AJ32" s="330"/>
      <c r="AK32" s="315"/>
      <c r="AL32" s="330"/>
      <c r="AM32" s="330"/>
      <c r="AN32" s="315"/>
      <c r="AO32" s="315"/>
      <c r="AP32" s="316" t="str">
        <f t="shared" si="52"/>
        <v/>
      </c>
      <c r="AQ32" s="316" t="str">
        <f t="shared" si="53"/>
        <v/>
      </c>
      <c r="AR32" s="316" t="str">
        <f t="shared" si="54"/>
        <v/>
      </c>
      <c r="AS32" s="317" t="str">
        <f t="shared" si="55"/>
        <v/>
      </c>
      <c r="AT32" s="318"/>
      <c r="AU32" s="331"/>
      <c r="AV32" s="319"/>
      <c r="AW32" s="331"/>
      <c r="AX32" s="331"/>
      <c r="AY32" s="313" t="str">
        <f t="shared" si="56"/>
        <v/>
      </c>
      <c r="AZ32" s="313"/>
      <c r="BA32" s="320" t="str">
        <f t="shared" si="14"/>
        <v/>
      </c>
      <c r="BB32" s="320" t="str">
        <f t="shared" si="15"/>
        <v/>
      </c>
      <c r="BC32" s="320" t="str">
        <f t="shared" si="16"/>
        <v/>
      </c>
      <c r="BD32" s="321" t="str">
        <f t="shared" si="57"/>
        <v/>
      </c>
      <c r="BE32" s="322"/>
      <c r="BF32" s="323"/>
      <c r="BG32" s="324" t="e">
        <f>VLOOKUP(A32,Finance!$A$3:$J$39,8,FALSE)</f>
        <v>#N/A</v>
      </c>
      <c r="BH32" s="325"/>
      <c r="BI32" s="323"/>
      <c r="BJ32" s="326" t="e">
        <f t="shared" si="58"/>
        <v>#DIV/0!</v>
      </c>
      <c r="BK32" s="326" t="e">
        <f t="shared" si="59"/>
        <v>#N/A</v>
      </c>
      <c r="BL32" s="327" t="str">
        <f t="shared" si="60"/>
        <v/>
      </c>
      <c r="BM32" s="305"/>
      <c r="BN32" s="306"/>
      <c r="BO32" s="328" t="str">
        <f>IF(AND(BL32="",BD32="",AS32="",W32=""),"",IF(AND(BL32="G",BD32="G",AS32="G",W32="G"),"G",IF(OR(BL32="R",BD32="R",AS32="R",W32="R"),"R",VLOOKUP(CONCATENATE(W32,AS32,BD32,BL32),'Rag Coding'!A:B,2,FALSE))))</f>
        <v/>
      </c>
      <c r="BP32" s="310">
        <f>'Dashboard Page'!U33</f>
        <v>0</v>
      </c>
      <c r="BQ32" s="311" t="str">
        <f t="shared" ca="1" si="21"/>
        <v/>
      </c>
      <c r="BR32" s="311" t="str">
        <f t="shared" ca="1" si="22"/>
        <v/>
      </c>
      <c r="BS32" s="311" t="str">
        <f t="shared" ca="1" si="23"/>
        <v/>
      </c>
      <c r="BT32" s="311" t="str">
        <f t="shared" ca="1" si="24"/>
        <v/>
      </c>
      <c r="BU32" s="311" t="str">
        <f t="shared" ca="1" si="25"/>
        <v/>
      </c>
      <c r="BV32" s="311" t="str">
        <f t="shared" ca="1" si="26"/>
        <v/>
      </c>
      <c r="BW32" s="311" t="str">
        <f t="shared" ca="1" si="27"/>
        <v/>
      </c>
      <c r="BX32" s="311" t="str">
        <f t="shared" ca="1" si="28"/>
        <v/>
      </c>
      <c r="BY32" s="311" t="str">
        <f t="shared" ca="1" si="61"/>
        <v/>
      </c>
      <c r="BZ32" s="311" t="str">
        <f t="shared" si="30"/>
        <v>Stage Gate 1</v>
      </c>
    </row>
    <row r="33" spans="1:78" ht="33.75" x14ac:dyDescent="0.2">
      <c r="A33" s="312"/>
      <c r="B33" s="308"/>
      <c r="C33" s="308"/>
      <c r="D33" s="307"/>
      <c r="E33" s="307"/>
      <c r="F33" s="307"/>
      <c r="G33" s="260"/>
      <c r="H33" s="262"/>
      <c r="I33" s="335" t="str">
        <f t="shared" si="42"/>
        <v/>
      </c>
      <c r="J33" s="336"/>
      <c r="K33" s="333" t="str">
        <f t="shared" si="43"/>
        <v/>
      </c>
      <c r="L33" s="317" t="str">
        <f t="shared" ca="1" si="1"/>
        <v/>
      </c>
      <c r="M33" s="332"/>
      <c r="N33" s="330"/>
      <c r="O33" s="315"/>
      <c r="P33" s="331"/>
      <c r="Q33" s="330"/>
      <c r="R33" s="309"/>
      <c r="S33" s="309"/>
      <c r="T33" s="316" t="str">
        <f t="shared" si="44"/>
        <v/>
      </c>
      <c r="U33" s="316" t="str">
        <f t="shared" si="45"/>
        <v/>
      </c>
      <c r="V33" s="316" t="str">
        <f t="shared" si="46"/>
        <v/>
      </c>
      <c r="W33" s="317" t="str">
        <f t="shared" si="47"/>
        <v/>
      </c>
      <c r="X33" s="314"/>
      <c r="Y33" s="330"/>
      <c r="Z33" s="315"/>
      <c r="AA33" s="330"/>
      <c r="AB33" s="330"/>
      <c r="AC33" s="315"/>
      <c r="AD33" s="315"/>
      <c r="AE33" s="316" t="str">
        <f t="shared" si="48"/>
        <v/>
      </c>
      <c r="AF33" s="316" t="str">
        <f t="shared" si="49"/>
        <v/>
      </c>
      <c r="AG33" s="316" t="str">
        <f t="shared" si="50"/>
        <v/>
      </c>
      <c r="AH33" s="317" t="str">
        <f t="shared" si="51"/>
        <v/>
      </c>
      <c r="AI33" s="314"/>
      <c r="AJ33" s="330"/>
      <c r="AK33" s="315"/>
      <c r="AL33" s="330"/>
      <c r="AM33" s="330"/>
      <c r="AN33" s="315"/>
      <c r="AO33" s="315"/>
      <c r="AP33" s="316" t="str">
        <f t="shared" si="52"/>
        <v/>
      </c>
      <c r="AQ33" s="316" t="str">
        <f t="shared" si="53"/>
        <v/>
      </c>
      <c r="AR33" s="316" t="str">
        <f t="shared" si="54"/>
        <v/>
      </c>
      <c r="AS33" s="317" t="str">
        <f t="shared" si="55"/>
        <v/>
      </c>
      <c r="AT33" s="318"/>
      <c r="AU33" s="331"/>
      <c r="AV33" s="319"/>
      <c r="AW33" s="331"/>
      <c r="AX33" s="331"/>
      <c r="AY33" s="313" t="str">
        <f t="shared" si="56"/>
        <v/>
      </c>
      <c r="AZ33" s="313"/>
      <c r="BA33" s="320" t="str">
        <f t="shared" si="14"/>
        <v/>
      </c>
      <c r="BB33" s="320" t="str">
        <f t="shared" si="15"/>
        <v/>
      </c>
      <c r="BC33" s="320" t="str">
        <f t="shared" si="16"/>
        <v/>
      </c>
      <c r="BD33" s="321" t="str">
        <f t="shared" si="57"/>
        <v/>
      </c>
      <c r="BE33" s="322"/>
      <c r="BF33" s="323"/>
      <c r="BG33" s="324" t="e">
        <f>VLOOKUP(A33,Finance!$A$3:$J$39,8,FALSE)</f>
        <v>#N/A</v>
      </c>
      <c r="BH33" s="325"/>
      <c r="BI33" s="323"/>
      <c r="BJ33" s="326" t="e">
        <f t="shared" si="58"/>
        <v>#DIV/0!</v>
      </c>
      <c r="BK33" s="326" t="e">
        <f t="shared" si="59"/>
        <v>#N/A</v>
      </c>
      <c r="BL33" s="327" t="str">
        <f t="shared" si="60"/>
        <v/>
      </c>
      <c r="BM33" s="305"/>
      <c r="BN33" s="306"/>
      <c r="BO33" s="328" t="str">
        <f>IF(AND(BL33="",BD33="",AS33="",W33=""),"",IF(AND(BL33="G",BD33="G",AS33="G",W33="G"),"G",IF(OR(BL33="R",BD33="R",AS33="R",W33="R"),"R",VLOOKUP(CONCATENATE(W33,AS33,BD33,BL33),'Rag Coding'!A:B,2,FALSE))))</f>
        <v/>
      </c>
      <c r="BP33" s="310">
        <f>'Dashboard Page'!U34</f>
        <v>0</v>
      </c>
      <c r="BQ33" s="311" t="str">
        <f t="shared" ca="1" si="21"/>
        <v/>
      </c>
      <c r="BR33" s="311" t="str">
        <f t="shared" ca="1" si="22"/>
        <v/>
      </c>
      <c r="BS33" s="311" t="str">
        <f t="shared" ca="1" si="23"/>
        <v/>
      </c>
      <c r="BT33" s="311" t="str">
        <f t="shared" ca="1" si="24"/>
        <v/>
      </c>
      <c r="BU33" s="311" t="str">
        <f t="shared" ca="1" si="25"/>
        <v/>
      </c>
      <c r="BV33" s="311" t="str">
        <f t="shared" ca="1" si="26"/>
        <v/>
      </c>
      <c r="BW33" s="311" t="str">
        <f t="shared" ca="1" si="27"/>
        <v/>
      </c>
      <c r="BX33" s="311" t="str">
        <f t="shared" ca="1" si="28"/>
        <v/>
      </c>
      <c r="BY33" s="311" t="str">
        <f t="shared" ca="1" si="61"/>
        <v/>
      </c>
      <c r="BZ33" s="311" t="str">
        <f t="shared" si="30"/>
        <v>Stage Gate 1</v>
      </c>
    </row>
    <row r="34" spans="1:78" ht="33.75" x14ac:dyDescent="0.2">
      <c r="A34" s="312"/>
      <c r="B34" s="308"/>
      <c r="C34" s="308"/>
      <c r="D34" s="307"/>
      <c r="E34" s="307"/>
      <c r="F34" s="307"/>
      <c r="G34" s="260"/>
      <c r="H34" s="279"/>
      <c r="I34" s="335" t="str">
        <f t="shared" ref="I34" si="142">IF(H34="","",DATE(YEAR(H34),MONTH(H34)+1,DAY(H34)))</f>
        <v/>
      </c>
      <c r="J34" s="336"/>
      <c r="K34" s="333" t="str">
        <f t="shared" ref="K34" si="143">IF(H34="","",IF(J34="","Board Date"&amp;CHAR(10)&amp;TEXT(I34,"dd/mm/yyyy"),"Completed"&amp;CHAR(10)&amp;TEXT(J34,"dd/mm/yyyy")))</f>
        <v/>
      </c>
      <c r="L34" s="317" t="str">
        <f t="shared" ca="1" si="1"/>
        <v/>
      </c>
      <c r="M34" s="332"/>
      <c r="N34" s="330"/>
      <c r="O34" s="315"/>
      <c r="P34" s="331"/>
      <c r="Q34" s="330"/>
      <c r="R34" s="309"/>
      <c r="S34" s="309"/>
      <c r="T34" s="316" t="str">
        <f t="shared" ref="T34" si="144">IFERROR(IF(1-(N34-M34)/(O34-M34)&gt;0.9,"G",IF(1-(N34-M34)/(O34-M34)&gt;0.85,"A","R")),"")</f>
        <v/>
      </c>
      <c r="U34" s="316" t="str">
        <f t="shared" ref="U34" si="145">IF(P34="","",IF((O34-M34)/(P34-M34)&gt;0.9,"G",(IF((O34-M34)/(P34-M34)&gt;0.85,"A","R"))))</f>
        <v/>
      </c>
      <c r="V34" s="316" t="str">
        <f t="shared" ref="V34" si="146">IF(Q34="","",IF((O34-M34)/(Q34-M34)&gt;0.9,"G",(IF((O34-M34)/(Q34-M34)&gt;0.85,"A","R"))))</f>
        <v/>
      </c>
      <c r="W34" s="317" t="str">
        <f t="shared" ref="W34" si="147">IF(V34="",IF(U34="",T34,U34),V34)</f>
        <v/>
      </c>
      <c r="X34" s="332"/>
      <c r="Y34" s="330"/>
      <c r="Z34" s="315"/>
      <c r="AA34" s="330"/>
      <c r="AB34" s="330"/>
      <c r="AC34" s="315"/>
      <c r="AD34" s="315"/>
      <c r="AE34" s="316" t="str">
        <f t="shared" ref="AE34" si="148">IFERROR(IF(1-(Y34-X34)/(Z34-X34)&gt;0.9,"G",IF(1-(Y34-X34)/(Z34-X34)&gt;0.85,"A","R")),"")</f>
        <v/>
      </c>
      <c r="AF34" s="316" t="str">
        <f t="shared" ref="AF34" si="149">IF(AA34="","",IF((Z34-X34)/(AA34-X34)&gt;0.9,"G",(IF((Z34-X34)/(AA34-X34)&gt;0.85,"A","R"))))</f>
        <v/>
      </c>
      <c r="AG34" s="316" t="str">
        <f t="shared" ref="AG34" si="150">IF(AB34="","",IF((Z34-X34)/(AB34-X34)&gt;0.9,"G",(IF((Z34-X34)/(AB34-X34)&gt;0.85,"A","R"))))</f>
        <v/>
      </c>
      <c r="AH34" s="317" t="str">
        <f t="shared" ref="AH34" si="151">IF(AG34="",IF(AF34="",AE34,AF34),AG34)</f>
        <v/>
      </c>
      <c r="AI34" s="332"/>
      <c r="AJ34" s="330"/>
      <c r="AK34" s="315"/>
      <c r="AL34" s="330"/>
      <c r="AM34" s="330"/>
      <c r="AN34" s="315"/>
      <c r="AO34" s="315"/>
      <c r="AP34" s="316" t="str">
        <f t="shared" ref="AP34" si="152">IFERROR(IF(1-(AJ34-AI34)/(AK34-AI34)&gt;0.9,"G",IF(1-(AJ34-AI34)/(AK34-AI34)&gt;0.85,"A","R")),"")</f>
        <v/>
      </c>
      <c r="AQ34" s="316" t="str">
        <f t="shared" ref="AQ34" si="153">IF(AL34="","",IF((AK34-AI34)/(AL34-AI34)&gt;0.9,"G",(IF((AK34-AI34)/(AL34-AI34)&gt;0.85,"A","R"))))</f>
        <v/>
      </c>
      <c r="AR34" s="316" t="str">
        <f t="shared" ref="AR34" si="154">IF(AM34="","",IF((AK34-AI34)/(AM34-AI34)&gt;0.9,"G",(IF((AK34-AI34)/(AM34-AI34)&gt;0.85,"A","R"))))</f>
        <v/>
      </c>
      <c r="AS34" s="317" t="str">
        <f t="shared" ref="AS34" si="155">IF(AR34="",IF(AQ34="",AP34,AQ34),AR34)</f>
        <v/>
      </c>
      <c r="AT34" s="281"/>
      <c r="AU34" s="331"/>
      <c r="AV34" s="319"/>
      <c r="AW34" s="331"/>
      <c r="AX34" s="331"/>
      <c r="AY34" s="313" t="str">
        <f t="shared" ref="AY34" si="156">IF(AX34="","",DATE(YEAR(AX34),MONTH(AX34)+3,DAY(AX34)))</f>
        <v/>
      </c>
      <c r="AZ34" s="313"/>
      <c r="BA34" s="320" t="str">
        <f t="shared" si="14"/>
        <v/>
      </c>
      <c r="BB34" s="320" t="str">
        <f t="shared" si="15"/>
        <v/>
      </c>
      <c r="BC34" s="320" t="str">
        <f t="shared" si="16"/>
        <v/>
      </c>
      <c r="BD34" s="251" t="str">
        <f t="shared" ref="BD34" si="157">IF(BC34="",IF(BB34="",BA34,BB34),BC34)</f>
        <v/>
      </c>
      <c r="BE34" s="322"/>
      <c r="BF34" s="323"/>
      <c r="BG34" s="324" t="e">
        <f>VLOOKUP(A34,Finance!$A$3:$J$39,8,FALSE)</f>
        <v>#N/A</v>
      </c>
      <c r="BH34" s="295"/>
      <c r="BI34" s="294"/>
      <c r="BJ34" s="296" t="e">
        <f t="shared" ref="BJ34" si="158">(BF34-BE34)/BE34</f>
        <v>#DIV/0!</v>
      </c>
      <c r="BK34" s="296" t="e">
        <f t="shared" ref="BK34" si="159">(BG34-BE34)/BE34</f>
        <v>#N/A</v>
      </c>
      <c r="BL34" s="297" t="str">
        <f t="shared" ref="BL34" si="160">IF(BE34="","",IF(AND(BJ34&lt;0.025,BK34&lt;0.025),"G",IF(OR(BJ34&gt;0.05,BK34&gt;0.05),"R",IF(AND(BJ34&gt;0.025,BK34&gt;0.025),"A","G"))))</f>
        <v/>
      </c>
      <c r="BM34" s="291"/>
      <c r="BN34" s="292"/>
      <c r="BO34" s="298" t="str">
        <f>IF(AND(BL34="",BD34="",AS34="",W34=""),"",IF(AND(BL34="G",BD34="G",AS34="G",W34="G"),"G",IF(OR(BL34="R",BD34="R",AS34="R",W34="R"),"R",VLOOKUP(CONCATENATE(W34,AS34,BD34,BL34),'Rag Coding'!A:B,2,FALSE))))</f>
        <v/>
      </c>
      <c r="BP34" s="310">
        <f>'Dashboard Page'!U35</f>
        <v>0</v>
      </c>
      <c r="BQ34" s="293" t="str">
        <f t="shared" ca="1" si="21"/>
        <v/>
      </c>
      <c r="BR34" s="293" t="str">
        <f t="shared" ca="1" si="22"/>
        <v/>
      </c>
      <c r="BS34" s="293" t="str">
        <f t="shared" ca="1" si="23"/>
        <v/>
      </c>
      <c r="BT34" s="293" t="str">
        <f t="shared" ca="1" si="24"/>
        <v/>
      </c>
      <c r="BU34" s="293" t="str">
        <f t="shared" ca="1" si="25"/>
        <v/>
      </c>
      <c r="BV34" s="293" t="str">
        <f t="shared" ca="1" si="26"/>
        <v/>
      </c>
      <c r="BW34" s="293" t="str">
        <f t="shared" ca="1" si="27"/>
        <v/>
      </c>
      <c r="BX34" s="293" t="str">
        <f t="shared" ca="1" si="28"/>
        <v/>
      </c>
      <c r="BY34" s="293" t="str">
        <f t="shared" ref="BY34" ca="1" si="161">IF(BW34="Completed ",IF(BF34-BE34&gt;0,"Over budget by £"&amp;(BF34-BE34),"Under budget by £"&amp;BE34-BF34),IF(BF34="","","Current Forecast Spend £"&amp;BF34))</f>
        <v/>
      </c>
      <c r="BZ34" s="293" t="str">
        <f t="shared" si="30"/>
        <v>Stage Gate 1</v>
      </c>
    </row>
    <row r="35" spans="1:78" ht="33.75" x14ac:dyDescent="0.2">
      <c r="A35" s="312"/>
      <c r="B35" s="308"/>
      <c r="C35" s="308"/>
      <c r="D35" s="307"/>
      <c r="E35" s="307"/>
      <c r="F35" s="307"/>
      <c r="G35" s="260"/>
      <c r="H35" s="279"/>
      <c r="I35" s="335" t="str">
        <f t="shared" si="33"/>
        <v/>
      </c>
      <c r="J35" s="336"/>
      <c r="K35" s="333" t="str">
        <f t="shared" si="34"/>
        <v/>
      </c>
      <c r="L35" s="317" t="str">
        <f t="shared" ca="1" si="1"/>
        <v/>
      </c>
      <c r="M35" s="332"/>
      <c r="N35" s="330"/>
      <c r="O35" s="315"/>
      <c r="P35" s="331"/>
      <c r="Q35" s="330"/>
      <c r="R35" s="309"/>
      <c r="S35" s="309"/>
      <c r="T35" s="316" t="str">
        <f t="shared" si="2"/>
        <v/>
      </c>
      <c r="U35" s="316" t="str">
        <f t="shared" si="3"/>
        <v/>
      </c>
      <c r="V35" s="316" t="str">
        <f t="shared" si="4"/>
        <v/>
      </c>
      <c r="W35" s="317" t="str">
        <f t="shared" si="32"/>
        <v/>
      </c>
      <c r="X35" s="332"/>
      <c r="Y35" s="330"/>
      <c r="Z35" s="315"/>
      <c r="AA35" s="330"/>
      <c r="AB35" s="330"/>
      <c r="AC35" s="315"/>
      <c r="AD35" s="315"/>
      <c r="AE35" s="316" t="str">
        <f t="shared" si="5"/>
        <v/>
      </c>
      <c r="AF35" s="316" t="str">
        <f t="shared" si="6"/>
        <v/>
      </c>
      <c r="AG35" s="316" t="str">
        <f t="shared" si="7"/>
        <v/>
      </c>
      <c r="AH35" s="317" t="str">
        <f t="shared" si="8"/>
        <v/>
      </c>
      <c r="AI35" s="332"/>
      <c r="AJ35" s="330"/>
      <c r="AK35" s="315"/>
      <c r="AL35" s="330"/>
      <c r="AM35" s="330"/>
      <c r="AN35" s="315"/>
      <c r="AO35" s="315"/>
      <c r="AP35" s="316" t="str">
        <f t="shared" si="35"/>
        <v/>
      </c>
      <c r="AQ35" s="316" t="str">
        <f t="shared" si="36"/>
        <v/>
      </c>
      <c r="AR35" s="316" t="str">
        <f t="shared" si="37"/>
        <v/>
      </c>
      <c r="AS35" s="317" t="str">
        <f t="shared" si="38"/>
        <v/>
      </c>
      <c r="AT35" s="281"/>
      <c r="AU35" s="331"/>
      <c r="AV35" s="319"/>
      <c r="AW35" s="331"/>
      <c r="AX35" s="331"/>
      <c r="AY35" s="313" t="str">
        <f t="shared" si="13"/>
        <v/>
      </c>
      <c r="AZ35" s="313"/>
      <c r="BA35" s="320" t="str">
        <f t="shared" si="14"/>
        <v/>
      </c>
      <c r="BB35" s="320" t="str">
        <f t="shared" si="15"/>
        <v/>
      </c>
      <c r="BC35" s="320" t="str">
        <f t="shared" si="16"/>
        <v/>
      </c>
      <c r="BD35" s="251" t="str">
        <f t="shared" si="39"/>
        <v/>
      </c>
      <c r="BE35" s="322"/>
      <c r="BF35" s="323"/>
      <c r="BG35" s="324" t="e">
        <f>VLOOKUP(A35,Finance!$A$3:$J$39,8,FALSE)</f>
        <v>#N/A</v>
      </c>
      <c r="BH35" s="62"/>
      <c r="BI35" s="60"/>
      <c r="BJ35" s="63" t="e">
        <f t="shared" si="40"/>
        <v>#DIV/0!</v>
      </c>
      <c r="BK35" s="63" t="e">
        <f t="shared" si="41"/>
        <v>#N/A</v>
      </c>
      <c r="BL35" s="64" t="str">
        <f t="shared" si="20"/>
        <v/>
      </c>
      <c r="BM35" s="18"/>
      <c r="BN35" s="19"/>
      <c r="BO35" s="65" t="str">
        <f>IF(AND(BL35="",BD35="",AS35="",W35=""),"",IF(AND(BL35="G",BD35="G",AS35="G",W35="G"),"G",IF(OR(BL35="R",BD35="R",AS35="R",W35="R"),"R",VLOOKUP(CONCATENATE(W35,AS35,BD35,BL35),'Rag Coding'!A:B,2,FALSE))))</f>
        <v/>
      </c>
      <c r="BP35" s="310">
        <f>'Dashboard Page'!U36</f>
        <v>0</v>
      </c>
      <c r="BQ35" s="39" t="str">
        <f t="shared" ca="1" si="21"/>
        <v/>
      </c>
      <c r="BR35" s="39" t="str">
        <f t="shared" ca="1" si="22"/>
        <v/>
      </c>
      <c r="BS35" s="39" t="str">
        <f t="shared" ca="1" si="23"/>
        <v/>
      </c>
      <c r="BT35" s="39" t="str">
        <f t="shared" ca="1" si="24"/>
        <v/>
      </c>
      <c r="BU35" s="39" t="str">
        <f t="shared" ca="1" si="25"/>
        <v/>
      </c>
      <c r="BV35" s="39" t="str">
        <f t="shared" ca="1" si="26"/>
        <v/>
      </c>
      <c r="BW35" s="39" t="str">
        <f t="shared" ca="1" si="27"/>
        <v/>
      </c>
      <c r="BX35" s="39" t="str">
        <f t="shared" ca="1" si="28"/>
        <v/>
      </c>
      <c r="BY35" s="39" t="str">
        <f t="shared" ca="1" si="29"/>
        <v/>
      </c>
      <c r="BZ35" s="39" t="str">
        <f t="shared" si="30"/>
        <v>Stage Gate 1</v>
      </c>
    </row>
    <row r="36" spans="1:78" ht="33.75" x14ac:dyDescent="0.2">
      <c r="A36" s="44"/>
      <c r="B36" s="21"/>
      <c r="C36" s="21"/>
      <c r="D36" s="20"/>
      <c r="E36" s="20"/>
      <c r="F36" s="100"/>
      <c r="G36" s="260"/>
      <c r="H36" s="262"/>
      <c r="I36" s="220" t="str">
        <f t="shared" si="33"/>
        <v/>
      </c>
      <c r="J36" s="336"/>
      <c r="K36" s="154" t="str">
        <f t="shared" si="34"/>
        <v/>
      </c>
      <c r="L36" s="317" t="str">
        <f t="shared" ca="1" si="1"/>
        <v/>
      </c>
      <c r="M36" s="140"/>
      <c r="N36" s="112"/>
      <c r="O36" s="52"/>
      <c r="P36" s="113"/>
      <c r="Q36" s="112"/>
      <c r="R36" s="28"/>
      <c r="S36" s="28"/>
      <c r="T36" s="53" t="str">
        <f t="shared" si="2"/>
        <v/>
      </c>
      <c r="U36" s="53" t="str">
        <f t="shared" si="3"/>
        <v/>
      </c>
      <c r="V36" s="53" t="str">
        <f t="shared" si="4"/>
        <v/>
      </c>
      <c r="W36" s="54" t="str">
        <f t="shared" si="32"/>
        <v/>
      </c>
      <c r="X36" s="51"/>
      <c r="Y36" s="112"/>
      <c r="Z36" s="52"/>
      <c r="AA36" s="112"/>
      <c r="AB36" s="112"/>
      <c r="AC36" s="52"/>
      <c r="AD36" s="52"/>
      <c r="AE36" s="53" t="str">
        <f t="shared" si="5"/>
        <v/>
      </c>
      <c r="AF36" s="53" t="str">
        <f t="shared" si="6"/>
        <v/>
      </c>
      <c r="AG36" s="53" t="str">
        <f t="shared" si="7"/>
        <v/>
      </c>
      <c r="AH36" s="317" t="str">
        <f t="shared" si="8"/>
        <v/>
      </c>
      <c r="AI36" s="332"/>
      <c r="AJ36" s="112"/>
      <c r="AK36" s="52"/>
      <c r="AL36" s="112"/>
      <c r="AM36" s="112"/>
      <c r="AN36" s="52"/>
      <c r="AO36" s="52"/>
      <c r="AP36" s="53" t="str">
        <f t="shared" si="35"/>
        <v/>
      </c>
      <c r="AQ36" s="53" t="str">
        <f t="shared" si="36"/>
        <v/>
      </c>
      <c r="AR36" s="53" t="str">
        <f t="shared" si="37"/>
        <v/>
      </c>
      <c r="AS36" s="317" t="str">
        <f t="shared" si="38"/>
        <v/>
      </c>
      <c r="AT36" s="281"/>
      <c r="AU36" s="113"/>
      <c r="AV36" s="56"/>
      <c r="AW36" s="113"/>
      <c r="AX36" s="113"/>
      <c r="AY36" s="45" t="str">
        <f t="shared" si="13"/>
        <v/>
      </c>
      <c r="AZ36" s="45"/>
      <c r="BA36" s="57" t="str">
        <f t="shared" si="14"/>
        <v/>
      </c>
      <c r="BB36" s="57" t="str">
        <f t="shared" si="15"/>
        <v/>
      </c>
      <c r="BC36" s="57" t="str">
        <f t="shared" si="16"/>
        <v/>
      </c>
      <c r="BD36" s="58" t="str">
        <f t="shared" si="39"/>
        <v/>
      </c>
      <c r="BE36" s="322"/>
      <c r="BF36" s="323"/>
      <c r="BG36" s="324" t="e">
        <f>VLOOKUP(A36,Finance!$A$3:$J$39,8,FALSE)</f>
        <v>#N/A</v>
      </c>
      <c r="BH36" s="62"/>
      <c r="BI36" s="60"/>
      <c r="BJ36" s="63" t="e">
        <f t="shared" si="40"/>
        <v>#DIV/0!</v>
      </c>
      <c r="BK36" s="63" t="e">
        <f t="shared" si="41"/>
        <v>#N/A</v>
      </c>
      <c r="BL36" s="64" t="str">
        <f t="shared" si="20"/>
        <v/>
      </c>
      <c r="BM36" s="18"/>
      <c r="BN36" s="19"/>
      <c r="BO36" s="65" t="str">
        <f>IF(AND(BL36="",BD36="",AS36="",W36=""),"",IF(AND(BL36="G",BD36="G",AS36="G",W36="G"),"G",IF(OR(BL36="R",BD36="R",AS36="R",W36="R"),"R",VLOOKUP(CONCATENATE(W36,AS36,BD36,BL36),'Rag Coding'!A:B,2,FALSE))))</f>
        <v/>
      </c>
      <c r="BP36" s="310">
        <f>'Dashboard Page'!U37</f>
        <v>0</v>
      </c>
      <c r="BQ36" s="39" t="str">
        <f t="shared" ca="1" si="21"/>
        <v/>
      </c>
      <c r="BR36" s="39" t="str">
        <f t="shared" ca="1" si="22"/>
        <v/>
      </c>
      <c r="BS36" s="39" t="str">
        <f t="shared" ca="1" si="23"/>
        <v/>
      </c>
      <c r="BT36" s="39" t="str">
        <f t="shared" ca="1" si="24"/>
        <v/>
      </c>
      <c r="BU36" s="39" t="str">
        <f t="shared" ca="1" si="25"/>
        <v/>
      </c>
      <c r="BV36" s="39" t="str">
        <f t="shared" ca="1" si="26"/>
        <v/>
      </c>
      <c r="BW36" s="39" t="str">
        <f t="shared" ca="1" si="27"/>
        <v/>
      </c>
      <c r="BX36" s="39" t="str">
        <f t="shared" ca="1" si="28"/>
        <v/>
      </c>
      <c r="BY36" s="39" t="str">
        <f t="shared" ca="1" si="29"/>
        <v/>
      </c>
      <c r="BZ36" s="39" t="str">
        <f t="shared" si="30"/>
        <v>Stage Gate 1</v>
      </c>
    </row>
    <row r="37" spans="1:78" ht="33.75" x14ac:dyDescent="0.2">
      <c r="A37" s="44"/>
      <c r="B37" s="21"/>
      <c r="C37" s="21"/>
      <c r="D37" s="20"/>
      <c r="E37" s="20"/>
      <c r="F37" s="100"/>
      <c r="G37" s="260"/>
      <c r="H37" s="262"/>
      <c r="I37" s="220" t="str">
        <f t="shared" si="33"/>
        <v/>
      </c>
      <c r="J37" s="336"/>
      <c r="K37" s="154" t="str">
        <f t="shared" si="34"/>
        <v/>
      </c>
      <c r="L37" s="317" t="str">
        <f t="shared" ca="1" si="1"/>
        <v/>
      </c>
      <c r="M37" s="140"/>
      <c r="N37" s="112"/>
      <c r="O37" s="52"/>
      <c r="P37" s="113"/>
      <c r="Q37" s="112"/>
      <c r="R37" s="28"/>
      <c r="S37" s="28"/>
      <c r="T37" s="53" t="str">
        <f t="shared" si="2"/>
        <v/>
      </c>
      <c r="U37" s="53" t="str">
        <f t="shared" si="3"/>
        <v/>
      </c>
      <c r="V37" s="53" t="str">
        <f t="shared" si="4"/>
        <v/>
      </c>
      <c r="W37" s="54" t="str">
        <f t="shared" si="32"/>
        <v/>
      </c>
      <c r="X37" s="51"/>
      <c r="Y37" s="112"/>
      <c r="Z37" s="52"/>
      <c r="AA37" s="112"/>
      <c r="AB37" s="112"/>
      <c r="AC37" s="52"/>
      <c r="AD37" s="52"/>
      <c r="AE37" s="53" t="str">
        <f t="shared" si="5"/>
        <v/>
      </c>
      <c r="AF37" s="53" t="str">
        <f t="shared" si="6"/>
        <v/>
      </c>
      <c r="AG37" s="53" t="str">
        <f t="shared" si="7"/>
        <v/>
      </c>
      <c r="AH37" s="317" t="str">
        <f t="shared" si="8"/>
        <v/>
      </c>
      <c r="AI37" s="332"/>
      <c r="AJ37" s="112"/>
      <c r="AK37" s="52"/>
      <c r="AL37" s="112"/>
      <c r="AM37" s="112"/>
      <c r="AN37" s="52"/>
      <c r="AO37" s="52"/>
      <c r="AP37" s="53" t="str">
        <f t="shared" si="35"/>
        <v/>
      </c>
      <c r="AQ37" s="53" t="str">
        <f t="shared" si="36"/>
        <v/>
      </c>
      <c r="AR37" s="53" t="str">
        <f t="shared" si="37"/>
        <v/>
      </c>
      <c r="AS37" s="54" t="str">
        <f t="shared" si="38"/>
        <v/>
      </c>
      <c r="AT37" s="55"/>
      <c r="AU37" s="113"/>
      <c r="AV37" s="56"/>
      <c r="AW37" s="113"/>
      <c r="AX37" s="113"/>
      <c r="AY37" s="45" t="str">
        <f t="shared" si="13"/>
        <v/>
      </c>
      <c r="AZ37" s="45"/>
      <c r="BA37" s="57" t="str">
        <f t="shared" si="14"/>
        <v/>
      </c>
      <c r="BB37" s="57" t="str">
        <f t="shared" si="15"/>
        <v/>
      </c>
      <c r="BC37" s="57" t="str">
        <f t="shared" si="16"/>
        <v/>
      </c>
      <c r="BD37" s="58" t="str">
        <f t="shared" si="39"/>
        <v/>
      </c>
      <c r="BE37" s="322"/>
      <c r="BF37" s="323"/>
      <c r="BG37" s="324" t="e">
        <f>VLOOKUP(A37,Finance!$A$3:$J$39,8,FALSE)</f>
        <v>#N/A</v>
      </c>
      <c r="BH37" s="62"/>
      <c r="BI37" s="60"/>
      <c r="BJ37" s="63" t="e">
        <f t="shared" si="40"/>
        <v>#DIV/0!</v>
      </c>
      <c r="BK37" s="63" t="e">
        <f t="shared" si="41"/>
        <v>#N/A</v>
      </c>
      <c r="BL37" s="64" t="str">
        <f t="shared" si="20"/>
        <v/>
      </c>
      <c r="BM37" s="18"/>
      <c r="BN37" s="19"/>
      <c r="BO37" s="65" t="str">
        <f>IF(AND(BL37="",BD37="",AS37="",W37=""),"",IF(AND(BL37="G",BD37="G",AS37="G",W37="G"),"G",IF(OR(BL37="R",BD37="R",AS37="R",W37="R"),"R",VLOOKUP(CONCATENATE(W37,AS37,BD37,BL37),'Rag Coding'!A:B,2,FALSE))))</f>
        <v/>
      </c>
      <c r="BP37" s="310">
        <f>'Dashboard Page'!U38</f>
        <v>0</v>
      </c>
      <c r="BQ37" s="39" t="str">
        <f t="shared" ca="1" si="21"/>
        <v/>
      </c>
      <c r="BR37" s="39" t="str">
        <f t="shared" ca="1" si="22"/>
        <v/>
      </c>
      <c r="BS37" s="39" t="str">
        <f t="shared" ca="1" si="23"/>
        <v/>
      </c>
      <c r="BT37" s="39" t="str">
        <f t="shared" ca="1" si="24"/>
        <v/>
      </c>
      <c r="BU37" s="39" t="str">
        <f t="shared" ca="1" si="25"/>
        <v/>
      </c>
      <c r="BV37" s="39" t="str">
        <f t="shared" ca="1" si="26"/>
        <v/>
      </c>
      <c r="BW37" s="39" t="str">
        <f t="shared" ca="1" si="27"/>
        <v/>
      </c>
      <c r="BX37" s="39" t="str">
        <f t="shared" ca="1" si="28"/>
        <v/>
      </c>
      <c r="BY37" s="39" t="str">
        <f t="shared" ca="1" si="29"/>
        <v/>
      </c>
      <c r="BZ37" s="39" t="str">
        <f t="shared" si="30"/>
        <v>Stage Gate 1</v>
      </c>
    </row>
    <row r="38" spans="1:78" ht="33.75" x14ac:dyDescent="0.2">
      <c r="A38" s="312"/>
      <c r="B38" s="308"/>
      <c r="C38" s="308"/>
      <c r="D38" s="307"/>
      <c r="E38" s="307"/>
      <c r="F38" s="307"/>
      <c r="G38" s="260"/>
      <c r="H38" s="262"/>
      <c r="I38" s="335" t="str">
        <f t="shared" ref="I38" si="162">IF(H38="","",DATE(YEAR(H38),MONTH(H38)+1,DAY(H38)))</f>
        <v/>
      </c>
      <c r="J38" s="336"/>
      <c r="K38" s="333" t="str">
        <f t="shared" ref="K38" si="163">IF(H38="","",IF(J38="","Board Date"&amp;CHAR(10)&amp;TEXT(I38,"dd/mm/yyyy"),"Completed"&amp;CHAR(10)&amp;TEXT(J38,"dd/mm/yyyy")))</f>
        <v/>
      </c>
      <c r="L38" s="317" t="str">
        <f t="shared" ca="1" si="1"/>
        <v/>
      </c>
      <c r="M38" s="332"/>
      <c r="N38" s="330"/>
      <c r="O38" s="315"/>
      <c r="P38" s="331"/>
      <c r="Q38" s="330"/>
      <c r="R38" s="309"/>
      <c r="S38" s="309"/>
      <c r="T38" s="316" t="str">
        <f t="shared" ref="T38" si="164">IFERROR(IF(1-(N38-M38)/(O38-M38)&gt;0.9,"G",IF(1-(N38-M38)/(O38-M38)&gt;0.85,"A","R")),"")</f>
        <v/>
      </c>
      <c r="U38" s="316" t="str">
        <f t="shared" ref="U38" si="165">IF(P38="","",IF((O38-M38)/(P38-M38)&gt;0.9,"G",(IF((O38-M38)/(P38-M38)&gt;0.85,"A","R"))))</f>
        <v/>
      </c>
      <c r="V38" s="316" t="str">
        <f t="shared" ref="V38" si="166">IF(Q38="","",IF((O38-M38)/(Q38-M38)&gt;0.9,"G",(IF((O38-M38)/(Q38-M38)&gt;0.85,"A","R"))))</f>
        <v/>
      </c>
      <c r="W38" s="317" t="str">
        <f t="shared" ref="W38" si="167">IF(V38="",IF(U38="",T38,U38),V38)</f>
        <v/>
      </c>
      <c r="X38" s="314"/>
      <c r="Y38" s="330"/>
      <c r="Z38" s="315"/>
      <c r="AA38" s="330"/>
      <c r="AB38" s="330"/>
      <c r="AC38" s="315"/>
      <c r="AD38" s="315"/>
      <c r="AE38" s="316" t="str">
        <f t="shared" ref="AE38" si="168">IFERROR(IF(1-(Y38-X38)/(Z38-X38)&gt;0.9,"G",IF(1-(Y38-X38)/(Z38-X38)&gt;0.85,"A","R")),"")</f>
        <v/>
      </c>
      <c r="AF38" s="316" t="str">
        <f t="shared" ref="AF38" si="169">IF(AA38="","",IF((Z38-X38)/(AA38-X38)&gt;0.9,"G",(IF((Z38-X38)/(AA38-X38)&gt;0.85,"A","R"))))</f>
        <v/>
      </c>
      <c r="AG38" s="316" t="str">
        <f t="shared" ref="AG38" si="170">IF(AB38="","",IF((Z38-X38)/(AB38-X38)&gt;0.9,"G",(IF((Z38-X38)/(AB38-X38)&gt;0.85,"A","R"))))</f>
        <v/>
      </c>
      <c r="AH38" s="317" t="str">
        <f t="shared" ref="AH38" si="171">IF(AG38="",IF(AF38="",AE38,AF38),AG38)</f>
        <v/>
      </c>
      <c r="AI38" s="314"/>
      <c r="AJ38" s="330"/>
      <c r="AK38" s="315"/>
      <c r="AL38" s="330"/>
      <c r="AM38" s="330"/>
      <c r="AN38" s="315"/>
      <c r="AO38" s="315"/>
      <c r="AP38" s="316" t="str">
        <f t="shared" ref="AP38" si="172">IFERROR(IF(1-(AJ38-AI38)/(AK38-AI38)&gt;0.9,"G",IF(1-(AJ38-AI38)/(AK38-AI38)&gt;0.85,"A","R")),"")</f>
        <v/>
      </c>
      <c r="AQ38" s="316" t="str">
        <f t="shared" ref="AQ38" si="173">IF(AL38="","",IF((AK38-AI38)/(AL38-AI38)&gt;0.9,"G",(IF((AK38-AI38)/(AL38-AI38)&gt;0.85,"A","R"))))</f>
        <v/>
      </c>
      <c r="AR38" s="316" t="str">
        <f t="shared" ref="AR38" si="174">IF(AM38="","",IF((AK38-AI38)/(AM38-AI38)&gt;0.9,"G",(IF((AK38-AI38)/(AM38-AI38)&gt;0.85,"A","R"))))</f>
        <v/>
      </c>
      <c r="AS38" s="317" t="str">
        <f t="shared" ref="AS38" si="175">IF(AR38="",IF(AQ38="",AP38,AQ38),AR38)</f>
        <v/>
      </c>
      <c r="AT38" s="318"/>
      <c r="AU38" s="331"/>
      <c r="AV38" s="319"/>
      <c r="AW38" s="331"/>
      <c r="AX38" s="331"/>
      <c r="AY38" s="313" t="str">
        <f t="shared" ref="AY38" si="176">IF(AX38="","",DATE(YEAR(AX38),MONTH(AX38)+3,DAY(AX38)))</f>
        <v/>
      </c>
      <c r="AZ38" s="313"/>
      <c r="BA38" s="320" t="str">
        <f t="shared" si="14"/>
        <v/>
      </c>
      <c r="BB38" s="320" t="str">
        <f t="shared" si="15"/>
        <v/>
      </c>
      <c r="BC38" s="320" t="str">
        <f t="shared" si="16"/>
        <v/>
      </c>
      <c r="BD38" s="251" t="str">
        <f t="shared" ref="BD38" si="177">IF(BC38="",IF(BB38="",BA38,BB38),BC38)</f>
        <v/>
      </c>
      <c r="BE38" s="322"/>
      <c r="BF38" s="323"/>
      <c r="BG38" s="324" t="e">
        <f>VLOOKUP(A38,Finance!$A$3:$J$39,8,FALSE)</f>
        <v>#N/A</v>
      </c>
      <c r="BH38" s="295"/>
      <c r="BI38" s="294"/>
      <c r="BJ38" s="296" t="e">
        <f t="shared" ref="BJ38" si="178">(BF38-BE38)/BE38</f>
        <v>#DIV/0!</v>
      </c>
      <c r="BK38" s="296" t="e">
        <f t="shared" ref="BK38" si="179">(BG38-BE38)/BE38</f>
        <v>#N/A</v>
      </c>
      <c r="BL38" s="297" t="str">
        <f t="shared" ref="BL38" si="180">IF(BE38="","",IF(AND(BJ38&lt;0.025,BK38&lt;0.025),"G",IF(OR(BJ38&gt;0.05,BK38&gt;0.05),"R",IF(AND(BJ38&gt;0.025,BK38&gt;0.025),"A","G"))))</f>
        <v/>
      </c>
      <c r="BM38" s="291"/>
      <c r="BN38" s="292"/>
      <c r="BO38" s="298" t="str">
        <f>IF(AND(BL38="",BD38="",AS38="",W38=""),"",IF(AND(BL38="G",BD38="G",AS38="G",W38="G"),"G",IF(OR(BL38="R",BD38="R",AS38="R",W38="R"),"R",VLOOKUP(CONCATENATE(W38,AS38,BD38,BL38),'Rag Coding'!A:B,2,FALSE))))</f>
        <v/>
      </c>
      <c r="BP38" s="310">
        <f>'Dashboard Page'!U39</f>
        <v>0</v>
      </c>
      <c r="BQ38" s="293" t="str">
        <f t="shared" ca="1" si="21"/>
        <v/>
      </c>
      <c r="BR38" s="293" t="str">
        <f t="shared" ca="1" si="22"/>
        <v/>
      </c>
      <c r="BS38" s="293" t="str">
        <f t="shared" ca="1" si="23"/>
        <v/>
      </c>
      <c r="BT38" s="293" t="str">
        <f t="shared" ca="1" si="24"/>
        <v/>
      </c>
      <c r="BU38" s="293" t="str">
        <f t="shared" ca="1" si="25"/>
        <v/>
      </c>
      <c r="BV38" s="293" t="str">
        <f t="shared" ca="1" si="26"/>
        <v/>
      </c>
      <c r="BW38" s="293" t="str">
        <f t="shared" ca="1" si="27"/>
        <v/>
      </c>
      <c r="BX38" s="293" t="str">
        <f t="shared" ca="1" si="28"/>
        <v/>
      </c>
      <c r="BY38" s="293" t="str">
        <f t="shared" ref="BY38" ca="1" si="181">IF(BW38="Completed ",IF(BF38-BE38&gt;0,"Over budget by £"&amp;(BF38-BE38),"Under budget by £"&amp;BE38-BF38),IF(BF38="","","Current Forecast Spend £"&amp;BF38))</f>
        <v/>
      </c>
      <c r="BZ38" s="293" t="str">
        <f t="shared" ref="BZ38" si="182">IF(COUNTA(AT38:AX38),"Stage Gate 5",IF(COUNTA(AI38:AM38),"Stage Gate 4", IF(COUNTA(X38:AB38),"Stage Gate 3",  IF(COUNTA(M38:Q38),"Stage Gate 2", "Stage Gate 1"))))</f>
        <v>Stage Gate 1</v>
      </c>
    </row>
    <row r="39" spans="1:78" ht="33.75" x14ac:dyDescent="0.2">
      <c r="A39" s="270"/>
      <c r="B39" s="286"/>
      <c r="C39" s="286"/>
      <c r="D39" s="258"/>
      <c r="E39" s="258"/>
      <c r="F39" s="287"/>
      <c r="G39" s="268"/>
      <c r="H39" s="269"/>
      <c r="I39" s="334" t="str">
        <f t="shared" si="33"/>
        <v/>
      </c>
      <c r="J39" s="257"/>
      <c r="K39" s="285" t="str">
        <f t="shared" si="34"/>
        <v/>
      </c>
      <c r="L39" s="317" t="str">
        <f t="shared" ca="1" si="1"/>
        <v/>
      </c>
      <c r="M39" s="256"/>
      <c r="N39" s="263"/>
      <c r="O39" s="267"/>
      <c r="P39" s="280"/>
      <c r="Q39" s="263"/>
      <c r="R39" s="249"/>
      <c r="S39" s="249"/>
      <c r="T39" s="282" t="str">
        <f t="shared" si="2"/>
        <v/>
      </c>
      <c r="U39" s="282" t="str">
        <f t="shared" si="3"/>
        <v/>
      </c>
      <c r="V39" s="282" t="str">
        <f t="shared" si="4"/>
        <v/>
      </c>
      <c r="W39" s="264" t="str">
        <f t="shared" si="32"/>
        <v/>
      </c>
      <c r="X39" s="272"/>
      <c r="Y39" s="263"/>
      <c r="Z39" s="267"/>
      <c r="AA39" s="263"/>
      <c r="AB39" s="263"/>
      <c r="AC39" s="267"/>
      <c r="AD39" s="267"/>
      <c r="AE39" s="282" t="str">
        <f t="shared" si="5"/>
        <v/>
      </c>
      <c r="AF39" s="282" t="str">
        <f t="shared" si="6"/>
        <v/>
      </c>
      <c r="AG39" s="282" t="str">
        <f t="shared" si="7"/>
        <v/>
      </c>
      <c r="AH39" s="264" t="str">
        <f t="shared" si="8"/>
        <v/>
      </c>
      <c r="AI39" s="272"/>
      <c r="AJ39" s="263"/>
      <c r="AK39" s="267"/>
      <c r="AL39" s="263"/>
      <c r="AM39" s="263"/>
      <c r="AN39" s="267"/>
      <c r="AO39" s="267"/>
      <c r="AP39" s="282" t="str">
        <f t="shared" si="35"/>
        <v/>
      </c>
      <c r="AQ39" s="282" t="str">
        <f t="shared" si="36"/>
        <v/>
      </c>
      <c r="AR39" s="282" t="str">
        <f t="shared" si="37"/>
        <v/>
      </c>
      <c r="AS39" s="264" t="str">
        <f t="shared" si="38"/>
        <v/>
      </c>
      <c r="AT39" s="266"/>
      <c r="AU39" s="280"/>
      <c r="AV39" s="302"/>
      <c r="AW39" s="280"/>
      <c r="AX39" s="280"/>
      <c r="AY39" s="273" t="str">
        <f t="shared" si="13"/>
        <v/>
      </c>
      <c r="AZ39" s="273"/>
      <c r="BA39" s="254" t="str">
        <f t="shared" si="14"/>
        <v/>
      </c>
      <c r="BB39" s="254" t="str">
        <f t="shared" si="15"/>
        <v/>
      </c>
      <c r="BC39" s="254" t="str">
        <f t="shared" si="16"/>
        <v/>
      </c>
      <c r="BD39" s="275" t="str">
        <f t="shared" si="39"/>
        <v/>
      </c>
      <c r="BE39" s="322"/>
      <c r="BF39" s="323"/>
      <c r="BG39" s="324" t="e">
        <f>VLOOKUP(A39,Finance!$A$3:$J$39,8,FALSE)</f>
        <v>#N/A</v>
      </c>
      <c r="BH39" s="62"/>
      <c r="BI39" s="60"/>
      <c r="BJ39" s="63" t="e">
        <f t="shared" si="40"/>
        <v>#DIV/0!</v>
      </c>
      <c r="BK39" s="63" t="e">
        <f t="shared" si="41"/>
        <v>#N/A</v>
      </c>
      <c r="BL39" s="64" t="str">
        <f t="shared" si="20"/>
        <v/>
      </c>
      <c r="BM39" s="18"/>
      <c r="BN39" s="19"/>
      <c r="BO39" s="65" t="str">
        <f>IF(AND(BL39="",BD39="",AS39="",W39=""),"",IF(AND(BL39="G",BD39="G",AS39="G",W39="G"),"G",IF(OR(BL39="R",BD39="R",AS39="R",W39="R"),"R",VLOOKUP(CONCATENATE(W39,AS39,BD39,BL39),'Rag Coding'!A:B,2,FALSE))))</f>
        <v/>
      </c>
      <c r="BP39" s="310">
        <f>'Dashboard Page'!U40</f>
        <v>0</v>
      </c>
      <c r="BQ39" s="39" t="str">
        <f t="shared" ca="1" si="21"/>
        <v/>
      </c>
      <c r="BR39" s="39" t="str">
        <f t="shared" ca="1" si="22"/>
        <v/>
      </c>
      <c r="BS39" s="39" t="str">
        <f t="shared" ca="1" si="23"/>
        <v/>
      </c>
      <c r="BT39" s="39" t="str">
        <f t="shared" ca="1" si="24"/>
        <v/>
      </c>
      <c r="BU39" s="39" t="str">
        <f t="shared" ca="1" si="25"/>
        <v/>
      </c>
      <c r="BV39" s="39" t="str">
        <f t="shared" ca="1" si="26"/>
        <v/>
      </c>
      <c r="BW39" s="39" t="str">
        <f t="shared" ca="1" si="27"/>
        <v/>
      </c>
      <c r="BX39" s="39" t="str">
        <f t="shared" ca="1" si="28"/>
        <v/>
      </c>
      <c r="BY39" s="39" t="str">
        <f t="shared" ca="1" si="29"/>
        <v/>
      </c>
      <c r="BZ39" s="39" t="str">
        <f>IF(COUNTA(AT39:AX39),"Stage Gate 5",IF(COUNTA(AI39:AM39),"Stage Gate 4", IF(COUNTA(X39:AB39),"Stage Gate 3",  IF(COUNTA(M39:Q39),"Stage Gate 2", "Stage Gate 1"))))</f>
        <v>Stage Gate 1</v>
      </c>
    </row>
    <row r="40" spans="1:78" ht="33.75" x14ac:dyDescent="0.2">
      <c r="A40" s="312"/>
      <c r="B40" s="308"/>
      <c r="C40" s="308"/>
      <c r="D40" s="307"/>
      <c r="E40" s="307"/>
      <c r="F40" s="307"/>
      <c r="G40" s="260"/>
      <c r="H40" s="262"/>
      <c r="I40" s="335" t="str">
        <f t="shared" si="33"/>
        <v/>
      </c>
      <c r="J40" s="336"/>
      <c r="K40" s="333" t="str">
        <f t="shared" si="34"/>
        <v/>
      </c>
      <c r="L40" s="317" t="str">
        <f t="shared" ca="1" si="1"/>
        <v/>
      </c>
      <c r="M40" s="332"/>
      <c r="N40" s="330"/>
      <c r="O40" s="315"/>
      <c r="P40" s="331"/>
      <c r="Q40" s="330"/>
      <c r="R40" s="309"/>
      <c r="S40" s="309"/>
      <c r="T40" s="316" t="str">
        <f t="shared" si="2"/>
        <v/>
      </c>
      <c r="U40" s="316" t="str">
        <f t="shared" si="3"/>
        <v/>
      </c>
      <c r="V40" s="316" t="str">
        <f t="shared" si="4"/>
        <v/>
      </c>
      <c r="W40" s="317" t="str">
        <f t="shared" si="32"/>
        <v/>
      </c>
      <c r="X40" s="314"/>
      <c r="Y40" s="330"/>
      <c r="Z40" s="315"/>
      <c r="AA40" s="330"/>
      <c r="AB40" s="330"/>
      <c r="AC40" s="315"/>
      <c r="AD40" s="315"/>
      <c r="AE40" s="316" t="str">
        <f t="shared" si="5"/>
        <v/>
      </c>
      <c r="AF40" s="316" t="str">
        <f t="shared" si="6"/>
        <v/>
      </c>
      <c r="AG40" s="316" t="str">
        <f t="shared" si="7"/>
        <v/>
      </c>
      <c r="AH40" s="317" t="str">
        <f t="shared" si="8"/>
        <v/>
      </c>
      <c r="AI40" s="314"/>
      <c r="AJ40" s="330"/>
      <c r="AK40" s="315"/>
      <c r="AL40" s="330"/>
      <c r="AM40" s="330"/>
      <c r="AN40" s="315"/>
      <c r="AO40" s="315"/>
      <c r="AP40" s="316" t="str">
        <f t="shared" si="35"/>
        <v/>
      </c>
      <c r="AQ40" s="316" t="str">
        <f t="shared" si="36"/>
        <v/>
      </c>
      <c r="AR40" s="316" t="str">
        <f t="shared" si="37"/>
        <v/>
      </c>
      <c r="AS40" s="317" t="str">
        <f t="shared" si="38"/>
        <v/>
      </c>
      <c r="AT40" s="318"/>
      <c r="AU40" s="331"/>
      <c r="AV40" s="319"/>
      <c r="AW40" s="331"/>
      <c r="AX40" s="331"/>
      <c r="AY40" s="313" t="str">
        <f t="shared" si="13"/>
        <v/>
      </c>
      <c r="AZ40" s="313"/>
      <c r="BA40" s="320" t="str">
        <f t="shared" si="14"/>
        <v/>
      </c>
      <c r="BB40" s="320" t="str">
        <f t="shared" si="15"/>
        <v/>
      </c>
      <c r="BC40" s="320" t="str">
        <f t="shared" si="16"/>
        <v/>
      </c>
      <c r="BD40" s="321" t="str">
        <f t="shared" si="39"/>
        <v/>
      </c>
      <c r="BE40" s="322"/>
      <c r="BF40" s="323"/>
      <c r="BG40" s="324" t="e">
        <f>VLOOKUP(A40,Finance!$A$3:$J$39,8,FALSE)</f>
        <v>#N/A</v>
      </c>
      <c r="BH40" s="325"/>
      <c r="BI40" s="323"/>
      <c r="BJ40" s="326" t="e">
        <f t="shared" si="40"/>
        <v>#DIV/0!</v>
      </c>
      <c r="BK40" s="326" t="e">
        <f t="shared" si="41"/>
        <v>#N/A</v>
      </c>
      <c r="BL40" s="327" t="str">
        <f t="shared" si="20"/>
        <v/>
      </c>
      <c r="BM40" s="305"/>
      <c r="BN40" s="306"/>
      <c r="BO40" s="328" t="str">
        <f>IF(AND(BL40="",BD40="",AS40="",W40=""),"",IF(AND(BL40="G",BD40="G",AS40="G",W40="G"),"G",IF(OR(BL40="R",BD40="R",AS40="R",W40="R"),"R",VLOOKUP(CONCATENATE(W40,AS40,BD40,BL40),'Rag Coding'!A:B,2,FALSE))))</f>
        <v/>
      </c>
      <c r="BP40" s="310">
        <f>'Dashboard Page'!U41</f>
        <v>0</v>
      </c>
      <c r="BQ40" s="311" t="str">
        <f t="shared" ca="1" si="21"/>
        <v/>
      </c>
      <c r="BR40" s="311" t="str">
        <f t="shared" ca="1" si="22"/>
        <v/>
      </c>
      <c r="BS40" s="311" t="str">
        <f t="shared" ca="1" si="23"/>
        <v/>
      </c>
      <c r="BT40" s="311" t="str">
        <f t="shared" ca="1" si="24"/>
        <v/>
      </c>
      <c r="BU40" s="311" t="str">
        <f t="shared" ca="1" si="25"/>
        <v/>
      </c>
      <c r="BV40" s="311" t="str">
        <f t="shared" ca="1" si="26"/>
        <v/>
      </c>
      <c r="BW40" s="311" t="str">
        <f t="shared" ca="1" si="27"/>
        <v/>
      </c>
      <c r="BX40" s="311" t="str">
        <f t="shared" ca="1" si="28"/>
        <v/>
      </c>
      <c r="BY40" s="311" t="str">
        <f t="shared" ca="1" si="29"/>
        <v/>
      </c>
      <c r="BZ40" s="311" t="str">
        <f>IF(COUNTA(AT40:AX40),"Stage Gate 5",IF(COUNTA(AI40:AM40),"Stage Gate 4", IF(COUNTA(X40:AB40),"Stage Gate 3",  IF(COUNTA(M40:Q40),"Stage Gate 2", "Stage Gate 1"))))</f>
        <v>Stage Gate 1</v>
      </c>
    </row>
    <row r="44" spans="1:78" x14ac:dyDescent="0.2">
      <c r="BM44" s="200"/>
    </row>
  </sheetData>
  <sheetProtection autoFilter="0"/>
  <protectedRanges>
    <protectedRange sqref="BF3:BF40" name="Range18"/>
    <protectedRange sqref="AZ3:AZ40" name="Range4"/>
    <protectedRange sqref="AX3:AX40" name="Range3"/>
    <protectedRange sqref="AW3:AW40" name="Range2"/>
    <protectedRange sqref="AU3:AU40" name="Range1"/>
    <protectedRange sqref="AJ3:AJ40" name="Range5"/>
    <protectedRange sqref="AL3:AL40" name="Range6"/>
    <protectedRange sqref="AM3:AM40" name="Range7"/>
    <protectedRange sqref="AO3:AO40" name="Range8"/>
    <protectedRange sqref="Y3:Y40" name="Range9"/>
    <protectedRange sqref="AA3:AB40" name="Range10"/>
    <protectedRange sqref="AD3:AD40" name="Range11"/>
    <protectedRange sqref="N3:N40" name="Range12"/>
    <protectedRange sqref="AA3:AB40" name="Range13"/>
    <protectedRange sqref="AD3:AD40" name="Range14"/>
    <protectedRange sqref="N3:N40" name="Range15"/>
    <protectedRange sqref="P3:Q40" name="Range16"/>
    <protectedRange sqref="BM3:BN40" name="Range17"/>
  </protectedRanges>
  <autoFilter ref="A2:G40"/>
  <dataConsolidate/>
  <mergeCells count="10">
    <mergeCell ref="BQ1:BZ1"/>
    <mergeCell ref="BO1:BP1"/>
    <mergeCell ref="A1:G1"/>
    <mergeCell ref="AT1:BD1"/>
    <mergeCell ref="BE1:BL1"/>
    <mergeCell ref="BM1:BN1"/>
    <mergeCell ref="AI1:AS1"/>
    <mergeCell ref="M1:W1"/>
    <mergeCell ref="X1:AH1"/>
    <mergeCell ref="H1:J1"/>
  </mergeCells>
  <conditionalFormatting sqref="AE35:AH37 BA35:BD37 AP35:AS37 T35:T37 BO35:BO37 BL35:BL37 V35:W37 V39:W40 BL39:BL40 BO39:BO40 T39:T40 AP39:AS40 BA39:BD40 AE39:AH40 L26:L40 AE3:AH11 BA3:BD11 AP3:AS11 T3:T11 BO3:BO11 BL3:BL11 V3:W11 L3:L12">
    <cfRule type="containsText" dxfId="319" priority="399" operator="containsText" text="A">
      <formula>NOT(ISERROR(SEARCH("A",L3)))</formula>
    </cfRule>
    <cfRule type="containsText" dxfId="318" priority="400" operator="containsText" text="G">
      <formula>NOT(ISERROR(SEARCH("G",L3)))</formula>
    </cfRule>
    <cfRule type="containsText" dxfId="317" priority="401" operator="containsText" text="R">
      <formula>NOT(ISERROR(SEARCH("R",L3)))</formula>
    </cfRule>
  </conditionalFormatting>
  <conditionalFormatting sqref="U35:U37 U39:U40 U3:U11">
    <cfRule type="containsText" dxfId="316" priority="384" operator="containsText" text="A">
      <formula>NOT(ISERROR(SEARCH("A",U3)))</formula>
    </cfRule>
    <cfRule type="containsText" dxfId="315" priority="385" operator="containsText" text="G">
      <formula>NOT(ISERROR(SEARCH("G",U3)))</formula>
    </cfRule>
    <cfRule type="containsText" dxfId="314" priority="386" operator="containsText" text="R">
      <formula>NOT(ISERROR(SEARCH("R",U3)))</formula>
    </cfRule>
  </conditionalFormatting>
  <conditionalFormatting sqref="W3:W9">
    <cfRule type="cellIs" dxfId="313" priority="317" operator="equal">
      <formula>"B"</formula>
    </cfRule>
  </conditionalFormatting>
  <conditionalFormatting sqref="AE34:AH34 BA34:BD34 AP34:AS34 T34 BO34 BL34 V34:W34">
    <cfRule type="containsText" dxfId="312" priority="290" operator="containsText" text="A">
      <formula>NOT(ISERROR(SEARCH("A",T34)))</formula>
    </cfRule>
    <cfRule type="containsText" dxfId="311" priority="291" operator="containsText" text="G">
      <formula>NOT(ISERROR(SEARCH("G",T34)))</formula>
    </cfRule>
    <cfRule type="containsText" dxfId="310" priority="292" operator="containsText" text="R">
      <formula>NOT(ISERROR(SEARCH("R",T34)))</formula>
    </cfRule>
  </conditionalFormatting>
  <conditionalFormatting sqref="U34">
    <cfRule type="containsText" dxfId="309" priority="287" operator="containsText" text="A">
      <formula>NOT(ISERROR(SEARCH("A",U34)))</formula>
    </cfRule>
    <cfRule type="containsText" dxfId="308" priority="288" operator="containsText" text="G">
      <formula>NOT(ISERROR(SEARCH("G",U34)))</formula>
    </cfRule>
    <cfRule type="containsText" dxfId="307" priority="289" operator="containsText" text="R">
      <formula>NOT(ISERROR(SEARCH("R",U34)))</formula>
    </cfRule>
  </conditionalFormatting>
  <conditionalFormatting sqref="V38:W38 BL38 BO38 T38 AP38:AS38 BA38:BD38 AE38:AH38">
    <cfRule type="containsText" dxfId="306" priority="269" operator="containsText" text="A">
      <formula>NOT(ISERROR(SEARCH("A",T38)))</formula>
    </cfRule>
    <cfRule type="containsText" dxfId="305" priority="270" operator="containsText" text="G">
      <formula>NOT(ISERROR(SEARCH("G",T38)))</formula>
    </cfRule>
    <cfRule type="containsText" dxfId="304" priority="271" operator="containsText" text="R">
      <formula>NOT(ISERROR(SEARCH("R",T38)))</formula>
    </cfRule>
  </conditionalFormatting>
  <conditionalFormatting sqref="U38">
    <cfRule type="containsText" dxfId="303" priority="266" operator="containsText" text="A">
      <formula>NOT(ISERROR(SEARCH("A",U38)))</formula>
    </cfRule>
    <cfRule type="containsText" dxfId="302" priority="267" operator="containsText" text="G">
      <formula>NOT(ISERROR(SEARCH("G",U38)))</formula>
    </cfRule>
    <cfRule type="containsText" dxfId="301" priority="268" operator="containsText" text="R">
      <formula>NOT(ISERROR(SEARCH("R",U38)))</formula>
    </cfRule>
  </conditionalFormatting>
  <conditionalFormatting sqref="V12:W12 BL12 BO12 T12 AP12:AS12 BA12:BD12 AE12:AH12">
    <cfRule type="containsText" dxfId="300" priority="157" operator="containsText" text="A">
      <formula>NOT(ISERROR(SEARCH("A",T12)))</formula>
    </cfRule>
    <cfRule type="containsText" dxfId="299" priority="158" operator="containsText" text="G">
      <formula>NOT(ISERROR(SEARCH("G",T12)))</formula>
    </cfRule>
    <cfRule type="containsText" dxfId="298" priority="159" operator="containsText" text="R">
      <formula>NOT(ISERROR(SEARCH("R",T12)))</formula>
    </cfRule>
  </conditionalFormatting>
  <conditionalFormatting sqref="U12">
    <cfRule type="containsText" dxfId="297" priority="154" operator="containsText" text="A">
      <formula>NOT(ISERROR(SEARCH("A",U12)))</formula>
    </cfRule>
    <cfRule type="containsText" dxfId="296" priority="155" operator="containsText" text="G">
      <formula>NOT(ISERROR(SEARCH("G",U12)))</formula>
    </cfRule>
    <cfRule type="containsText" dxfId="295" priority="156" operator="containsText" text="R">
      <formula>NOT(ISERROR(SEARCH("R",U12)))</formula>
    </cfRule>
  </conditionalFormatting>
  <conditionalFormatting sqref="V26:W26 BL26 BO26 T26 AP26:AS26 BA26:BD26 AE26:AH26">
    <cfRule type="containsText" dxfId="294" priority="136" operator="containsText" text="A">
      <formula>NOT(ISERROR(SEARCH("A",T26)))</formula>
    </cfRule>
    <cfRule type="containsText" dxfId="293" priority="137" operator="containsText" text="G">
      <formula>NOT(ISERROR(SEARCH("G",T26)))</formula>
    </cfRule>
    <cfRule type="containsText" dxfId="292" priority="138" operator="containsText" text="R">
      <formula>NOT(ISERROR(SEARCH("R",T26)))</formula>
    </cfRule>
  </conditionalFormatting>
  <conditionalFormatting sqref="U26">
    <cfRule type="containsText" dxfId="291" priority="133" operator="containsText" text="A">
      <formula>NOT(ISERROR(SEARCH("A",U26)))</formula>
    </cfRule>
    <cfRule type="containsText" dxfId="290" priority="134" operator="containsText" text="G">
      <formula>NOT(ISERROR(SEARCH("G",U26)))</formula>
    </cfRule>
    <cfRule type="containsText" dxfId="289" priority="135" operator="containsText" text="R">
      <formula>NOT(ISERROR(SEARCH("R",U26)))</formula>
    </cfRule>
  </conditionalFormatting>
  <conditionalFormatting sqref="V27:W27 BL27 BO27 T27 AP27:AS27 BA27:BD27 AE27:AH27">
    <cfRule type="containsText" dxfId="288" priority="129" operator="containsText" text="A">
      <formula>NOT(ISERROR(SEARCH("A",T27)))</formula>
    </cfRule>
    <cfRule type="containsText" dxfId="287" priority="130" operator="containsText" text="G">
      <formula>NOT(ISERROR(SEARCH("G",T27)))</formula>
    </cfRule>
    <cfRule type="containsText" dxfId="286" priority="131" operator="containsText" text="R">
      <formula>NOT(ISERROR(SEARCH("R",T27)))</formula>
    </cfRule>
  </conditionalFormatting>
  <conditionalFormatting sqref="U27">
    <cfRule type="containsText" dxfId="285" priority="126" operator="containsText" text="A">
      <formula>NOT(ISERROR(SEARCH("A",U27)))</formula>
    </cfRule>
    <cfRule type="containsText" dxfId="284" priority="127" operator="containsText" text="G">
      <formula>NOT(ISERROR(SEARCH("G",U27)))</formula>
    </cfRule>
    <cfRule type="containsText" dxfId="283" priority="128" operator="containsText" text="R">
      <formula>NOT(ISERROR(SEARCH("R",U27)))</formula>
    </cfRule>
  </conditionalFormatting>
  <conditionalFormatting sqref="V28:W28 BL28 BO28 T28 AP28:AS28 BA28:BD28 AE28:AH28">
    <cfRule type="containsText" dxfId="282" priority="122" operator="containsText" text="A">
      <formula>NOT(ISERROR(SEARCH("A",T28)))</formula>
    </cfRule>
    <cfRule type="containsText" dxfId="281" priority="123" operator="containsText" text="G">
      <formula>NOT(ISERROR(SEARCH("G",T28)))</formula>
    </cfRule>
    <cfRule type="containsText" dxfId="280" priority="124" operator="containsText" text="R">
      <formula>NOT(ISERROR(SEARCH("R",T28)))</formula>
    </cfRule>
  </conditionalFormatting>
  <conditionalFormatting sqref="U28">
    <cfRule type="containsText" dxfId="279" priority="119" operator="containsText" text="A">
      <formula>NOT(ISERROR(SEARCH("A",U28)))</formula>
    </cfRule>
    <cfRule type="containsText" dxfId="278" priority="120" operator="containsText" text="G">
      <formula>NOT(ISERROR(SEARCH("G",U28)))</formula>
    </cfRule>
    <cfRule type="containsText" dxfId="277" priority="121" operator="containsText" text="R">
      <formula>NOT(ISERROR(SEARCH("R",U28)))</formula>
    </cfRule>
  </conditionalFormatting>
  <conditionalFormatting sqref="V29:W29 BL29 BO29 T29 AP29:AS29 BA29:BD29 AE29:AH29">
    <cfRule type="containsText" dxfId="276" priority="115" operator="containsText" text="A">
      <formula>NOT(ISERROR(SEARCH("A",T29)))</formula>
    </cfRule>
    <cfRule type="containsText" dxfId="275" priority="116" operator="containsText" text="G">
      <formula>NOT(ISERROR(SEARCH("G",T29)))</formula>
    </cfRule>
    <cfRule type="containsText" dxfId="274" priority="117" operator="containsText" text="R">
      <formula>NOT(ISERROR(SEARCH("R",T29)))</formula>
    </cfRule>
  </conditionalFormatting>
  <conditionalFormatting sqref="U29">
    <cfRule type="containsText" dxfId="273" priority="112" operator="containsText" text="A">
      <formula>NOT(ISERROR(SEARCH("A",U29)))</formula>
    </cfRule>
    <cfRule type="containsText" dxfId="272" priority="113" operator="containsText" text="G">
      <formula>NOT(ISERROR(SEARCH("G",U29)))</formula>
    </cfRule>
    <cfRule type="containsText" dxfId="271" priority="114" operator="containsText" text="R">
      <formula>NOT(ISERROR(SEARCH("R",U29)))</formula>
    </cfRule>
  </conditionalFormatting>
  <conditionalFormatting sqref="V30:W30 BL30 BO30 T30 AP30:AS30 BA30:BD30 AE30:AH30">
    <cfRule type="containsText" dxfId="270" priority="108" operator="containsText" text="A">
      <formula>NOT(ISERROR(SEARCH("A",T30)))</formula>
    </cfRule>
    <cfRule type="containsText" dxfId="269" priority="109" operator="containsText" text="G">
      <formula>NOT(ISERROR(SEARCH("G",T30)))</formula>
    </cfRule>
    <cfRule type="containsText" dxfId="268" priority="110" operator="containsText" text="R">
      <formula>NOT(ISERROR(SEARCH("R",T30)))</formula>
    </cfRule>
  </conditionalFormatting>
  <conditionalFormatting sqref="U30">
    <cfRule type="containsText" dxfId="267" priority="105" operator="containsText" text="A">
      <formula>NOT(ISERROR(SEARCH("A",U30)))</formula>
    </cfRule>
    <cfRule type="containsText" dxfId="266" priority="106" operator="containsText" text="G">
      <formula>NOT(ISERROR(SEARCH("G",U30)))</formula>
    </cfRule>
    <cfRule type="containsText" dxfId="265" priority="107" operator="containsText" text="R">
      <formula>NOT(ISERROR(SEARCH("R",U30)))</formula>
    </cfRule>
  </conditionalFormatting>
  <conditionalFormatting sqref="V31:W31 BL31 BO31 T31 AP31:AS31 BA31:BD31 AE31:AH31">
    <cfRule type="containsText" dxfId="264" priority="101" operator="containsText" text="A">
      <formula>NOT(ISERROR(SEARCH("A",T31)))</formula>
    </cfRule>
    <cfRule type="containsText" dxfId="263" priority="102" operator="containsText" text="G">
      <formula>NOT(ISERROR(SEARCH("G",T31)))</formula>
    </cfRule>
    <cfRule type="containsText" dxfId="262" priority="103" operator="containsText" text="R">
      <formula>NOT(ISERROR(SEARCH("R",T31)))</formula>
    </cfRule>
  </conditionalFormatting>
  <conditionalFormatting sqref="U31">
    <cfRule type="containsText" dxfId="261" priority="98" operator="containsText" text="A">
      <formula>NOT(ISERROR(SEARCH("A",U31)))</formula>
    </cfRule>
    <cfRule type="containsText" dxfId="260" priority="99" operator="containsText" text="G">
      <formula>NOT(ISERROR(SEARCH("G",U31)))</formula>
    </cfRule>
    <cfRule type="containsText" dxfId="259" priority="100" operator="containsText" text="R">
      <formula>NOT(ISERROR(SEARCH("R",U31)))</formula>
    </cfRule>
  </conditionalFormatting>
  <conditionalFormatting sqref="V32:W32 BL32 BO32 T32 AP32:AS32 BA32:BD32 AE32:AH32">
    <cfRule type="containsText" dxfId="258" priority="94" operator="containsText" text="A">
      <formula>NOT(ISERROR(SEARCH("A",T32)))</formula>
    </cfRule>
    <cfRule type="containsText" dxfId="257" priority="95" operator="containsText" text="G">
      <formula>NOT(ISERROR(SEARCH("G",T32)))</formula>
    </cfRule>
    <cfRule type="containsText" dxfId="256" priority="96" operator="containsText" text="R">
      <formula>NOT(ISERROR(SEARCH("R",T32)))</formula>
    </cfRule>
  </conditionalFormatting>
  <conditionalFormatting sqref="U32">
    <cfRule type="containsText" dxfId="255" priority="91" operator="containsText" text="A">
      <formula>NOT(ISERROR(SEARCH("A",U32)))</formula>
    </cfRule>
    <cfRule type="containsText" dxfId="254" priority="92" operator="containsText" text="G">
      <formula>NOT(ISERROR(SEARCH("G",U32)))</formula>
    </cfRule>
    <cfRule type="containsText" dxfId="253" priority="93" operator="containsText" text="R">
      <formula>NOT(ISERROR(SEARCH("R",U32)))</formula>
    </cfRule>
  </conditionalFormatting>
  <conditionalFormatting sqref="V33:W33 BL33 BO33 T33 AP33:AS33 BA33:BD33 AE33:AH33">
    <cfRule type="containsText" dxfId="252" priority="87" operator="containsText" text="A">
      <formula>NOT(ISERROR(SEARCH("A",T33)))</formula>
    </cfRule>
    <cfRule type="containsText" dxfId="251" priority="88" operator="containsText" text="G">
      <formula>NOT(ISERROR(SEARCH("G",T33)))</formula>
    </cfRule>
    <cfRule type="containsText" dxfId="250" priority="89" operator="containsText" text="R">
      <formula>NOT(ISERROR(SEARCH("R",T33)))</formula>
    </cfRule>
  </conditionalFormatting>
  <conditionalFormatting sqref="U33">
    <cfRule type="containsText" dxfId="249" priority="84" operator="containsText" text="A">
      <formula>NOT(ISERROR(SEARCH("A",U33)))</formula>
    </cfRule>
    <cfRule type="containsText" dxfId="248" priority="85" operator="containsText" text="G">
      <formula>NOT(ISERROR(SEARCH("G",U33)))</formula>
    </cfRule>
    <cfRule type="containsText" dxfId="247" priority="86" operator="containsText" text="R">
      <formula>NOT(ISERROR(SEARCH("R",U33)))</formula>
    </cfRule>
  </conditionalFormatting>
  <conditionalFormatting sqref="V25:W25 BL25 BO25 T25 AP25:AS25 BA25:BD25 AE25:AH25 L25">
    <cfRule type="containsText" dxfId="246" priority="76" operator="containsText" text="A">
      <formula>NOT(ISERROR(SEARCH("A",L25)))</formula>
    </cfRule>
    <cfRule type="containsText" dxfId="245" priority="77" operator="containsText" text="G">
      <formula>NOT(ISERROR(SEARCH("G",L25)))</formula>
    </cfRule>
    <cfRule type="containsText" dxfId="244" priority="78" operator="containsText" text="R">
      <formula>NOT(ISERROR(SEARCH("R",L25)))</formula>
    </cfRule>
  </conditionalFormatting>
  <conditionalFormatting sqref="U25">
    <cfRule type="containsText" dxfId="243" priority="73" operator="containsText" text="A">
      <formula>NOT(ISERROR(SEARCH("A",U25)))</formula>
    </cfRule>
    <cfRule type="containsText" dxfId="242" priority="74" operator="containsText" text="G">
      <formula>NOT(ISERROR(SEARCH("G",U25)))</formula>
    </cfRule>
    <cfRule type="containsText" dxfId="241" priority="75" operator="containsText" text="R">
      <formula>NOT(ISERROR(SEARCH("R",U25)))</formula>
    </cfRule>
  </conditionalFormatting>
  <conditionalFormatting sqref="V24:W24 BL24 BO24 T24 AP24:AS24 BA24:BD24 AE24:AH24 L24">
    <cfRule type="containsText" dxfId="240" priority="70" operator="containsText" text="A">
      <formula>NOT(ISERROR(SEARCH("A",L24)))</formula>
    </cfRule>
    <cfRule type="containsText" dxfId="239" priority="71" operator="containsText" text="G">
      <formula>NOT(ISERROR(SEARCH("G",L24)))</formula>
    </cfRule>
    <cfRule type="containsText" dxfId="238" priority="72" operator="containsText" text="R">
      <formula>NOT(ISERROR(SEARCH("R",L24)))</formula>
    </cfRule>
  </conditionalFormatting>
  <conditionalFormatting sqref="U24">
    <cfRule type="containsText" dxfId="237" priority="67" operator="containsText" text="A">
      <formula>NOT(ISERROR(SEARCH("A",U24)))</formula>
    </cfRule>
    <cfRule type="containsText" dxfId="236" priority="68" operator="containsText" text="G">
      <formula>NOT(ISERROR(SEARCH("G",U24)))</formula>
    </cfRule>
    <cfRule type="containsText" dxfId="235" priority="69" operator="containsText" text="R">
      <formula>NOT(ISERROR(SEARCH("R",U24)))</formula>
    </cfRule>
  </conditionalFormatting>
  <conditionalFormatting sqref="V23:W23 BL23 BO23 T23 AP23:AS23 BA23:BD23 AE23:AH23 L23">
    <cfRule type="containsText" dxfId="234" priority="64" operator="containsText" text="A">
      <formula>NOT(ISERROR(SEARCH("A",L23)))</formula>
    </cfRule>
    <cfRule type="containsText" dxfId="233" priority="65" operator="containsText" text="G">
      <formula>NOT(ISERROR(SEARCH("G",L23)))</formula>
    </cfRule>
    <cfRule type="containsText" dxfId="232" priority="66" operator="containsText" text="R">
      <formula>NOT(ISERROR(SEARCH("R",L23)))</formula>
    </cfRule>
  </conditionalFormatting>
  <conditionalFormatting sqref="U23">
    <cfRule type="containsText" dxfId="231" priority="61" operator="containsText" text="A">
      <formula>NOT(ISERROR(SEARCH("A",U23)))</formula>
    </cfRule>
    <cfRule type="containsText" dxfId="230" priority="62" operator="containsText" text="G">
      <formula>NOT(ISERROR(SEARCH("G",U23)))</formula>
    </cfRule>
    <cfRule type="containsText" dxfId="229" priority="63" operator="containsText" text="R">
      <formula>NOT(ISERROR(SEARCH("R",U23)))</formula>
    </cfRule>
  </conditionalFormatting>
  <conditionalFormatting sqref="V22:W22 BL22 BO22 T22 AP22:AS22 BA22:BD22 AE22:AH22 L22">
    <cfRule type="containsText" dxfId="228" priority="58" operator="containsText" text="A">
      <formula>NOT(ISERROR(SEARCH("A",L22)))</formula>
    </cfRule>
    <cfRule type="containsText" dxfId="227" priority="59" operator="containsText" text="G">
      <formula>NOT(ISERROR(SEARCH("G",L22)))</formula>
    </cfRule>
    <cfRule type="containsText" dxfId="226" priority="60" operator="containsText" text="R">
      <formula>NOT(ISERROR(SEARCH("R",L22)))</formula>
    </cfRule>
  </conditionalFormatting>
  <conditionalFormatting sqref="U22">
    <cfRule type="containsText" dxfId="225" priority="55" operator="containsText" text="A">
      <formula>NOT(ISERROR(SEARCH("A",U22)))</formula>
    </cfRule>
    <cfRule type="containsText" dxfId="224" priority="56" operator="containsText" text="G">
      <formula>NOT(ISERROR(SEARCH("G",U22)))</formula>
    </cfRule>
    <cfRule type="containsText" dxfId="223" priority="57" operator="containsText" text="R">
      <formula>NOT(ISERROR(SEARCH("R",U22)))</formula>
    </cfRule>
  </conditionalFormatting>
  <conditionalFormatting sqref="V21:W21 BL21 BO21 T21 AP21:AS21 BA21:BD21 AE21:AH21 L21">
    <cfRule type="containsText" dxfId="222" priority="52" operator="containsText" text="A">
      <formula>NOT(ISERROR(SEARCH("A",L21)))</formula>
    </cfRule>
    <cfRule type="containsText" dxfId="221" priority="53" operator="containsText" text="G">
      <formula>NOT(ISERROR(SEARCH("G",L21)))</formula>
    </cfRule>
    <cfRule type="containsText" dxfId="220" priority="54" operator="containsText" text="R">
      <formula>NOT(ISERROR(SEARCH("R",L21)))</formula>
    </cfRule>
  </conditionalFormatting>
  <conditionalFormatting sqref="U21">
    <cfRule type="containsText" dxfId="219" priority="49" operator="containsText" text="A">
      <formula>NOT(ISERROR(SEARCH("A",U21)))</formula>
    </cfRule>
    <cfRule type="containsText" dxfId="218" priority="50" operator="containsText" text="G">
      <formula>NOT(ISERROR(SEARCH("G",U21)))</formula>
    </cfRule>
    <cfRule type="containsText" dxfId="217" priority="51" operator="containsText" text="R">
      <formula>NOT(ISERROR(SEARCH("R",U21)))</formula>
    </cfRule>
  </conditionalFormatting>
  <conditionalFormatting sqref="V20:W20 BL20 BO20 T20 AP20:AS20 BA20:BD20 AE20:AH20 L20">
    <cfRule type="containsText" dxfId="216" priority="46" operator="containsText" text="A">
      <formula>NOT(ISERROR(SEARCH("A",L20)))</formula>
    </cfRule>
    <cfRule type="containsText" dxfId="215" priority="47" operator="containsText" text="G">
      <formula>NOT(ISERROR(SEARCH("G",L20)))</formula>
    </cfRule>
    <cfRule type="containsText" dxfId="214" priority="48" operator="containsText" text="R">
      <formula>NOT(ISERROR(SEARCH("R",L20)))</formula>
    </cfRule>
  </conditionalFormatting>
  <conditionalFormatting sqref="U20">
    <cfRule type="containsText" dxfId="213" priority="43" operator="containsText" text="A">
      <formula>NOT(ISERROR(SEARCH("A",U20)))</formula>
    </cfRule>
    <cfRule type="containsText" dxfId="212" priority="44" operator="containsText" text="G">
      <formula>NOT(ISERROR(SEARCH("G",U20)))</formula>
    </cfRule>
    <cfRule type="containsText" dxfId="211" priority="45" operator="containsText" text="R">
      <formula>NOT(ISERROR(SEARCH("R",U20)))</formula>
    </cfRule>
  </conditionalFormatting>
  <conditionalFormatting sqref="V19:W19 BL19 BO19 T19 AP19:AS19 BA19:BD19 AE19:AH19 L19">
    <cfRule type="containsText" dxfId="210" priority="40" operator="containsText" text="A">
      <formula>NOT(ISERROR(SEARCH("A",L19)))</formula>
    </cfRule>
    <cfRule type="containsText" dxfId="209" priority="41" operator="containsText" text="G">
      <formula>NOT(ISERROR(SEARCH("G",L19)))</formula>
    </cfRule>
    <cfRule type="containsText" dxfId="208" priority="42" operator="containsText" text="R">
      <formula>NOT(ISERROR(SEARCH("R",L19)))</formula>
    </cfRule>
  </conditionalFormatting>
  <conditionalFormatting sqref="U19">
    <cfRule type="containsText" dxfId="207" priority="37" operator="containsText" text="A">
      <formula>NOT(ISERROR(SEARCH("A",U19)))</formula>
    </cfRule>
    <cfRule type="containsText" dxfId="206" priority="38" operator="containsText" text="G">
      <formula>NOT(ISERROR(SEARCH("G",U19)))</formula>
    </cfRule>
    <cfRule type="containsText" dxfId="205" priority="39" operator="containsText" text="R">
      <formula>NOT(ISERROR(SEARCH("R",U19)))</formula>
    </cfRule>
  </conditionalFormatting>
  <conditionalFormatting sqref="V18:W18 BL18 BO18 T18 AP18:AS18 BA18:BD18 AE18:AH18 L18">
    <cfRule type="containsText" dxfId="204" priority="34" operator="containsText" text="A">
      <formula>NOT(ISERROR(SEARCH("A",L18)))</formula>
    </cfRule>
    <cfRule type="containsText" dxfId="203" priority="35" operator="containsText" text="G">
      <formula>NOT(ISERROR(SEARCH("G",L18)))</formula>
    </cfRule>
    <cfRule type="containsText" dxfId="202" priority="36" operator="containsText" text="R">
      <formula>NOT(ISERROR(SEARCH("R",L18)))</formula>
    </cfRule>
  </conditionalFormatting>
  <conditionalFormatting sqref="U18">
    <cfRule type="containsText" dxfId="201" priority="31" operator="containsText" text="A">
      <formula>NOT(ISERROR(SEARCH("A",U18)))</formula>
    </cfRule>
    <cfRule type="containsText" dxfId="200" priority="32" operator="containsText" text="G">
      <formula>NOT(ISERROR(SEARCH("G",U18)))</formula>
    </cfRule>
    <cfRule type="containsText" dxfId="199" priority="33" operator="containsText" text="R">
      <formula>NOT(ISERROR(SEARCH("R",U18)))</formula>
    </cfRule>
  </conditionalFormatting>
  <conditionalFormatting sqref="V17:W17 BL17 BO17 T17 AP17:AS17 BA17:BD17 AE17:AH17 L17">
    <cfRule type="containsText" dxfId="198" priority="28" operator="containsText" text="A">
      <formula>NOT(ISERROR(SEARCH("A",L17)))</formula>
    </cfRule>
    <cfRule type="containsText" dxfId="197" priority="29" operator="containsText" text="G">
      <formula>NOT(ISERROR(SEARCH("G",L17)))</formula>
    </cfRule>
    <cfRule type="containsText" dxfId="196" priority="30" operator="containsText" text="R">
      <formula>NOT(ISERROR(SEARCH("R",L17)))</formula>
    </cfRule>
  </conditionalFormatting>
  <conditionalFormatting sqref="U17">
    <cfRule type="containsText" dxfId="195" priority="25" operator="containsText" text="A">
      <formula>NOT(ISERROR(SEARCH("A",U17)))</formula>
    </cfRule>
    <cfRule type="containsText" dxfId="194" priority="26" operator="containsText" text="G">
      <formula>NOT(ISERROR(SEARCH("G",U17)))</formula>
    </cfRule>
    <cfRule type="containsText" dxfId="193" priority="27" operator="containsText" text="R">
      <formula>NOT(ISERROR(SEARCH("R",U17)))</formula>
    </cfRule>
  </conditionalFormatting>
  <conditionalFormatting sqref="V16:W16 BL16 BO16 T16 AP16:AS16 BA16:BD16 AE16:AH16 L16">
    <cfRule type="containsText" dxfId="192" priority="22" operator="containsText" text="A">
      <formula>NOT(ISERROR(SEARCH("A",L16)))</formula>
    </cfRule>
    <cfRule type="containsText" dxfId="191" priority="23" operator="containsText" text="G">
      <formula>NOT(ISERROR(SEARCH("G",L16)))</formula>
    </cfRule>
    <cfRule type="containsText" dxfId="190" priority="24" operator="containsText" text="R">
      <formula>NOT(ISERROR(SEARCH("R",L16)))</formula>
    </cfRule>
  </conditionalFormatting>
  <conditionalFormatting sqref="U16">
    <cfRule type="containsText" dxfId="189" priority="19" operator="containsText" text="A">
      <formula>NOT(ISERROR(SEARCH("A",U16)))</formula>
    </cfRule>
    <cfRule type="containsText" dxfId="188" priority="20" operator="containsText" text="G">
      <formula>NOT(ISERROR(SEARCH("G",U16)))</formula>
    </cfRule>
    <cfRule type="containsText" dxfId="187" priority="21" operator="containsText" text="R">
      <formula>NOT(ISERROR(SEARCH("R",U16)))</formula>
    </cfRule>
  </conditionalFormatting>
  <conditionalFormatting sqref="V15:W15 BL15 BO15 T15 AP15:AS15 BA15:BD15 AE15:AH15 L15">
    <cfRule type="containsText" dxfId="186" priority="16" operator="containsText" text="A">
      <formula>NOT(ISERROR(SEARCH("A",L15)))</formula>
    </cfRule>
    <cfRule type="containsText" dxfId="185" priority="17" operator="containsText" text="G">
      <formula>NOT(ISERROR(SEARCH("G",L15)))</formula>
    </cfRule>
    <cfRule type="containsText" dxfId="184" priority="18" operator="containsText" text="R">
      <formula>NOT(ISERROR(SEARCH("R",L15)))</formula>
    </cfRule>
  </conditionalFormatting>
  <conditionalFormatting sqref="U15">
    <cfRule type="containsText" dxfId="183" priority="13" operator="containsText" text="A">
      <formula>NOT(ISERROR(SEARCH("A",U15)))</formula>
    </cfRule>
    <cfRule type="containsText" dxfId="182" priority="14" operator="containsText" text="G">
      <formula>NOT(ISERROR(SEARCH("G",U15)))</formula>
    </cfRule>
    <cfRule type="containsText" dxfId="181" priority="15" operator="containsText" text="R">
      <formula>NOT(ISERROR(SEARCH("R",U15)))</formula>
    </cfRule>
  </conditionalFormatting>
  <conditionalFormatting sqref="V14:W14 BL14 BO14 T14 AP14:AS14 BA14:BD14 AE14:AH14 L14">
    <cfRule type="containsText" dxfId="180" priority="10" operator="containsText" text="A">
      <formula>NOT(ISERROR(SEARCH("A",L14)))</formula>
    </cfRule>
    <cfRule type="containsText" dxfId="179" priority="11" operator="containsText" text="G">
      <formula>NOT(ISERROR(SEARCH("G",L14)))</formula>
    </cfRule>
    <cfRule type="containsText" dxfId="178" priority="12" operator="containsText" text="R">
      <formula>NOT(ISERROR(SEARCH("R",L14)))</formula>
    </cfRule>
  </conditionalFormatting>
  <conditionalFormatting sqref="U14">
    <cfRule type="containsText" dxfId="177" priority="7" operator="containsText" text="A">
      <formula>NOT(ISERROR(SEARCH("A",U14)))</formula>
    </cfRule>
    <cfRule type="containsText" dxfId="176" priority="8" operator="containsText" text="G">
      <formula>NOT(ISERROR(SEARCH("G",U14)))</formula>
    </cfRule>
    <cfRule type="containsText" dxfId="175" priority="9" operator="containsText" text="R">
      <formula>NOT(ISERROR(SEARCH("R",U14)))</formula>
    </cfRule>
  </conditionalFormatting>
  <conditionalFormatting sqref="V13:W13 BL13 BO13 T13 AP13:AS13 BA13:BD13 AE13:AH13 L13">
    <cfRule type="containsText" dxfId="174" priority="4" operator="containsText" text="A">
      <formula>NOT(ISERROR(SEARCH("A",L13)))</formula>
    </cfRule>
    <cfRule type="containsText" dxfId="173" priority="5" operator="containsText" text="G">
      <formula>NOT(ISERROR(SEARCH("G",L13)))</formula>
    </cfRule>
    <cfRule type="containsText" dxfId="172" priority="6" operator="containsText" text="R">
      <formula>NOT(ISERROR(SEARCH("R",L13)))</formula>
    </cfRule>
  </conditionalFormatting>
  <conditionalFormatting sqref="U13">
    <cfRule type="containsText" dxfId="171" priority="1" operator="containsText" text="A">
      <formula>NOT(ISERROR(SEARCH("A",U13)))</formula>
    </cfRule>
    <cfRule type="containsText" dxfId="170" priority="2" operator="containsText" text="G">
      <formula>NOT(ISERROR(SEARCH("G",U13)))</formula>
    </cfRule>
    <cfRule type="containsText" dxfId="169" priority="3" operator="containsText" text="R">
      <formula>NOT(ISERROR(SEARCH("R",U13)))</formula>
    </cfRule>
  </conditionalFormatting>
  <hyperlinks>
    <hyperlink ref="A3" r:id="rId1"/>
    <hyperlink ref="A4" r:id="rId2"/>
    <hyperlink ref="A5" r:id="rId3"/>
    <hyperlink ref="A6" r:id="rId4"/>
    <hyperlink ref="A7" r:id="rId5"/>
    <hyperlink ref="A8" r:id="rId6"/>
    <hyperlink ref="A9" r:id="rId7"/>
    <hyperlink ref="A10" r:id="rId8"/>
    <hyperlink ref="A12" r:id="rId9"/>
    <hyperlink ref="A11" r:id="rId10"/>
  </hyperlinks>
  <pageMargins left="0.7" right="0.7" top="0.75" bottom="0.75" header="0.3" footer="0.3"/>
  <pageSetup paperSize="9" orientation="portrait" r:id="rId11"/>
  <legacyDrawing r:id="rId12"/>
  <extLst>
    <ext xmlns:x14="http://schemas.microsoft.com/office/spreadsheetml/2009/9/main" uri="{CCE6A557-97BC-4b89-ADB6-D9C93CAAB3DF}">
      <x14:dataValidations xmlns:xm="http://schemas.microsoft.com/office/excel/2006/main" count="4">
        <x14:dataValidation type="list" allowBlank="1" showInputMessage="1" showErrorMessage="1">
          <x14:formula1>
            <xm:f>'Project Managers &amp; FacOps Reps'!$C$1:$C$5</xm:f>
          </x14:formula1>
          <xm:sqref>F3:F40</xm:sqref>
        </x14:dataValidation>
        <x14:dataValidation type="list" allowBlank="1" showInputMessage="1" showErrorMessage="1">
          <x14:formula1>
            <xm:f>'Project Managers &amp; FacOps Reps'!$A$1:$A$20</xm:f>
          </x14:formula1>
          <xm:sqref>E3:E40</xm:sqref>
        </x14:dataValidation>
        <x14:dataValidation type="list" allowBlank="1" showInputMessage="1" showErrorMessage="1">
          <x14:formula1>
            <xm:f>Sponsors!$A$1:$A$19</xm:f>
          </x14:formula1>
          <xm:sqref>G3:G40</xm:sqref>
        </x14:dataValidation>
        <x14:dataValidation type="list" allowBlank="1" showInputMessage="1" showErrorMessage="1">
          <x14:formula1>
            <xm:f>'Head Office Buildings'!$A$1:$A$96</xm:f>
          </x14:formula1>
          <xm:sqref>D3:D40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C000"/>
    <pageSetUpPr fitToPage="1"/>
  </sheetPr>
  <dimension ref="A1:S63"/>
  <sheetViews>
    <sheetView showGridLines="0" topLeftCell="B22" zoomScaleNormal="100" workbookViewId="0">
      <selection activeCell="M14" sqref="M14"/>
    </sheetView>
  </sheetViews>
  <sheetFormatPr defaultRowHeight="15" x14ac:dyDescent="0.2"/>
  <cols>
    <col min="1" max="1" width="0" hidden="1" customWidth="1"/>
    <col min="2" max="2" width="15.21875" style="1" bestFit="1" customWidth="1"/>
    <col min="3" max="3" width="10.77734375" style="398" customWidth="1"/>
    <col min="4" max="6" width="10.77734375" style="1" customWidth="1"/>
    <col min="7" max="12" width="8.77734375" style="1" customWidth="1"/>
    <col min="13" max="14" width="8.77734375" style="398" customWidth="1"/>
    <col min="15" max="15" width="8.77734375" style="1" customWidth="1"/>
    <col min="16" max="16" width="8.77734375" style="399" customWidth="1"/>
    <col min="17" max="17" width="8.77734375" style="398" customWidth="1"/>
    <col min="18" max="19" width="8.77734375" style="400" customWidth="1"/>
    <col min="20" max="16384" width="8.88671875" style="1"/>
  </cols>
  <sheetData>
    <row r="1" spans="2:19" ht="15.75" thickBot="1" x14ac:dyDescent="0.25">
      <c r="B1" s="432" t="s">
        <v>351</v>
      </c>
      <c r="C1" s="433"/>
      <c r="D1" s="433"/>
      <c r="E1" s="433"/>
      <c r="F1" s="433"/>
      <c r="G1" s="433"/>
      <c r="H1" s="433"/>
      <c r="I1" s="433"/>
      <c r="J1" s="433"/>
      <c r="K1" s="433"/>
      <c r="L1" s="433"/>
      <c r="M1" s="433"/>
      <c r="N1" s="433"/>
      <c r="O1" s="433"/>
      <c r="P1" s="433"/>
      <c r="Q1" s="433"/>
      <c r="R1" s="433"/>
      <c r="S1" s="397"/>
    </row>
    <row r="2" spans="2:19" ht="57" thickBot="1" x14ac:dyDescent="0.25">
      <c r="B2" s="187" t="s">
        <v>194</v>
      </c>
      <c r="C2" s="164" t="s">
        <v>9</v>
      </c>
      <c r="D2" s="164" t="s">
        <v>10</v>
      </c>
      <c r="E2" s="164" t="s">
        <v>18</v>
      </c>
      <c r="F2" s="164" t="s">
        <v>20</v>
      </c>
      <c r="G2" s="164" t="s">
        <v>250</v>
      </c>
      <c r="H2" s="164" t="s">
        <v>251</v>
      </c>
      <c r="I2" s="164" t="s">
        <v>252</v>
      </c>
      <c r="J2" s="164" t="s">
        <v>253</v>
      </c>
      <c r="K2" s="164" t="s">
        <v>254</v>
      </c>
      <c r="L2" s="165" t="s">
        <v>255</v>
      </c>
      <c r="M2" s="164" t="s">
        <v>256</v>
      </c>
      <c r="N2" s="164" t="s">
        <v>257</v>
      </c>
      <c r="O2" s="165" t="s">
        <v>258</v>
      </c>
      <c r="P2" s="165" t="s">
        <v>259</v>
      </c>
      <c r="Q2" s="165" t="s">
        <v>260</v>
      </c>
      <c r="R2" s="232" t="s">
        <v>514</v>
      </c>
      <c r="S2" s="366" t="s">
        <v>587</v>
      </c>
    </row>
    <row r="3" spans="2:19" s="119" customFormat="1" ht="15.75" thickBot="1" x14ac:dyDescent="0.25">
      <c r="B3" s="167"/>
      <c r="C3" s="167"/>
      <c r="D3" s="167"/>
      <c r="E3" s="167"/>
      <c r="F3" s="167"/>
      <c r="G3" s="167"/>
      <c r="H3" s="167"/>
      <c r="I3" s="167"/>
      <c r="J3" s="167"/>
      <c r="K3" s="167"/>
      <c r="L3" s="168"/>
      <c r="M3" s="167"/>
      <c r="N3" s="167"/>
      <c r="O3" s="168"/>
      <c r="P3" s="168"/>
      <c r="Q3" s="168"/>
      <c r="R3" s="233"/>
      <c r="S3" s="233"/>
    </row>
    <row r="4" spans="2:19" ht="23.25" thickBot="1" x14ac:dyDescent="0.25">
      <c r="B4" s="166" t="s">
        <v>121</v>
      </c>
      <c r="C4" s="115" t="s">
        <v>122</v>
      </c>
      <c r="D4" s="115" t="s">
        <v>123</v>
      </c>
      <c r="E4" s="115" t="s">
        <v>95</v>
      </c>
      <c r="F4" s="169" t="s">
        <v>284</v>
      </c>
      <c r="G4" s="173" t="s">
        <v>319</v>
      </c>
      <c r="H4" s="173" t="s">
        <v>318</v>
      </c>
      <c r="I4" s="173" t="s">
        <v>319</v>
      </c>
      <c r="J4" s="173" t="s">
        <v>319</v>
      </c>
      <c r="K4" s="173" t="s">
        <v>319</v>
      </c>
      <c r="L4" s="173" t="s">
        <v>319</v>
      </c>
      <c r="M4" s="173" t="s">
        <v>319</v>
      </c>
      <c r="N4" s="173" t="s">
        <v>318</v>
      </c>
      <c r="O4" s="173" t="s">
        <v>320</v>
      </c>
      <c r="P4" s="173" t="s">
        <v>319</v>
      </c>
      <c r="Q4" s="173" t="s">
        <v>320</v>
      </c>
      <c r="R4" s="238" t="s">
        <v>319</v>
      </c>
      <c r="S4" s="368" t="s">
        <v>319</v>
      </c>
    </row>
    <row r="5" spans="2:19" ht="24" customHeight="1" thickBot="1" x14ac:dyDescent="0.25">
      <c r="B5" s="103"/>
      <c r="C5" s="201" t="s">
        <v>122</v>
      </c>
      <c r="D5" s="201" t="s">
        <v>123</v>
      </c>
      <c r="E5" s="201" t="s">
        <v>95</v>
      </c>
      <c r="F5" s="201" t="s">
        <v>284</v>
      </c>
      <c r="G5" s="175" t="s">
        <v>261</v>
      </c>
      <c r="H5" s="176" t="s">
        <v>261</v>
      </c>
      <c r="I5" s="176" t="s">
        <v>261</v>
      </c>
      <c r="J5" s="176" t="s">
        <v>261</v>
      </c>
      <c r="K5" s="176" t="s">
        <v>261</v>
      </c>
      <c r="L5" s="176" t="s">
        <v>261</v>
      </c>
      <c r="M5" s="177" t="s">
        <v>262</v>
      </c>
      <c r="N5" s="177" t="s">
        <v>262</v>
      </c>
      <c r="O5" s="176" t="s">
        <v>261</v>
      </c>
      <c r="P5" s="374" t="s">
        <v>263</v>
      </c>
      <c r="Q5" s="178" t="s">
        <v>352</v>
      </c>
      <c r="R5" s="234"/>
      <c r="S5" s="361"/>
    </row>
    <row r="6" spans="2:19" ht="23.25" thickBot="1" x14ac:dyDescent="0.25">
      <c r="B6" s="186" t="s">
        <v>124</v>
      </c>
      <c r="C6" s="185" t="s">
        <v>125</v>
      </c>
      <c r="D6" s="115" t="s">
        <v>126</v>
      </c>
      <c r="E6" s="115" t="s">
        <v>88</v>
      </c>
      <c r="F6" s="169" t="s">
        <v>285</v>
      </c>
      <c r="G6" s="173" t="s">
        <v>318</v>
      </c>
      <c r="H6" s="173" t="s">
        <v>318</v>
      </c>
      <c r="I6" s="173" t="s">
        <v>319</v>
      </c>
      <c r="J6" s="173" t="s">
        <v>318</v>
      </c>
      <c r="K6" s="173" t="s">
        <v>318</v>
      </c>
      <c r="L6" s="173" t="s">
        <v>318</v>
      </c>
      <c r="M6" s="173" t="s">
        <v>505</v>
      </c>
      <c r="N6" s="173" t="s">
        <v>318</v>
      </c>
      <c r="O6" s="173" t="s">
        <v>318</v>
      </c>
      <c r="P6" s="173" t="s">
        <v>319</v>
      </c>
      <c r="Q6" s="173" t="s">
        <v>318</v>
      </c>
      <c r="R6" s="239" t="s">
        <v>318</v>
      </c>
      <c r="S6" s="368" t="s">
        <v>319</v>
      </c>
    </row>
    <row r="7" spans="2:19" ht="24" customHeight="1" thickBot="1" x14ac:dyDescent="0.25">
      <c r="B7" s="104"/>
      <c r="C7" s="201" t="s">
        <v>125</v>
      </c>
      <c r="D7" s="201" t="s">
        <v>126</v>
      </c>
      <c r="E7" s="201" t="s">
        <v>88</v>
      </c>
      <c r="F7" s="201" t="s">
        <v>285</v>
      </c>
      <c r="G7" s="174" t="s">
        <v>261</v>
      </c>
      <c r="H7" s="108" t="s">
        <v>261</v>
      </c>
      <c r="I7" s="108" t="s">
        <v>261</v>
      </c>
      <c r="J7" s="108" t="s">
        <v>261</v>
      </c>
      <c r="K7" s="108" t="s">
        <v>261</v>
      </c>
      <c r="L7" s="108" t="s">
        <v>261</v>
      </c>
      <c r="M7" s="108" t="s">
        <v>262</v>
      </c>
      <c r="N7" s="108" t="s">
        <v>262</v>
      </c>
      <c r="O7" s="108" t="s">
        <v>261</v>
      </c>
      <c r="P7" s="373" t="s">
        <v>263</v>
      </c>
      <c r="Q7" s="109" t="s">
        <v>264</v>
      </c>
      <c r="R7" s="235"/>
      <c r="S7" s="362"/>
    </row>
    <row r="8" spans="2:19" ht="45.75" thickBot="1" x14ac:dyDescent="0.25">
      <c r="B8" s="116" t="s">
        <v>128</v>
      </c>
      <c r="C8" s="105" t="s">
        <v>129</v>
      </c>
      <c r="D8" s="105" t="s">
        <v>130</v>
      </c>
      <c r="E8" s="105" t="s">
        <v>211</v>
      </c>
      <c r="F8" s="170" t="s">
        <v>284</v>
      </c>
      <c r="G8" s="173" t="s">
        <v>318</v>
      </c>
      <c r="H8" s="173" t="s">
        <v>318</v>
      </c>
      <c r="I8" s="173" t="s">
        <v>318</v>
      </c>
      <c r="J8" s="173" t="s">
        <v>318</v>
      </c>
      <c r="K8" s="173" t="s">
        <v>318</v>
      </c>
      <c r="L8" s="173" t="s">
        <v>318</v>
      </c>
      <c r="M8" s="173" t="s">
        <v>318</v>
      </c>
      <c r="N8" s="173" t="s">
        <v>318</v>
      </c>
      <c r="O8" s="173" t="s">
        <v>320</v>
      </c>
      <c r="P8" s="173" t="s">
        <v>319</v>
      </c>
      <c r="Q8" s="173" t="s">
        <v>320</v>
      </c>
      <c r="R8" s="239" t="s">
        <v>319</v>
      </c>
      <c r="S8" s="368" t="s">
        <v>319</v>
      </c>
    </row>
    <row r="9" spans="2:19" ht="24" customHeight="1" thickBot="1" x14ac:dyDescent="0.25">
      <c r="B9" s="103"/>
      <c r="C9" s="201" t="s">
        <v>129</v>
      </c>
      <c r="D9" s="201" t="s">
        <v>130</v>
      </c>
      <c r="E9" s="201" t="s">
        <v>211</v>
      </c>
      <c r="F9" s="201" t="s">
        <v>284</v>
      </c>
      <c r="G9" s="174" t="s">
        <v>261</v>
      </c>
      <c r="H9" s="108" t="s">
        <v>261</v>
      </c>
      <c r="I9" s="108" t="s">
        <v>261</v>
      </c>
      <c r="J9" s="108" t="s">
        <v>261</v>
      </c>
      <c r="K9" s="108" t="s">
        <v>261</v>
      </c>
      <c r="L9" s="108" t="s">
        <v>261</v>
      </c>
      <c r="M9" s="110" t="s">
        <v>262</v>
      </c>
      <c r="N9" s="110" t="s">
        <v>262</v>
      </c>
      <c r="O9" s="108" t="s">
        <v>261</v>
      </c>
      <c r="P9" s="373" t="s">
        <v>263</v>
      </c>
      <c r="Q9" s="109" t="s">
        <v>264</v>
      </c>
      <c r="R9" s="235"/>
      <c r="S9" s="362"/>
    </row>
    <row r="10" spans="2:19" ht="34.5" thickBot="1" x14ac:dyDescent="0.25">
      <c r="B10" s="117" t="s">
        <v>138</v>
      </c>
      <c r="C10" s="106" t="s">
        <v>286</v>
      </c>
      <c r="D10" s="106" t="s">
        <v>265</v>
      </c>
      <c r="E10" s="106" t="s">
        <v>287</v>
      </c>
      <c r="F10" s="171" t="s">
        <v>285</v>
      </c>
      <c r="G10" s="173" t="s">
        <v>318</v>
      </c>
      <c r="H10" s="173" t="s">
        <v>318</v>
      </c>
      <c r="I10" s="173" t="s">
        <v>319</v>
      </c>
      <c r="J10" s="173" t="s">
        <v>318</v>
      </c>
      <c r="K10" s="173" t="s">
        <v>318</v>
      </c>
      <c r="L10" s="173" t="s">
        <v>319</v>
      </c>
      <c r="M10" s="173" t="s">
        <v>318</v>
      </c>
      <c r="N10" s="173" t="s">
        <v>318</v>
      </c>
      <c r="O10" s="173" t="s">
        <v>318</v>
      </c>
      <c r="P10" s="173" t="s">
        <v>319</v>
      </c>
      <c r="Q10" s="173" t="s">
        <v>319</v>
      </c>
      <c r="R10" s="239" t="s">
        <v>318</v>
      </c>
      <c r="S10" s="368" t="s">
        <v>319</v>
      </c>
    </row>
    <row r="11" spans="2:19" ht="24" customHeight="1" thickBot="1" x14ac:dyDescent="0.25">
      <c r="B11" s="103"/>
      <c r="C11" s="201" t="s">
        <v>286</v>
      </c>
      <c r="D11" s="201" t="s">
        <v>265</v>
      </c>
      <c r="E11" s="201" t="s">
        <v>287</v>
      </c>
      <c r="F11" s="201" t="s">
        <v>285</v>
      </c>
      <c r="G11" s="174" t="s">
        <v>261</v>
      </c>
      <c r="H11" s="108" t="s">
        <v>261</v>
      </c>
      <c r="I11" s="108" t="s">
        <v>261</v>
      </c>
      <c r="J11" s="108" t="s">
        <v>261</v>
      </c>
      <c r="K11" s="108" t="s">
        <v>261</v>
      </c>
      <c r="L11" s="108" t="s">
        <v>261</v>
      </c>
      <c r="M11" s="110" t="s">
        <v>262</v>
      </c>
      <c r="N11" s="110" t="s">
        <v>262</v>
      </c>
      <c r="O11" s="108" t="s">
        <v>261</v>
      </c>
      <c r="P11" s="373" t="s">
        <v>263</v>
      </c>
      <c r="Q11" s="109" t="s">
        <v>264</v>
      </c>
      <c r="R11" s="235"/>
      <c r="S11" s="362"/>
    </row>
    <row r="12" spans="2:19" ht="34.5" thickBot="1" x14ac:dyDescent="0.25">
      <c r="B12" s="116" t="s">
        <v>141</v>
      </c>
      <c r="C12" s="106" t="s">
        <v>142</v>
      </c>
      <c r="D12" s="106" t="s">
        <v>143</v>
      </c>
      <c r="E12" s="106" t="s">
        <v>216</v>
      </c>
      <c r="F12" s="172" t="s">
        <v>285</v>
      </c>
      <c r="G12" s="173" t="s">
        <v>318</v>
      </c>
      <c r="H12" s="173" t="s">
        <v>318</v>
      </c>
      <c r="I12" s="173" t="s">
        <v>319</v>
      </c>
      <c r="J12" s="173" t="s">
        <v>318</v>
      </c>
      <c r="K12" s="173" t="s">
        <v>318</v>
      </c>
      <c r="L12" s="173" t="s">
        <v>318</v>
      </c>
      <c r="M12" s="173" t="s">
        <v>318</v>
      </c>
      <c r="N12" s="173" t="s">
        <v>319</v>
      </c>
      <c r="O12" s="173" t="s">
        <v>318</v>
      </c>
      <c r="P12" s="173" t="s">
        <v>319</v>
      </c>
      <c r="Q12" s="173" t="s">
        <v>318</v>
      </c>
      <c r="R12" s="239" t="s">
        <v>318</v>
      </c>
      <c r="S12" s="368" t="s">
        <v>319</v>
      </c>
    </row>
    <row r="13" spans="2:19" ht="45.75" thickBot="1" x14ac:dyDescent="0.25">
      <c r="B13" s="103"/>
      <c r="C13" s="201" t="s">
        <v>142</v>
      </c>
      <c r="D13" s="201" t="s">
        <v>143</v>
      </c>
      <c r="E13" s="201" t="s">
        <v>216</v>
      </c>
      <c r="F13" s="201" t="s">
        <v>285</v>
      </c>
      <c r="G13" s="375" t="s">
        <v>261</v>
      </c>
      <c r="H13" s="375" t="s">
        <v>261</v>
      </c>
      <c r="I13" s="375" t="s">
        <v>261</v>
      </c>
      <c r="J13" s="375" t="s">
        <v>261</v>
      </c>
      <c r="K13" s="375" t="s">
        <v>261</v>
      </c>
      <c r="L13" s="375" t="s">
        <v>261</v>
      </c>
      <c r="M13" s="163" t="s">
        <v>262</v>
      </c>
      <c r="N13" s="163" t="s">
        <v>262</v>
      </c>
      <c r="O13" s="375" t="s">
        <v>261</v>
      </c>
      <c r="P13" s="163" t="s">
        <v>263</v>
      </c>
      <c r="Q13" s="163" t="s">
        <v>352</v>
      </c>
      <c r="R13" s="396" t="s">
        <v>636</v>
      </c>
      <c r="S13" s="363"/>
    </row>
    <row r="14" spans="2:19" ht="23.25" thickBot="1" x14ac:dyDescent="0.25">
      <c r="B14" s="116" t="s">
        <v>144</v>
      </c>
      <c r="C14" s="106" t="s">
        <v>218</v>
      </c>
      <c r="D14" s="106" t="s">
        <v>146</v>
      </c>
      <c r="E14" s="106" t="s">
        <v>216</v>
      </c>
      <c r="F14" s="172" t="s">
        <v>285</v>
      </c>
      <c r="G14" s="173" t="s">
        <v>318</v>
      </c>
      <c r="H14" s="173" t="s">
        <v>318</v>
      </c>
      <c r="I14" s="173" t="s">
        <v>319</v>
      </c>
      <c r="J14" s="173" t="s">
        <v>318</v>
      </c>
      <c r="K14" s="173" t="s">
        <v>318</v>
      </c>
      <c r="L14" s="173" t="s">
        <v>318</v>
      </c>
      <c r="M14" s="173" t="s">
        <v>318</v>
      </c>
      <c r="N14" s="173" t="s">
        <v>318</v>
      </c>
      <c r="O14" s="173" t="s">
        <v>319</v>
      </c>
      <c r="P14" s="173" t="s">
        <v>319</v>
      </c>
      <c r="Q14" s="173" t="s">
        <v>319</v>
      </c>
      <c r="R14" s="239" t="s">
        <v>318</v>
      </c>
      <c r="S14" s="368" t="s">
        <v>318</v>
      </c>
    </row>
    <row r="15" spans="2:19" ht="45.75" thickBot="1" x14ac:dyDescent="0.25">
      <c r="B15" s="103"/>
      <c r="C15" s="201" t="s">
        <v>218</v>
      </c>
      <c r="D15" s="201" t="s">
        <v>146</v>
      </c>
      <c r="E15" s="201" t="s">
        <v>216</v>
      </c>
      <c r="F15" s="201" t="s">
        <v>285</v>
      </c>
      <c r="G15" s="175" t="s">
        <v>261</v>
      </c>
      <c r="H15" s="176" t="s">
        <v>261</v>
      </c>
      <c r="I15" s="176" t="s">
        <v>261</v>
      </c>
      <c r="J15" s="176" t="s">
        <v>261</v>
      </c>
      <c r="K15" s="176" t="s">
        <v>261</v>
      </c>
      <c r="L15" s="176" t="s">
        <v>261</v>
      </c>
      <c r="M15" s="177" t="s">
        <v>262</v>
      </c>
      <c r="N15" s="177" t="s">
        <v>262</v>
      </c>
      <c r="O15" s="176" t="s">
        <v>261</v>
      </c>
      <c r="P15" s="376" t="s">
        <v>263</v>
      </c>
      <c r="Q15" s="178" t="s">
        <v>352</v>
      </c>
      <c r="R15" s="234" t="s">
        <v>636</v>
      </c>
      <c r="S15" s="361" t="s">
        <v>618</v>
      </c>
    </row>
    <row r="16" spans="2:19" ht="23.25" thickBot="1" x14ac:dyDescent="0.25">
      <c r="B16" s="116" t="s">
        <v>134</v>
      </c>
      <c r="C16" s="106" t="s">
        <v>135</v>
      </c>
      <c r="D16" s="106" t="s">
        <v>136</v>
      </c>
      <c r="E16" s="106" t="s">
        <v>220</v>
      </c>
      <c r="F16" s="172" t="s">
        <v>289</v>
      </c>
      <c r="G16" s="173" t="s">
        <v>319</v>
      </c>
      <c r="H16" s="173" t="s">
        <v>319</v>
      </c>
      <c r="I16" s="173" t="s">
        <v>319</v>
      </c>
      <c r="J16" s="173" t="s">
        <v>319</v>
      </c>
      <c r="K16" s="173" t="s">
        <v>319</v>
      </c>
      <c r="L16" s="173" t="s">
        <v>318</v>
      </c>
      <c r="M16" s="173" t="s">
        <v>319</v>
      </c>
      <c r="N16" s="173" t="s">
        <v>318</v>
      </c>
      <c r="O16" s="173" t="s">
        <v>319</v>
      </c>
      <c r="P16" s="173" t="s">
        <v>319</v>
      </c>
      <c r="Q16" s="173" t="s">
        <v>319</v>
      </c>
      <c r="R16" s="239" t="s">
        <v>319</v>
      </c>
      <c r="S16" s="368" t="s">
        <v>319</v>
      </c>
    </row>
    <row r="17" spans="2:19" ht="45.75" thickBot="1" x14ac:dyDescent="0.25">
      <c r="B17" s="103"/>
      <c r="C17" s="201" t="s">
        <v>135</v>
      </c>
      <c r="D17" s="201" t="s">
        <v>136</v>
      </c>
      <c r="E17" s="201" t="s">
        <v>220</v>
      </c>
      <c r="F17" s="201" t="s">
        <v>289</v>
      </c>
      <c r="G17" s="175" t="s">
        <v>261</v>
      </c>
      <c r="H17" s="176" t="s">
        <v>261</v>
      </c>
      <c r="I17" s="176" t="s">
        <v>261</v>
      </c>
      <c r="J17" s="176" t="s">
        <v>261</v>
      </c>
      <c r="K17" s="176" t="s">
        <v>261</v>
      </c>
      <c r="L17" s="176" t="s">
        <v>261</v>
      </c>
      <c r="M17" s="177" t="s">
        <v>262</v>
      </c>
      <c r="N17" s="177" t="s">
        <v>262</v>
      </c>
      <c r="O17" s="176" t="s">
        <v>261</v>
      </c>
      <c r="P17" s="376" t="s">
        <v>263</v>
      </c>
      <c r="Q17" s="178" t="s">
        <v>352</v>
      </c>
      <c r="R17" s="234" t="s">
        <v>635</v>
      </c>
      <c r="S17" s="361"/>
    </row>
    <row r="18" spans="2:19" ht="23.25" thickBot="1" x14ac:dyDescent="0.25">
      <c r="B18" s="116" t="s">
        <v>222</v>
      </c>
      <c r="C18" s="106" t="s">
        <v>223</v>
      </c>
      <c r="D18" s="106" t="s">
        <v>266</v>
      </c>
      <c r="E18" s="107" t="s">
        <v>288</v>
      </c>
      <c r="F18" s="172" t="s">
        <v>102</v>
      </c>
      <c r="G18" s="173" t="s">
        <v>319</v>
      </c>
      <c r="H18" s="173" t="s">
        <v>319</v>
      </c>
      <c r="I18" s="173" t="s">
        <v>319</v>
      </c>
      <c r="J18" s="173" t="s">
        <v>319</v>
      </c>
      <c r="K18" s="173" t="s">
        <v>319</v>
      </c>
      <c r="L18" s="173" t="s">
        <v>319</v>
      </c>
      <c r="M18" s="173" t="s">
        <v>319</v>
      </c>
      <c r="N18" s="173" t="s">
        <v>319</v>
      </c>
      <c r="O18" s="173" t="s">
        <v>319</v>
      </c>
      <c r="P18" s="173" t="s">
        <v>319</v>
      </c>
      <c r="Q18" s="173" t="s">
        <v>319</v>
      </c>
      <c r="R18" s="239" t="s">
        <v>319</v>
      </c>
      <c r="S18" s="368" t="s">
        <v>319</v>
      </c>
    </row>
    <row r="19" spans="2:19" ht="45.75" thickBot="1" x14ac:dyDescent="0.25">
      <c r="B19" s="103"/>
      <c r="C19" s="201" t="s">
        <v>223</v>
      </c>
      <c r="D19" s="201" t="s">
        <v>266</v>
      </c>
      <c r="E19" s="201" t="s">
        <v>288</v>
      </c>
      <c r="F19" s="201" t="s">
        <v>102</v>
      </c>
      <c r="G19" s="175" t="s">
        <v>261</v>
      </c>
      <c r="H19" s="176" t="s">
        <v>261</v>
      </c>
      <c r="I19" s="176" t="s">
        <v>261</v>
      </c>
      <c r="J19" s="176" t="s">
        <v>261</v>
      </c>
      <c r="K19" s="176" t="s">
        <v>261</v>
      </c>
      <c r="L19" s="176" t="s">
        <v>261</v>
      </c>
      <c r="M19" s="177" t="s">
        <v>262</v>
      </c>
      <c r="N19" s="177" t="s">
        <v>262</v>
      </c>
      <c r="O19" s="176" t="s">
        <v>261</v>
      </c>
      <c r="P19" s="376" t="s">
        <v>263</v>
      </c>
      <c r="Q19" s="178" t="s">
        <v>352</v>
      </c>
      <c r="R19" s="234" t="s">
        <v>636</v>
      </c>
      <c r="S19" s="361"/>
    </row>
    <row r="20" spans="2:19" ht="34.5" thickBot="1" x14ac:dyDescent="0.25">
      <c r="B20" s="116" t="s">
        <v>150</v>
      </c>
      <c r="C20" s="106" t="s">
        <v>151</v>
      </c>
      <c r="D20" s="106" t="s">
        <v>267</v>
      </c>
      <c r="E20" s="106" t="s">
        <v>226</v>
      </c>
      <c r="F20" s="172" t="s">
        <v>289</v>
      </c>
      <c r="G20" s="173" t="s">
        <v>318</v>
      </c>
      <c r="H20" s="173" t="s">
        <v>318</v>
      </c>
      <c r="I20" s="173" t="s">
        <v>319</v>
      </c>
      <c r="J20" s="173" t="s">
        <v>318</v>
      </c>
      <c r="K20" s="173" t="s">
        <v>318</v>
      </c>
      <c r="L20" s="173" t="s">
        <v>318</v>
      </c>
      <c r="M20" s="173" t="s">
        <v>318</v>
      </c>
      <c r="N20" s="173" t="s">
        <v>318</v>
      </c>
      <c r="O20" s="173" t="s">
        <v>319</v>
      </c>
      <c r="P20" s="173" t="s">
        <v>319</v>
      </c>
      <c r="Q20" s="173" t="s">
        <v>318</v>
      </c>
      <c r="R20" s="239" t="s">
        <v>319</v>
      </c>
      <c r="S20" s="368" t="s">
        <v>319</v>
      </c>
    </row>
    <row r="21" spans="2:19" ht="45.75" thickBot="1" x14ac:dyDescent="0.25">
      <c r="B21" s="103"/>
      <c r="C21" s="201" t="s">
        <v>151</v>
      </c>
      <c r="D21" s="201" t="s">
        <v>267</v>
      </c>
      <c r="E21" s="201" t="s">
        <v>226</v>
      </c>
      <c r="F21" s="201" t="s">
        <v>289</v>
      </c>
      <c r="G21" s="175" t="s">
        <v>261</v>
      </c>
      <c r="H21" s="176" t="s">
        <v>261</v>
      </c>
      <c r="I21" s="176" t="s">
        <v>261</v>
      </c>
      <c r="J21" s="176" t="s">
        <v>261</v>
      </c>
      <c r="K21" s="176" t="s">
        <v>261</v>
      </c>
      <c r="L21" s="176" t="s">
        <v>261</v>
      </c>
      <c r="M21" s="177" t="s">
        <v>262</v>
      </c>
      <c r="N21" s="177" t="s">
        <v>262</v>
      </c>
      <c r="O21" s="176" t="s">
        <v>261</v>
      </c>
      <c r="P21" s="376" t="s">
        <v>263</v>
      </c>
      <c r="Q21" s="178" t="s">
        <v>352</v>
      </c>
      <c r="R21" s="234" t="s">
        <v>636</v>
      </c>
      <c r="S21" s="1"/>
    </row>
    <row r="22" spans="2:19" ht="23.25" thickBot="1" x14ac:dyDescent="0.25">
      <c r="B22" s="116" t="s">
        <v>153</v>
      </c>
      <c r="C22" s="106" t="s">
        <v>154</v>
      </c>
      <c r="D22" s="106" t="s">
        <v>227</v>
      </c>
      <c r="E22" s="107" t="s">
        <v>88</v>
      </c>
      <c r="F22" s="172" t="s">
        <v>249</v>
      </c>
      <c r="G22" s="173" t="s">
        <v>318</v>
      </c>
      <c r="H22" s="173" t="s">
        <v>319</v>
      </c>
      <c r="I22" s="173" t="s">
        <v>319</v>
      </c>
      <c r="J22" s="173" t="s">
        <v>318</v>
      </c>
      <c r="K22" s="173" t="s">
        <v>319</v>
      </c>
      <c r="L22" s="173" t="s">
        <v>319</v>
      </c>
      <c r="M22" s="173" t="s">
        <v>319</v>
      </c>
      <c r="N22" s="173" t="s">
        <v>319</v>
      </c>
      <c r="O22" s="173" t="s">
        <v>319</v>
      </c>
      <c r="P22" s="173" t="s">
        <v>319</v>
      </c>
      <c r="Q22" s="173" t="s">
        <v>319</v>
      </c>
      <c r="R22" s="239" t="s">
        <v>319</v>
      </c>
      <c r="S22" s="368" t="s">
        <v>318</v>
      </c>
    </row>
    <row r="23" spans="2:19" ht="45.75" thickBot="1" x14ac:dyDescent="0.25">
      <c r="B23" s="103"/>
      <c r="C23" s="201" t="s">
        <v>154</v>
      </c>
      <c r="D23" s="201" t="s">
        <v>227</v>
      </c>
      <c r="E23" s="201" t="s">
        <v>88</v>
      </c>
      <c r="F23" s="201" t="s">
        <v>617</v>
      </c>
      <c r="G23" s="175" t="s">
        <v>261</v>
      </c>
      <c r="H23" s="176" t="s">
        <v>261</v>
      </c>
      <c r="I23" s="176" t="s">
        <v>261</v>
      </c>
      <c r="J23" s="176" t="s">
        <v>261</v>
      </c>
      <c r="K23" s="176" t="s">
        <v>261</v>
      </c>
      <c r="L23" s="176" t="s">
        <v>261</v>
      </c>
      <c r="M23" s="177" t="s">
        <v>262</v>
      </c>
      <c r="N23" s="177" t="s">
        <v>262</v>
      </c>
      <c r="O23" s="176" t="s">
        <v>261</v>
      </c>
      <c r="P23" s="376" t="s">
        <v>263</v>
      </c>
      <c r="Q23" s="178" t="s">
        <v>352</v>
      </c>
      <c r="R23" s="234" t="s">
        <v>636</v>
      </c>
      <c r="S23" s="361" t="s">
        <v>636</v>
      </c>
    </row>
    <row r="24" spans="2:19" customFormat="1" ht="34.5" thickBot="1" x14ac:dyDescent="0.25">
      <c r="B24" s="116" t="s">
        <v>156</v>
      </c>
      <c r="C24" s="106" t="s">
        <v>228</v>
      </c>
      <c r="D24" s="106" t="s">
        <v>157</v>
      </c>
      <c r="E24" s="107" t="s">
        <v>229</v>
      </c>
      <c r="F24" s="172" t="s">
        <v>291</v>
      </c>
      <c r="G24" s="173" t="s">
        <v>319</v>
      </c>
      <c r="H24" s="173" t="s">
        <v>319</v>
      </c>
      <c r="I24" s="173" t="s">
        <v>319</v>
      </c>
      <c r="J24" s="173" t="s">
        <v>319</v>
      </c>
      <c r="K24" s="173" t="s">
        <v>319</v>
      </c>
      <c r="L24" s="173" t="s">
        <v>319</v>
      </c>
      <c r="M24" s="173" t="s">
        <v>319</v>
      </c>
      <c r="N24" s="173" t="s">
        <v>319</v>
      </c>
      <c r="O24" s="173" t="s">
        <v>319</v>
      </c>
      <c r="P24" s="173" t="s">
        <v>319</v>
      </c>
      <c r="Q24" s="173" t="s">
        <v>319</v>
      </c>
      <c r="R24" s="239" t="s">
        <v>319</v>
      </c>
      <c r="S24" s="368" t="s">
        <v>319</v>
      </c>
    </row>
    <row r="25" spans="2:19" customFormat="1" ht="24" customHeight="1" thickBot="1" x14ac:dyDescent="0.25">
      <c r="B25" s="103"/>
      <c r="C25" s="201" t="s">
        <v>228</v>
      </c>
      <c r="D25" s="201" t="s">
        <v>157</v>
      </c>
      <c r="E25" s="201" t="s">
        <v>229</v>
      </c>
      <c r="F25" s="201" t="s">
        <v>291</v>
      </c>
      <c r="G25" s="175" t="s">
        <v>261</v>
      </c>
      <c r="H25" s="176" t="s">
        <v>261</v>
      </c>
      <c r="I25" s="176" t="s">
        <v>261</v>
      </c>
      <c r="J25" s="176" t="s">
        <v>261</v>
      </c>
      <c r="K25" s="176" t="s">
        <v>261</v>
      </c>
      <c r="L25" s="176" t="s">
        <v>261</v>
      </c>
      <c r="M25" s="177" t="s">
        <v>262</v>
      </c>
      <c r="N25" s="177" t="s">
        <v>262</v>
      </c>
      <c r="O25" s="176" t="s">
        <v>261</v>
      </c>
      <c r="P25" s="376" t="s">
        <v>263</v>
      </c>
      <c r="Q25" s="178" t="s">
        <v>352</v>
      </c>
      <c r="R25" s="234" t="s">
        <v>597</v>
      </c>
      <c r="S25" s="361"/>
    </row>
    <row r="26" spans="2:19" ht="34.5" thickBot="1" x14ac:dyDescent="0.25">
      <c r="B26" s="116" t="s">
        <v>115</v>
      </c>
      <c r="C26" s="106" t="s">
        <v>116</v>
      </c>
      <c r="D26" s="106" t="s">
        <v>268</v>
      </c>
      <c r="E26" s="107" t="s">
        <v>233</v>
      </c>
      <c r="F26" s="172" t="s">
        <v>289</v>
      </c>
      <c r="G26" s="173" t="s">
        <v>319</v>
      </c>
      <c r="H26" s="173" t="s">
        <v>319</v>
      </c>
      <c r="I26" s="173" t="s">
        <v>319</v>
      </c>
      <c r="J26" s="173" t="s">
        <v>319</v>
      </c>
      <c r="K26" s="173" t="s">
        <v>319</v>
      </c>
      <c r="L26" s="173" t="s">
        <v>319</v>
      </c>
      <c r="M26" s="173" t="s">
        <v>319</v>
      </c>
      <c r="N26" s="173" t="s">
        <v>319</v>
      </c>
      <c r="O26" s="173" t="s">
        <v>319</v>
      </c>
      <c r="P26" s="173" t="s">
        <v>319</v>
      </c>
      <c r="Q26" s="173" t="s">
        <v>319</v>
      </c>
      <c r="R26" s="239" t="s">
        <v>319</v>
      </c>
      <c r="S26" s="368" t="s">
        <v>319</v>
      </c>
    </row>
    <row r="27" spans="2:19" ht="45.75" thickBot="1" x14ac:dyDescent="0.25">
      <c r="B27" s="103"/>
      <c r="C27" s="201" t="s">
        <v>116</v>
      </c>
      <c r="D27" s="201" t="s">
        <v>268</v>
      </c>
      <c r="E27" s="201" t="s">
        <v>233</v>
      </c>
      <c r="F27" s="201" t="s">
        <v>289</v>
      </c>
      <c r="G27" s="175" t="s">
        <v>261</v>
      </c>
      <c r="H27" s="176" t="s">
        <v>261</v>
      </c>
      <c r="I27" s="176" t="s">
        <v>261</v>
      </c>
      <c r="J27" s="176" t="s">
        <v>261</v>
      </c>
      <c r="K27" s="176" t="s">
        <v>261</v>
      </c>
      <c r="L27" s="176" t="s">
        <v>261</v>
      </c>
      <c r="M27" s="177" t="s">
        <v>262</v>
      </c>
      <c r="N27" s="177" t="s">
        <v>262</v>
      </c>
      <c r="O27" s="176" t="s">
        <v>261</v>
      </c>
      <c r="P27" s="376" t="s">
        <v>263</v>
      </c>
      <c r="Q27" s="178" t="s">
        <v>352</v>
      </c>
      <c r="R27" s="234" t="s">
        <v>637</v>
      </c>
      <c r="S27" s="361"/>
    </row>
    <row r="28" spans="2:19" ht="23.25" thickBot="1" x14ac:dyDescent="0.25">
      <c r="B28" s="116" t="s">
        <v>158</v>
      </c>
      <c r="C28" s="106" t="s">
        <v>159</v>
      </c>
      <c r="D28" s="106" t="s">
        <v>235</v>
      </c>
      <c r="E28" s="107" t="s">
        <v>229</v>
      </c>
      <c r="F28" s="172" t="s">
        <v>289</v>
      </c>
      <c r="G28" s="173" t="s">
        <v>318</v>
      </c>
      <c r="H28" s="173" t="s">
        <v>318</v>
      </c>
      <c r="I28" s="173" t="s">
        <v>319</v>
      </c>
      <c r="J28" s="173" t="s">
        <v>318</v>
      </c>
      <c r="K28" s="173" t="s">
        <v>318</v>
      </c>
      <c r="L28" s="173" t="s">
        <v>318</v>
      </c>
      <c r="M28" s="173" t="s">
        <v>318</v>
      </c>
      <c r="N28" s="173" t="s">
        <v>318</v>
      </c>
      <c r="O28" s="173" t="s">
        <v>319</v>
      </c>
      <c r="P28" s="173" t="s">
        <v>319</v>
      </c>
      <c r="Q28" s="173" t="s">
        <v>318</v>
      </c>
      <c r="R28" s="370" t="s">
        <v>318</v>
      </c>
      <c r="S28" s="368" t="s">
        <v>319</v>
      </c>
    </row>
    <row r="29" spans="2:19" ht="24" customHeight="1" thickBot="1" x14ac:dyDescent="0.25">
      <c r="B29" s="103"/>
      <c r="C29" s="201" t="str">
        <f t="shared" ref="C29:F29" si="0">C28</f>
        <v>RX04F.033.302.02</v>
      </c>
      <c r="D29" s="201" t="str">
        <f t="shared" si="0"/>
        <v>172 BPR  5th Floor Power</v>
      </c>
      <c r="E29" s="201" t="str">
        <f t="shared" si="0"/>
        <v>172 BPR</v>
      </c>
      <c r="F29" s="201" t="str">
        <f t="shared" si="0"/>
        <v xml:space="preserve">John Murphy </v>
      </c>
      <c r="G29" s="175" t="s">
        <v>261</v>
      </c>
      <c r="H29" s="176" t="s">
        <v>261</v>
      </c>
      <c r="I29" s="176" t="s">
        <v>261</v>
      </c>
      <c r="J29" s="176" t="s">
        <v>261</v>
      </c>
      <c r="K29" s="176" t="s">
        <v>261</v>
      </c>
      <c r="L29" s="176" t="s">
        <v>261</v>
      </c>
      <c r="M29" s="177" t="s">
        <v>262</v>
      </c>
      <c r="N29" s="177" t="s">
        <v>262</v>
      </c>
      <c r="O29" s="176" t="s">
        <v>261</v>
      </c>
      <c r="P29" s="374" t="s">
        <v>263</v>
      </c>
      <c r="Q29" s="178" t="s">
        <v>352</v>
      </c>
      <c r="R29" s="369"/>
      <c r="S29" s="361"/>
    </row>
    <row r="30" spans="2:19" ht="23.25" thickBot="1" x14ac:dyDescent="0.25">
      <c r="B30" s="116" t="s">
        <v>161</v>
      </c>
      <c r="C30" s="106" t="s">
        <v>236</v>
      </c>
      <c r="D30" s="106" t="s">
        <v>162</v>
      </c>
      <c r="E30" s="107" t="s">
        <v>237</v>
      </c>
      <c r="F30" s="172" t="s">
        <v>102</v>
      </c>
      <c r="G30" s="173" t="s">
        <v>318</v>
      </c>
      <c r="H30" s="173" t="s">
        <v>318</v>
      </c>
      <c r="I30" s="173" t="s">
        <v>320</v>
      </c>
      <c r="J30" s="173" t="s">
        <v>318</v>
      </c>
      <c r="K30" s="173" t="s">
        <v>318</v>
      </c>
      <c r="L30" s="173" t="s">
        <v>318</v>
      </c>
      <c r="M30" s="173" t="s">
        <v>318</v>
      </c>
      <c r="N30" s="173" t="s">
        <v>318</v>
      </c>
      <c r="O30" s="173" t="s">
        <v>318</v>
      </c>
      <c r="P30" s="173" t="s">
        <v>319</v>
      </c>
      <c r="Q30" s="173" t="s">
        <v>318</v>
      </c>
      <c r="R30" s="239" t="s">
        <v>319</v>
      </c>
      <c r="S30" s="368" t="s">
        <v>319</v>
      </c>
    </row>
    <row r="31" spans="2:19" ht="24" customHeight="1" thickBot="1" x14ac:dyDescent="0.25">
      <c r="B31" s="103"/>
      <c r="C31" s="201" t="s">
        <v>236</v>
      </c>
      <c r="D31" s="201" t="s">
        <v>162</v>
      </c>
      <c r="E31" s="201" t="s">
        <v>237</v>
      </c>
      <c r="F31" s="201" t="s">
        <v>102</v>
      </c>
      <c r="G31" s="175" t="s">
        <v>261</v>
      </c>
      <c r="H31" s="176" t="s">
        <v>261</v>
      </c>
      <c r="I31" s="176" t="s">
        <v>261</v>
      </c>
      <c r="J31" s="176" t="s">
        <v>261</v>
      </c>
      <c r="K31" s="176" t="s">
        <v>261</v>
      </c>
      <c r="L31" s="176" t="s">
        <v>261</v>
      </c>
      <c r="M31" s="177" t="s">
        <v>262</v>
      </c>
      <c r="N31" s="177" t="s">
        <v>262</v>
      </c>
      <c r="O31" s="176" t="s">
        <v>261</v>
      </c>
      <c r="P31" s="374" t="s">
        <v>263</v>
      </c>
      <c r="Q31" s="178" t="s">
        <v>352</v>
      </c>
      <c r="R31" s="234"/>
      <c r="S31" s="361"/>
    </row>
    <row r="32" spans="2:19" customFormat="1" ht="45.75" thickBot="1" x14ac:dyDescent="0.25">
      <c r="B32" s="116" t="s">
        <v>292</v>
      </c>
      <c r="C32" s="106" t="s">
        <v>293</v>
      </c>
      <c r="D32" s="106" t="s">
        <v>269</v>
      </c>
      <c r="E32" s="107" t="s">
        <v>288</v>
      </c>
      <c r="F32" s="172" t="s">
        <v>109</v>
      </c>
      <c r="G32" s="173" t="s">
        <v>319</v>
      </c>
      <c r="H32" s="173" t="s">
        <v>318</v>
      </c>
      <c r="I32" s="173" t="s">
        <v>319</v>
      </c>
      <c r="J32" s="173" t="s">
        <v>319</v>
      </c>
      <c r="K32" s="173" t="s">
        <v>318</v>
      </c>
      <c r="L32" s="173" t="s">
        <v>318</v>
      </c>
      <c r="M32" s="173" t="s">
        <v>318</v>
      </c>
      <c r="N32" s="173" t="s">
        <v>318</v>
      </c>
      <c r="O32" s="173" t="s">
        <v>318</v>
      </c>
      <c r="P32" s="173" t="s">
        <v>319</v>
      </c>
      <c r="Q32" s="173" t="s">
        <v>318</v>
      </c>
      <c r="R32" s="239" t="s">
        <v>319</v>
      </c>
      <c r="S32" s="368" t="s">
        <v>319</v>
      </c>
    </row>
    <row r="33" spans="2:19" customFormat="1" ht="24" customHeight="1" thickBot="1" x14ac:dyDescent="0.25">
      <c r="B33" s="103"/>
      <c r="C33" s="201" t="s">
        <v>293</v>
      </c>
      <c r="D33" s="201" t="s">
        <v>269</v>
      </c>
      <c r="E33" s="201" t="s">
        <v>288</v>
      </c>
      <c r="F33" s="201" t="s">
        <v>109</v>
      </c>
      <c r="G33" s="175" t="s">
        <v>261</v>
      </c>
      <c r="H33" s="176" t="s">
        <v>261</v>
      </c>
      <c r="I33" s="176" t="s">
        <v>261</v>
      </c>
      <c r="J33" s="176" t="s">
        <v>261</v>
      </c>
      <c r="K33" s="176" t="s">
        <v>261</v>
      </c>
      <c r="L33" s="176" t="s">
        <v>261</v>
      </c>
      <c r="M33" s="177" t="s">
        <v>262</v>
      </c>
      <c r="N33" s="177" t="s">
        <v>262</v>
      </c>
      <c r="O33" s="176" t="s">
        <v>261</v>
      </c>
      <c r="P33" s="374" t="s">
        <v>263</v>
      </c>
      <c r="Q33" s="178" t="s">
        <v>352</v>
      </c>
      <c r="R33" s="234"/>
      <c r="S33" s="361"/>
    </row>
    <row r="34" spans="2:19" customFormat="1" ht="34.5" thickBot="1" x14ac:dyDescent="0.25">
      <c r="B34" s="116" t="s">
        <v>294</v>
      </c>
      <c r="C34" s="106">
        <v>0</v>
      </c>
      <c r="D34" s="106" t="s">
        <v>179</v>
      </c>
      <c r="E34" s="106" t="s">
        <v>295</v>
      </c>
      <c r="F34" s="172" t="s">
        <v>104</v>
      </c>
      <c r="G34" s="173" t="s">
        <v>319</v>
      </c>
      <c r="H34" s="173" t="s">
        <v>319</v>
      </c>
      <c r="I34" s="173" t="s">
        <v>319</v>
      </c>
      <c r="J34" s="173" t="s">
        <v>319</v>
      </c>
      <c r="K34" s="173" t="s">
        <v>319</v>
      </c>
      <c r="L34" s="173" t="s">
        <v>319</v>
      </c>
      <c r="M34" s="173" t="s">
        <v>319</v>
      </c>
      <c r="N34" s="173" t="s">
        <v>319</v>
      </c>
      <c r="O34" s="173" t="s">
        <v>319</v>
      </c>
      <c r="P34" s="173" t="s">
        <v>319</v>
      </c>
      <c r="Q34" s="173" t="s">
        <v>319</v>
      </c>
      <c r="R34" s="239" t="s">
        <v>319</v>
      </c>
      <c r="S34" s="368" t="s">
        <v>319</v>
      </c>
    </row>
    <row r="35" spans="2:19" customFormat="1" ht="24" customHeight="1" thickBot="1" x14ac:dyDescent="0.25">
      <c r="B35" s="103"/>
      <c r="C35" s="201">
        <v>0</v>
      </c>
      <c r="D35" s="201" t="s">
        <v>179</v>
      </c>
      <c r="E35" s="201" t="s">
        <v>295</v>
      </c>
      <c r="F35" s="201" t="s">
        <v>104</v>
      </c>
      <c r="G35" s="175" t="s">
        <v>261</v>
      </c>
      <c r="H35" s="176" t="s">
        <v>261</v>
      </c>
      <c r="I35" s="176" t="s">
        <v>261</v>
      </c>
      <c r="J35" s="176" t="s">
        <v>261</v>
      </c>
      <c r="K35" s="176" t="s">
        <v>261</v>
      </c>
      <c r="L35" s="176" t="s">
        <v>261</v>
      </c>
      <c r="M35" s="177" t="s">
        <v>262</v>
      </c>
      <c r="N35" s="177" t="s">
        <v>262</v>
      </c>
      <c r="O35" s="176" t="s">
        <v>261</v>
      </c>
      <c r="P35" s="374" t="s">
        <v>263</v>
      </c>
      <c r="Q35" s="178" t="s">
        <v>352</v>
      </c>
      <c r="R35" s="234"/>
      <c r="S35" s="361"/>
    </row>
    <row r="36" spans="2:19" customFormat="1" ht="90.75" thickBot="1" x14ac:dyDescent="0.25">
      <c r="B36" s="118" t="s">
        <v>182</v>
      </c>
      <c r="C36" s="106">
        <v>0</v>
      </c>
      <c r="D36" s="106" t="s">
        <v>183</v>
      </c>
      <c r="E36" s="107" t="s">
        <v>287</v>
      </c>
      <c r="F36" s="171" t="s">
        <v>290</v>
      </c>
      <c r="G36" s="173" t="s">
        <v>319</v>
      </c>
      <c r="H36" s="173" t="s">
        <v>319</v>
      </c>
      <c r="I36" s="173" t="s">
        <v>319</v>
      </c>
      <c r="J36" s="173" t="s">
        <v>319</v>
      </c>
      <c r="K36" s="173" t="s">
        <v>319</v>
      </c>
      <c r="L36" s="173" t="s">
        <v>319</v>
      </c>
      <c r="M36" s="173" t="s">
        <v>319</v>
      </c>
      <c r="N36" s="173" t="s">
        <v>319</v>
      </c>
      <c r="O36" s="173" t="s">
        <v>319</v>
      </c>
      <c r="P36" s="173" t="s">
        <v>319</v>
      </c>
      <c r="Q36" s="173" t="s">
        <v>319</v>
      </c>
      <c r="R36" s="239" t="s">
        <v>319</v>
      </c>
      <c r="S36" s="368" t="s">
        <v>319</v>
      </c>
    </row>
    <row r="37" spans="2:19" customFormat="1" ht="24" customHeight="1" thickBot="1" x14ac:dyDescent="0.25">
      <c r="B37" s="103"/>
      <c r="C37" s="201">
        <v>0</v>
      </c>
      <c r="D37" s="201" t="s">
        <v>183</v>
      </c>
      <c r="E37" s="201" t="s">
        <v>287</v>
      </c>
      <c r="F37" s="201" t="s">
        <v>290</v>
      </c>
      <c r="G37" s="175" t="s">
        <v>261</v>
      </c>
      <c r="H37" s="176" t="s">
        <v>261</v>
      </c>
      <c r="I37" s="176" t="s">
        <v>261</v>
      </c>
      <c r="J37" s="176" t="s">
        <v>261</v>
      </c>
      <c r="K37" s="176" t="s">
        <v>261</v>
      </c>
      <c r="L37" s="176" t="s">
        <v>261</v>
      </c>
      <c r="M37" s="177" t="s">
        <v>262</v>
      </c>
      <c r="N37" s="177" t="s">
        <v>262</v>
      </c>
      <c r="O37" s="176" t="s">
        <v>261</v>
      </c>
      <c r="P37" s="374" t="s">
        <v>263</v>
      </c>
      <c r="Q37" s="178" t="s">
        <v>352</v>
      </c>
      <c r="R37" s="234"/>
      <c r="S37" s="361"/>
    </row>
    <row r="38" spans="2:19" customFormat="1" ht="79.5" thickBot="1" x14ac:dyDescent="0.25">
      <c r="B38" s="116" t="s">
        <v>296</v>
      </c>
      <c r="C38" s="179" t="s">
        <v>297</v>
      </c>
      <c r="D38" s="115" t="s">
        <v>270</v>
      </c>
      <c r="E38" s="107" t="s">
        <v>226</v>
      </c>
      <c r="F38" s="172" t="s">
        <v>290</v>
      </c>
      <c r="G38" s="173" t="s">
        <v>319</v>
      </c>
      <c r="H38" s="173" t="s">
        <v>319</v>
      </c>
      <c r="I38" s="173" t="s">
        <v>319</v>
      </c>
      <c r="J38" s="173" t="s">
        <v>319</v>
      </c>
      <c r="K38" s="173" t="s">
        <v>319</v>
      </c>
      <c r="L38" s="173" t="s">
        <v>319</v>
      </c>
      <c r="M38" s="173" t="s">
        <v>319</v>
      </c>
      <c r="N38" s="173" t="s">
        <v>319</v>
      </c>
      <c r="O38" s="173" t="s">
        <v>319</v>
      </c>
      <c r="P38" s="173" t="s">
        <v>319</v>
      </c>
      <c r="Q38" s="173" t="s">
        <v>319</v>
      </c>
      <c r="R38" s="239" t="s">
        <v>319</v>
      </c>
      <c r="S38" s="368" t="s">
        <v>319</v>
      </c>
    </row>
    <row r="39" spans="2:19" customFormat="1" ht="24" customHeight="1" thickBot="1" x14ac:dyDescent="0.25">
      <c r="B39" s="103"/>
      <c r="C39" s="201" t="s">
        <v>297</v>
      </c>
      <c r="D39" s="201" t="s">
        <v>270</v>
      </c>
      <c r="E39" s="201" t="s">
        <v>226</v>
      </c>
      <c r="F39" s="201" t="s">
        <v>290</v>
      </c>
      <c r="G39" s="176" t="s">
        <v>261</v>
      </c>
      <c r="H39" s="176" t="s">
        <v>261</v>
      </c>
      <c r="I39" s="176" t="s">
        <v>261</v>
      </c>
      <c r="J39" s="176" t="s">
        <v>261</v>
      </c>
      <c r="K39" s="176" t="s">
        <v>261</v>
      </c>
      <c r="L39" s="176" t="s">
        <v>261</v>
      </c>
      <c r="M39" s="177" t="s">
        <v>262</v>
      </c>
      <c r="N39" s="177" t="s">
        <v>262</v>
      </c>
      <c r="O39" s="176" t="s">
        <v>261</v>
      </c>
      <c r="P39" s="374" t="s">
        <v>263</v>
      </c>
      <c r="Q39" s="184" t="s">
        <v>352</v>
      </c>
      <c r="R39" s="236"/>
      <c r="S39" s="364"/>
    </row>
    <row r="40" spans="2:19" customFormat="1" ht="23.25" thickBot="1" x14ac:dyDescent="0.25">
      <c r="B40" s="116" t="s">
        <v>298</v>
      </c>
      <c r="C40" s="106" t="s">
        <v>299</v>
      </c>
      <c r="D40" s="106" t="s">
        <v>271</v>
      </c>
      <c r="E40" s="107" t="s">
        <v>226</v>
      </c>
      <c r="F40" s="172" t="s">
        <v>103</v>
      </c>
      <c r="G40" s="173" t="s">
        <v>318</v>
      </c>
      <c r="H40" s="173" t="s">
        <v>318</v>
      </c>
      <c r="I40" s="173" t="s">
        <v>320</v>
      </c>
      <c r="J40" s="173" t="s">
        <v>319</v>
      </c>
      <c r="K40" s="173" t="s">
        <v>319</v>
      </c>
      <c r="L40" s="173" t="s">
        <v>318</v>
      </c>
      <c r="M40" s="173" t="s">
        <v>320</v>
      </c>
      <c r="N40" s="173" t="s">
        <v>318</v>
      </c>
      <c r="O40" s="173" t="s">
        <v>320</v>
      </c>
      <c r="P40" s="173" t="s">
        <v>319</v>
      </c>
      <c r="Q40" s="173" t="s">
        <v>318</v>
      </c>
      <c r="R40" s="239" t="s">
        <v>319</v>
      </c>
      <c r="S40" s="368" t="s">
        <v>319</v>
      </c>
    </row>
    <row r="41" spans="2:19" customFormat="1" ht="24" customHeight="1" thickBot="1" x14ac:dyDescent="0.25">
      <c r="B41" s="103"/>
      <c r="C41" s="201" t="s">
        <v>299</v>
      </c>
      <c r="D41" s="201" t="s">
        <v>271</v>
      </c>
      <c r="E41" s="201" t="s">
        <v>226</v>
      </c>
      <c r="F41" s="201" t="s">
        <v>103</v>
      </c>
      <c r="G41" s="175" t="s">
        <v>261</v>
      </c>
      <c r="H41" s="176" t="s">
        <v>261</v>
      </c>
      <c r="I41" s="176" t="s">
        <v>261</v>
      </c>
      <c r="J41" s="176" t="s">
        <v>261</v>
      </c>
      <c r="K41" s="176" t="s">
        <v>261</v>
      </c>
      <c r="L41" s="176" t="s">
        <v>261</v>
      </c>
      <c r="M41" s="177" t="s">
        <v>262</v>
      </c>
      <c r="N41" s="177" t="s">
        <v>262</v>
      </c>
      <c r="O41" s="176" t="s">
        <v>261</v>
      </c>
      <c r="P41" s="374" t="s">
        <v>263</v>
      </c>
      <c r="Q41" s="178" t="s">
        <v>352</v>
      </c>
      <c r="R41" s="234"/>
      <c r="S41" s="367"/>
    </row>
    <row r="42" spans="2:19" customFormat="1" ht="34.5" thickBot="1" x14ac:dyDescent="0.25">
      <c r="B42" s="116" t="s">
        <v>300</v>
      </c>
      <c r="C42" s="106" t="s">
        <v>301</v>
      </c>
      <c r="D42" s="106" t="s">
        <v>272</v>
      </c>
      <c r="E42" s="107" t="s">
        <v>220</v>
      </c>
      <c r="F42" s="172" t="s">
        <v>103</v>
      </c>
      <c r="G42" s="173" t="s">
        <v>318</v>
      </c>
      <c r="H42" s="173" t="s">
        <v>318</v>
      </c>
      <c r="I42" s="173" t="s">
        <v>319</v>
      </c>
      <c r="J42" s="173" t="s">
        <v>318</v>
      </c>
      <c r="K42" s="173" t="s">
        <v>318</v>
      </c>
      <c r="L42" s="173" t="s">
        <v>318</v>
      </c>
      <c r="M42" s="173" t="s">
        <v>319</v>
      </c>
      <c r="N42" s="173" t="s">
        <v>318</v>
      </c>
      <c r="O42" s="173" t="s">
        <v>318</v>
      </c>
      <c r="P42" s="173" t="s">
        <v>319</v>
      </c>
      <c r="Q42" s="173" t="s">
        <v>319</v>
      </c>
      <c r="R42" s="239" t="s">
        <v>319</v>
      </c>
      <c r="S42" s="368" t="s">
        <v>319</v>
      </c>
    </row>
    <row r="43" spans="2:19" customFormat="1" ht="24" customHeight="1" thickBot="1" x14ac:dyDescent="0.25">
      <c r="B43" s="103"/>
      <c r="C43" s="201" t="s">
        <v>301</v>
      </c>
      <c r="D43" s="201" t="s">
        <v>272</v>
      </c>
      <c r="E43" s="201" t="s">
        <v>220</v>
      </c>
      <c r="F43" s="201" t="s">
        <v>103</v>
      </c>
      <c r="G43" s="175" t="s">
        <v>261</v>
      </c>
      <c r="H43" s="176" t="s">
        <v>261</v>
      </c>
      <c r="I43" s="176" t="s">
        <v>261</v>
      </c>
      <c r="J43" s="176" t="s">
        <v>261</v>
      </c>
      <c r="K43" s="176" t="s">
        <v>261</v>
      </c>
      <c r="L43" s="176" t="s">
        <v>261</v>
      </c>
      <c r="M43" s="177" t="s">
        <v>262</v>
      </c>
      <c r="N43" s="177" t="s">
        <v>262</v>
      </c>
      <c r="O43" s="176" t="s">
        <v>261</v>
      </c>
      <c r="P43" s="374" t="s">
        <v>263</v>
      </c>
      <c r="Q43" s="178" t="s">
        <v>352</v>
      </c>
      <c r="R43" s="234"/>
      <c r="S43" s="361"/>
    </row>
    <row r="44" spans="2:19" customFormat="1" ht="45.75" thickBot="1" x14ac:dyDescent="0.25">
      <c r="B44" s="116" t="s">
        <v>302</v>
      </c>
      <c r="C44" s="106" t="s">
        <v>303</v>
      </c>
      <c r="D44" s="106" t="s">
        <v>273</v>
      </c>
      <c r="E44" s="106" t="s">
        <v>216</v>
      </c>
      <c r="F44" s="172" t="s">
        <v>109</v>
      </c>
      <c r="G44" s="173" t="s">
        <v>318</v>
      </c>
      <c r="H44" s="173" t="s">
        <v>318</v>
      </c>
      <c r="I44" s="173" t="s">
        <v>319</v>
      </c>
      <c r="J44" s="173" t="s">
        <v>318</v>
      </c>
      <c r="K44" s="173" t="s">
        <v>318</v>
      </c>
      <c r="L44" s="173" t="s">
        <v>318</v>
      </c>
      <c r="M44" s="173" t="s">
        <v>318</v>
      </c>
      <c r="N44" s="173" t="s">
        <v>318</v>
      </c>
      <c r="O44" s="173" t="s">
        <v>318</v>
      </c>
      <c r="P44" s="173" t="s">
        <v>319</v>
      </c>
      <c r="Q44" s="173" t="s">
        <v>318</v>
      </c>
      <c r="R44" s="239" t="s">
        <v>319</v>
      </c>
      <c r="S44" s="368" t="s">
        <v>319</v>
      </c>
    </row>
    <row r="45" spans="2:19" customFormat="1" ht="24" customHeight="1" thickBot="1" x14ac:dyDescent="0.25">
      <c r="B45" s="103"/>
      <c r="C45" s="201" t="s">
        <v>303</v>
      </c>
      <c r="D45" s="201" t="s">
        <v>273</v>
      </c>
      <c r="E45" s="201" t="s">
        <v>216</v>
      </c>
      <c r="F45" s="201" t="s">
        <v>109</v>
      </c>
      <c r="G45" s="175" t="s">
        <v>261</v>
      </c>
      <c r="H45" s="176" t="s">
        <v>261</v>
      </c>
      <c r="I45" s="176" t="s">
        <v>261</v>
      </c>
      <c r="J45" s="176" t="s">
        <v>261</v>
      </c>
      <c r="K45" s="176" t="s">
        <v>261</v>
      </c>
      <c r="L45" s="176" t="s">
        <v>261</v>
      </c>
      <c r="M45" s="177" t="s">
        <v>262</v>
      </c>
      <c r="N45" s="177" t="s">
        <v>262</v>
      </c>
      <c r="O45" s="176" t="s">
        <v>261</v>
      </c>
      <c r="P45" s="374" t="s">
        <v>263</v>
      </c>
      <c r="Q45" s="178" t="s">
        <v>352</v>
      </c>
      <c r="R45" s="234"/>
      <c r="S45" s="361"/>
    </row>
    <row r="46" spans="2:19" customFormat="1" ht="68.25" thickBot="1" x14ac:dyDescent="0.25">
      <c r="B46" s="116" t="s">
        <v>304</v>
      </c>
      <c r="C46" s="106" t="s">
        <v>305</v>
      </c>
      <c r="D46" s="106" t="s">
        <v>274</v>
      </c>
      <c r="E46" s="106" t="s">
        <v>306</v>
      </c>
      <c r="F46" s="171" t="s">
        <v>290</v>
      </c>
      <c r="G46" s="173" t="s">
        <v>319</v>
      </c>
      <c r="H46" s="173" t="s">
        <v>319</v>
      </c>
      <c r="I46" s="173" t="s">
        <v>319</v>
      </c>
      <c r="J46" s="173" t="s">
        <v>319</v>
      </c>
      <c r="K46" s="173" t="s">
        <v>319</v>
      </c>
      <c r="L46" s="173" t="s">
        <v>319</v>
      </c>
      <c r="M46" s="173" t="s">
        <v>319</v>
      </c>
      <c r="N46" s="173" t="s">
        <v>319</v>
      </c>
      <c r="O46" s="173" t="s">
        <v>319</v>
      </c>
      <c r="P46" s="173" t="s">
        <v>319</v>
      </c>
      <c r="Q46" s="173" t="s">
        <v>319</v>
      </c>
      <c r="R46" s="239" t="s">
        <v>319</v>
      </c>
      <c r="S46" s="368" t="s">
        <v>319</v>
      </c>
    </row>
    <row r="47" spans="2:19" customFormat="1" ht="24" customHeight="1" thickBot="1" x14ac:dyDescent="0.25">
      <c r="B47" s="103"/>
      <c r="C47" s="201" t="s">
        <v>305</v>
      </c>
      <c r="D47" s="201" t="s">
        <v>274</v>
      </c>
      <c r="E47" s="201" t="s">
        <v>306</v>
      </c>
      <c r="F47" s="201" t="s">
        <v>290</v>
      </c>
      <c r="G47" s="175" t="s">
        <v>261</v>
      </c>
      <c r="H47" s="176" t="s">
        <v>261</v>
      </c>
      <c r="I47" s="176" t="s">
        <v>261</v>
      </c>
      <c r="J47" s="176" t="s">
        <v>261</v>
      </c>
      <c r="K47" s="176" t="s">
        <v>261</v>
      </c>
      <c r="L47" s="176" t="s">
        <v>261</v>
      </c>
      <c r="M47" s="177" t="s">
        <v>262</v>
      </c>
      <c r="N47" s="177" t="s">
        <v>262</v>
      </c>
      <c r="O47" s="176" t="s">
        <v>261</v>
      </c>
      <c r="P47" s="374" t="s">
        <v>263</v>
      </c>
      <c r="Q47" s="178" t="s">
        <v>352</v>
      </c>
      <c r="R47" s="234"/>
      <c r="S47" s="361"/>
    </row>
    <row r="48" spans="2:19" customFormat="1" ht="68.25" thickBot="1" x14ac:dyDescent="0.25">
      <c r="B48" s="116" t="s">
        <v>304</v>
      </c>
      <c r="C48" s="106" t="s">
        <v>307</v>
      </c>
      <c r="D48" s="106" t="s">
        <v>274</v>
      </c>
      <c r="E48" s="106" t="s">
        <v>306</v>
      </c>
      <c r="F48" s="171" t="s">
        <v>290</v>
      </c>
      <c r="G48" s="173" t="s">
        <v>319</v>
      </c>
      <c r="H48" s="173" t="s">
        <v>319</v>
      </c>
      <c r="I48" s="173" t="s">
        <v>319</v>
      </c>
      <c r="J48" s="173" t="s">
        <v>319</v>
      </c>
      <c r="K48" s="173" t="s">
        <v>319</v>
      </c>
      <c r="L48" s="173" t="s">
        <v>319</v>
      </c>
      <c r="M48" s="173" t="s">
        <v>319</v>
      </c>
      <c r="N48" s="173" t="s">
        <v>319</v>
      </c>
      <c r="O48" s="173" t="s">
        <v>319</v>
      </c>
      <c r="P48" s="173" t="s">
        <v>319</v>
      </c>
      <c r="Q48" s="173" t="s">
        <v>319</v>
      </c>
      <c r="R48" s="239" t="s">
        <v>319</v>
      </c>
      <c r="S48" s="368" t="s">
        <v>319</v>
      </c>
    </row>
    <row r="49" spans="2:19" customFormat="1" ht="24" customHeight="1" thickBot="1" x14ac:dyDescent="0.25">
      <c r="B49" s="103"/>
      <c r="C49" s="201" t="s">
        <v>307</v>
      </c>
      <c r="D49" s="201" t="s">
        <v>274</v>
      </c>
      <c r="E49" s="201" t="s">
        <v>306</v>
      </c>
      <c r="F49" s="201" t="s">
        <v>290</v>
      </c>
      <c r="G49" s="175" t="s">
        <v>261</v>
      </c>
      <c r="H49" s="176" t="s">
        <v>261</v>
      </c>
      <c r="I49" s="176" t="s">
        <v>261</v>
      </c>
      <c r="J49" s="176" t="s">
        <v>261</v>
      </c>
      <c r="K49" s="176" t="s">
        <v>261</v>
      </c>
      <c r="L49" s="176" t="s">
        <v>261</v>
      </c>
      <c r="M49" s="177" t="s">
        <v>262</v>
      </c>
      <c r="N49" s="177" t="s">
        <v>262</v>
      </c>
      <c r="O49" s="176" t="s">
        <v>261</v>
      </c>
      <c r="P49" s="374" t="s">
        <v>263</v>
      </c>
      <c r="Q49" s="178" t="s">
        <v>352</v>
      </c>
      <c r="R49" s="234"/>
      <c r="S49" s="361"/>
    </row>
    <row r="50" spans="2:19" customFormat="1" ht="57" thickBot="1" x14ac:dyDescent="0.25">
      <c r="B50" s="116" t="s">
        <v>308</v>
      </c>
      <c r="C50" s="106" t="s">
        <v>170</v>
      </c>
      <c r="D50" s="106" t="s">
        <v>275</v>
      </c>
      <c r="E50" s="106">
        <v>0</v>
      </c>
      <c r="F50" s="171" t="s">
        <v>291</v>
      </c>
      <c r="G50" s="173" t="s">
        <v>319</v>
      </c>
      <c r="H50" s="173" t="s">
        <v>319</v>
      </c>
      <c r="I50" s="173" t="s">
        <v>319</v>
      </c>
      <c r="J50" s="173" t="s">
        <v>319</v>
      </c>
      <c r="K50" s="173" t="s">
        <v>319</v>
      </c>
      <c r="L50" s="173" t="s">
        <v>319</v>
      </c>
      <c r="M50" s="173" t="s">
        <v>319</v>
      </c>
      <c r="N50" s="173" t="s">
        <v>319</v>
      </c>
      <c r="O50" s="173" t="s">
        <v>319</v>
      </c>
      <c r="P50" s="173" t="s">
        <v>319</v>
      </c>
      <c r="Q50" s="173" t="s">
        <v>319</v>
      </c>
      <c r="R50" s="239" t="s">
        <v>319</v>
      </c>
      <c r="S50" s="368" t="s">
        <v>319</v>
      </c>
    </row>
    <row r="51" spans="2:19" customFormat="1" ht="24" customHeight="1" thickBot="1" x14ac:dyDescent="0.25">
      <c r="B51" s="103"/>
      <c r="C51" s="201" t="s">
        <v>170</v>
      </c>
      <c r="D51" s="201" t="s">
        <v>275</v>
      </c>
      <c r="E51" s="201">
        <v>0</v>
      </c>
      <c r="F51" s="201" t="s">
        <v>291</v>
      </c>
      <c r="G51" s="175" t="s">
        <v>261</v>
      </c>
      <c r="H51" s="176" t="s">
        <v>261</v>
      </c>
      <c r="I51" s="176" t="s">
        <v>261</v>
      </c>
      <c r="J51" s="176" t="s">
        <v>261</v>
      </c>
      <c r="K51" s="176" t="s">
        <v>261</v>
      </c>
      <c r="L51" s="176" t="s">
        <v>261</v>
      </c>
      <c r="M51" s="177" t="s">
        <v>262</v>
      </c>
      <c r="N51" s="177" t="s">
        <v>262</v>
      </c>
      <c r="O51" s="176" t="s">
        <v>261</v>
      </c>
      <c r="P51" s="374" t="s">
        <v>263</v>
      </c>
      <c r="Q51" s="178" t="s">
        <v>352</v>
      </c>
      <c r="R51" s="234"/>
      <c r="S51" s="361"/>
    </row>
    <row r="52" spans="2:19" customFormat="1" ht="34.5" thickBot="1" x14ac:dyDescent="0.25">
      <c r="B52" s="116" t="s">
        <v>173</v>
      </c>
      <c r="C52" s="106" t="s">
        <v>309</v>
      </c>
      <c r="D52" s="106" t="s">
        <v>276</v>
      </c>
      <c r="E52" s="106">
        <v>0</v>
      </c>
      <c r="F52" s="171" t="s">
        <v>291</v>
      </c>
      <c r="G52" s="173" t="s">
        <v>319</v>
      </c>
      <c r="H52" s="173" t="s">
        <v>319</v>
      </c>
      <c r="I52" s="173" t="s">
        <v>319</v>
      </c>
      <c r="J52" s="173" t="s">
        <v>319</v>
      </c>
      <c r="K52" s="173" t="s">
        <v>319</v>
      </c>
      <c r="L52" s="173" t="s">
        <v>319</v>
      </c>
      <c r="M52" s="173" t="s">
        <v>319</v>
      </c>
      <c r="N52" s="173" t="s">
        <v>319</v>
      </c>
      <c r="O52" s="173" t="s">
        <v>319</v>
      </c>
      <c r="P52" s="173" t="s">
        <v>319</v>
      </c>
      <c r="Q52" s="173" t="s">
        <v>319</v>
      </c>
      <c r="R52" s="239" t="s">
        <v>319</v>
      </c>
      <c r="S52" s="368" t="s">
        <v>319</v>
      </c>
    </row>
    <row r="53" spans="2:19" customFormat="1" ht="24" customHeight="1" thickBot="1" x14ac:dyDescent="0.25">
      <c r="B53" s="103"/>
      <c r="C53" s="201" t="s">
        <v>309</v>
      </c>
      <c r="D53" s="201" t="s">
        <v>276</v>
      </c>
      <c r="E53" s="201">
        <v>0</v>
      </c>
      <c r="F53" s="201" t="s">
        <v>291</v>
      </c>
      <c r="G53" s="175" t="s">
        <v>261</v>
      </c>
      <c r="H53" s="176" t="s">
        <v>261</v>
      </c>
      <c r="I53" s="176" t="s">
        <v>261</v>
      </c>
      <c r="J53" s="176" t="s">
        <v>261</v>
      </c>
      <c r="K53" s="176" t="s">
        <v>261</v>
      </c>
      <c r="L53" s="176" t="s">
        <v>261</v>
      </c>
      <c r="M53" s="177" t="s">
        <v>262</v>
      </c>
      <c r="N53" s="177" t="s">
        <v>262</v>
      </c>
      <c r="O53" s="176" t="s">
        <v>261</v>
      </c>
      <c r="P53" s="374" t="s">
        <v>263</v>
      </c>
      <c r="Q53" s="178" t="s">
        <v>352</v>
      </c>
      <c r="R53" s="234"/>
      <c r="S53" s="361"/>
    </row>
    <row r="54" spans="2:19" customFormat="1" ht="23.25" thickBot="1" x14ac:dyDescent="0.25">
      <c r="B54" s="116" t="s">
        <v>242</v>
      </c>
      <c r="C54" s="106" t="s">
        <v>243</v>
      </c>
      <c r="D54" s="106" t="s">
        <v>277</v>
      </c>
      <c r="E54" s="107" t="s">
        <v>216</v>
      </c>
      <c r="F54" s="171" t="s">
        <v>107</v>
      </c>
      <c r="G54" s="173" t="s">
        <v>319</v>
      </c>
      <c r="H54" s="173" t="s">
        <v>319</v>
      </c>
      <c r="I54" s="173" t="s">
        <v>319</v>
      </c>
      <c r="J54" s="173" t="s">
        <v>319</v>
      </c>
      <c r="K54" s="173" t="s">
        <v>319</v>
      </c>
      <c r="L54" s="173" t="s">
        <v>319</v>
      </c>
      <c r="M54" s="173" t="s">
        <v>319</v>
      </c>
      <c r="N54" s="173" t="s">
        <v>319</v>
      </c>
      <c r="O54" s="173" t="s">
        <v>319</v>
      </c>
      <c r="P54" s="173" t="s">
        <v>319</v>
      </c>
      <c r="Q54" s="173" t="s">
        <v>319</v>
      </c>
      <c r="R54" s="239" t="s">
        <v>319</v>
      </c>
      <c r="S54" s="368" t="s">
        <v>319</v>
      </c>
    </row>
    <row r="55" spans="2:19" customFormat="1" ht="24" customHeight="1" thickBot="1" x14ac:dyDescent="0.25">
      <c r="B55" s="103"/>
      <c r="C55" s="201" t="s">
        <v>243</v>
      </c>
      <c r="D55" s="201" t="s">
        <v>277</v>
      </c>
      <c r="E55" s="201" t="s">
        <v>216</v>
      </c>
      <c r="F55" s="201" t="s">
        <v>107</v>
      </c>
      <c r="G55" s="175" t="s">
        <v>261</v>
      </c>
      <c r="H55" s="176" t="s">
        <v>261</v>
      </c>
      <c r="I55" s="176" t="s">
        <v>261</v>
      </c>
      <c r="J55" s="176" t="s">
        <v>261</v>
      </c>
      <c r="K55" s="176" t="s">
        <v>261</v>
      </c>
      <c r="L55" s="176" t="s">
        <v>261</v>
      </c>
      <c r="M55" s="177" t="s">
        <v>262</v>
      </c>
      <c r="N55" s="177" t="s">
        <v>262</v>
      </c>
      <c r="O55" s="176" t="s">
        <v>261</v>
      </c>
      <c r="P55" s="374" t="s">
        <v>263</v>
      </c>
      <c r="Q55" s="178" t="s">
        <v>352</v>
      </c>
      <c r="R55" s="234"/>
      <c r="S55" s="361"/>
    </row>
    <row r="56" spans="2:19" customFormat="1" ht="34.5" thickBot="1" x14ac:dyDescent="0.25">
      <c r="B56" s="116" t="s">
        <v>310</v>
      </c>
      <c r="C56" s="106" t="s">
        <v>311</v>
      </c>
      <c r="D56" s="106" t="s">
        <v>278</v>
      </c>
      <c r="E56" s="107" t="s">
        <v>233</v>
      </c>
      <c r="F56" s="171" t="s">
        <v>312</v>
      </c>
      <c r="G56" s="173" t="s">
        <v>319</v>
      </c>
      <c r="H56" s="173" t="s">
        <v>319</v>
      </c>
      <c r="I56" s="173" t="s">
        <v>319</v>
      </c>
      <c r="J56" s="173" t="s">
        <v>319</v>
      </c>
      <c r="K56" s="173" t="s">
        <v>319</v>
      </c>
      <c r="L56" s="173" t="s">
        <v>319</v>
      </c>
      <c r="M56" s="173" t="s">
        <v>319</v>
      </c>
      <c r="N56" s="173" t="s">
        <v>319</v>
      </c>
      <c r="O56" s="173" t="s">
        <v>319</v>
      </c>
      <c r="P56" s="173" t="s">
        <v>319</v>
      </c>
      <c r="Q56" s="173" t="s">
        <v>319</v>
      </c>
      <c r="R56" s="239" t="s">
        <v>319</v>
      </c>
      <c r="S56" s="368" t="s">
        <v>319</v>
      </c>
    </row>
    <row r="57" spans="2:19" customFormat="1" ht="24" customHeight="1" thickBot="1" x14ac:dyDescent="0.25">
      <c r="B57" s="103"/>
      <c r="C57" s="201" t="s">
        <v>311</v>
      </c>
      <c r="D57" s="201" t="s">
        <v>278</v>
      </c>
      <c r="E57" s="201" t="s">
        <v>233</v>
      </c>
      <c r="F57" s="201" t="s">
        <v>312</v>
      </c>
      <c r="G57" s="175" t="s">
        <v>261</v>
      </c>
      <c r="H57" s="176" t="s">
        <v>261</v>
      </c>
      <c r="I57" s="176" t="s">
        <v>261</v>
      </c>
      <c r="J57" s="176" t="s">
        <v>261</v>
      </c>
      <c r="K57" s="176" t="s">
        <v>261</v>
      </c>
      <c r="L57" s="176" t="s">
        <v>261</v>
      </c>
      <c r="M57" s="177" t="s">
        <v>262</v>
      </c>
      <c r="N57" s="177" t="s">
        <v>262</v>
      </c>
      <c r="O57" s="176" t="s">
        <v>261</v>
      </c>
      <c r="P57" s="374" t="s">
        <v>263</v>
      </c>
      <c r="Q57" s="178" t="s">
        <v>352</v>
      </c>
      <c r="R57" s="234"/>
      <c r="S57" s="361"/>
    </row>
    <row r="58" spans="2:19" customFormat="1" ht="15.75" thickBot="1" x14ac:dyDescent="0.25">
      <c r="B58" s="116" t="s">
        <v>313</v>
      </c>
      <c r="C58" s="106" t="e">
        <f>VLOOKUP(B58,'Tracker Sheet'!$A$3:$G$40,2,FALSE)</f>
        <v>#N/A</v>
      </c>
      <c r="D58" s="106" t="e">
        <f>VLOOKUP($B58,'Tracker Sheet'!$A$3:$G$40,3,FALSE)</f>
        <v>#N/A</v>
      </c>
      <c r="E58" s="106" t="e">
        <f>VLOOKUP($B58,'Tracker Sheet'!$A$3:$G$40,4,FALSE)</f>
        <v>#N/A</v>
      </c>
      <c r="F58" s="106" t="e">
        <f>VLOOKUP($B58,'Tracker Sheet'!$A$3:$G$40,5,FALSE)</f>
        <v>#N/A</v>
      </c>
      <c r="G58" s="173" t="s">
        <v>319</v>
      </c>
      <c r="H58" s="173" t="s">
        <v>318</v>
      </c>
      <c r="I58" s="173" t="s">
        <v>319</v>
      </c>
      <c r="J58" s="173" t="s">
        <v>319</v>
      </c>
      <c r="K58" s="173" t="s">
        <v>318</v>
      </c>
      <c r="L58" s="173" t="s">
        <v>318</v>
      </c>
      <c r="M58" s="173" t="s">
        <v>318</v>
      </c>
      <c r="N58" s="173" t="s">
        <v>319</v>
      </c>
      <c r="O58" s="173" t="s">
        <v>318</v>
      </c>
      <c r="P58" s="173" t="s">
        <v>319</v>
      </c>
      <c r="Q58" s="173" t="s">
        <v>318</v>
      </c>
      <c r="R58" s="239" t="s">
        <v>318</v>
      </c>
      <c r="S58" s="368" t="s">
        <v>319</v>
      </c>
    </row>
    <row r="59" spans="2:19" customFormat="1" ht="24" customHeight="1" thickBot="1" x14ac:dyDescent="0.25">
      <c r="B59" s="103"/>
      <c r="C59" s="201" t="s">
        <v>314</v>
      </c>
      <c r="D59" s="201" t="s">
        <v>279</v>
      </c>
      <c r="E59" s="201" t="s">
        <v>216</v>
      </c>
      <c r="F59" s="201" t="s">
        <v>109</v>
      </c>
      <c r="G59" s="175" t="s">
        <v>261</v>
      </c>
      <c r="H59" s="176" t="s">
        <v>261</v>
      </c>
      <c r="I59" s="176" t="s">
        <v>261</v>
      </c>
      <c r="J59" s="176" t="s">
        <v>261</v>
      </c>
      <c r="K59" s="176" t="s">
        <v>261</v>
      </c>
      <c r="L59" s="176" t="s">
        <v>261</v>
      </c>
      <c r="M59" s="177" t="s">
        <v>262</v>
      </c>
      <c r="N59" s="177" t="s">
        <v>262</v>
      </c>
      <c r="O59" s="176" t="s">
        <v>261</v>
      </c>
      <c r="P59" s="374" t="s">
        <v>263</v>
      </c>
      <c r="Q59" s="178" t="s">
        <v>352</v>
      </c>
      <c r="R59" s="234"/>
      <c r="S59" s="361"/>
    </row>
    <row r="60" spans="2:19" ht="34.5" thickBot="1" x14ac:dyDescent="0.25">
      <c r="B60" s="116" t="str">
        <f>'Tracker Sheet'!A10</f>
        <v>PCP/16/024</v>
      </c>
      <c r="C60" s="106">
        <f>VLOOKUP(B60,'Tracker Sheet'!$A$3:$G$40,2,FALSE)</f>
        <v>0</v>
      </c>
      <c r="D60" s="106" t="str">
        <f>VLOOKUP($B60,'Tracker Sheet'!$A$3:$G$40,3,FALSE)</f>
        <v>Griffith House Facade Repairs</v>
      </c>
      <c r="E60" s="106" t="str">
        <f>VLOOKUP($B60,'Tracker Sheet'!$A$3:$G$40,4,FALSE)</f>
        <v xml:space="preserve">
Griffith House (NW1)</v>
      </c>
      <c r="F60" s="106" t="str">
        <f>VLOOKUP($B60,'Tracker Sheet'!$A$3:$G$40,5,FALSE)</f>
        <v>John Cousins</v>
      </c>
      <c r="G60" s="173" t="s">
        <v>318</v>
      </c>
      <c r="H60" s="173" t="s">
        <v>319</v>
      </c>
      <c r="I60" s="173" t="s">
        <v>319</v>
      </c>
      <c r="J60" s="173" t="s">
        <v>318</v>
      </c>
      <c r="K60" s="173" t="s">
        <v>319</v>
      </c>
      <c r="L60" s="173" t="s">
        <v>318</v>
      </c>
      <c r="M60" s="173" t="s">
        <v>319</v>
      </c>
      <c r="N60" s="173" t="s">
        <v>318</v>
      </c>
      <c r="O60" s="173" t="s">
        <v>319</v>
      </c>
      <c r="P60" s="173" t="s">
        <v>319</v>
      </c>
      <c r="Q60" s="173" t="s">
        <v>319</v>
      </c>
      <c r="R60" s="239" t="s">
        <v>319</v>
      </c>
      <c r="S60" s="368" t="s">
        <v>318</v>
      </c>
    </row>
    <row r="61" spans="2:19" ht="45.75" thickBot="1" x14ac:dyDescent="0.25">
      <c r="B61" s="103"/>
      <c r="C61" s="201">
        <v>0</v>
      </c>
      <c r="D61" s="201" t="s">
        <v>344</v>
      </c>
      <c r="E61" s="201" t="s">
        <v>87</v>
      </c>
      <c r="F61" s="201" t="s">
        <v>249</v>
      </c>
      <c r="G61" s="176" t="s">
        <v>261</v>
      </c>
      <c r="H61" s="176" t="s">
        <v>261</v>
      </c>
      <c r="I61" s="176" t="s">
        <v>261</v>
      </c>
      <c r="J61" s="176" t="s">
        <v>261</v>
      </c>
      <c r="K61" s="176" t="s">
        <v>261</v>
      </c>
      <c r="L61" s="176" t="s">
        <v>261</v>
      </c>
      <c r="M61" s="182" t="s">
        <v>262</v>
      </c>
      <c r="N61" s="182" t="s">
        <v>262</v>
      </c>
      <c r="O61" s="176" t="s">
        <v>261</v>
      </c>
      <c r="P61" s="374" t="s">
        <v>263</v>
      </c>
      <c r="Q61" s="183" t="s">
        <v>352</v>
      </c>
      <c r="R61" s="237"/>
      <c r="S61" s="361" t="s">
        <v>638</v>
      </c>
    </row>
    <row r="62" spans="2:19" ht="15.75" thickBot="1" x14ac:dyDescent="0.25">
      <c r="B62" s="116" t="e">
        <f>'Tracker Sheet'!#REF!</f>
        <v>#REF!</v>
      </c>
      <c r="C62" s="106" t="e">
        <f>VLOOKUP(B62,'Tracker Sheet'!$A$3:$G$40,2,FALSE)</f>
        <v>#REF!</v>
      </c>
      <c r="D62" s="106" t="e">
        <f>VLOOKUP($B62,'Tracker Sheet'!$A$3:$G$40,3,FALSE)</f>
        <v>#REF!</v>
      </c>
      <c r="E62" s="106" t="e">
        <f>VLOOKUP($B62,'Tracker Sheet'!$A$3:$G$40,4,FALSE)</f>
        <v>#REF!</v>
      </c>
      <c r="F62" s="106" t="e">
        <f>VLOOKUP($B62,'Tracker Sheet'!$A$3:$G$40,5,FALSE)</f>
        <v>#REF!</v>
      </c>
      <c r="G62" s="173" t="s">
        <v>318</v>
      </c>
      <c r="H62" s="173" t="s">
        <v>319</v>
      </c>
      <c r="I62" s="173" t="s">
        <v>319</v>
      </c>
      <c r="J62" s="173" t="s">
        <v>318</v>
      </c>
      <c r="K62" s="173" t="s">
        <v>319</v>
      </c>
      <c r="L62" s="173" t="s">
        <v>319</v>
      </c>
      <c r="M62" s="173" t="s">
        <v>319</v>
      </c>
      <c r="N62" s="173" t="s">
        <v>318</v>
      </c>
      <c r="O62" s="173" t="s">
        <v>319</v>
      </c>
      <c r="P62" s="173" t="s">
        <v>319</v>
      </c>
      <c r="Q62" s="173" t="s">
        <v>319</v>
      </c>
      <c r="R62" s="239" t="s">
        <v>319</v>
      </c>
      <c r="S62" s="368" t="s">
        <v>319</v>
      </c>
    </row>
    <row r="63" spans="2:19" ht="23.25" thickBot="1" x14ac:dyDescent="0.25">
      <c r="B63" s="103"/>
      <c r="C63" s="201">
        <v>0</v>
      </c>
      <c r="D63" s="201" t="s">
        <v>347</v>
      </c>
      <c r="E63" s="201" t="s">
        <v>348</v>
      </c>
      <c r="F63" s="201" t="s">
        <v>102</v>
      </c>
      <c r="G63" s="180" t="s">
        <v>261</v>
      </c>
      <c r="H63" s="181" t="s">
        <v>261</v>
      </c>
      <c r="I63" s="181" t="s">
        <v>261</v>
      </c>
      <c r="J63" s="181" t="s">
        <v>261</v>
      </c>
      <c r="K63" s="181" t="s">
        <v>261</v>
      </c>
      <c r="L63" s="181" t="s">
        <v>261</v>
      </c>
      <c r="M63" s="182" t="s">
        <v>262</v>
      </c>
      <c r="N63" s="182" t="s">
        <v>262</v>
      </c>
      <c r="O63" s="181" t="s">
        <v>261</v>
      </c>
      <c r="P63" s="374" t="s">
        <v>263</v>
      </c>
      <c r="Q63" s="183" t="s">
        <v>352</v>
      </c>
      <c r="R63" s="360"/>
      <c r="S63" s="365"/>
    </row>
  </sheetData>
  <autoFilter ref="B2:Q63"/>
  <mergeCells count="1">
    <mergeCell ref="B1:R1"/>
  </mergeCells>
  <conditionalFormatting sqref="G4:S4 G6:S8 G10:S10 G14:S14 G18:S18 G20:S20 G22:S22 G24:S24 G26:S26 G28:S28 G30:S30 G32:S32 G34:S34 G36:S36 G38:S38 G40:S40 G42:S42 G44:S44 G46:S46 G48:S48 G50:S50 G52:S52 G54:S54 G56:S56 G58:S58 G16:S16 G60:S60 G62:S62 G12:S12">
    <cfRule type="cellIs" dxfId="168" priority="254" stopIfTrue="1" operator="equal">
      <formula>"NO"</formula>
    </cfRule>
    <cfRule type="cellIs" dxfId="167" priority="255" stopIfTrue="1" operator="equal">
      <formula>"YES"</formula>
    </cfRule>
  </conditionalFormatting>
  <conditionalFormatting sqref="G9:S9 G11:S12 G15:S15 G39:S39 G17:S17 G19:S19 G21:S21 G23:S23 G25:S25 G27:S27 G29:S29 G31:S31 G33:S33 G35:S35 G37:S37 G41:S41 G43:S43 G45:S45 G47:S47 G51:S51 G53:S53 G55:S55 G57:S57 G5:S5 G49:S49 G59:S63">
    <cfRule type="cellIs" dxfId="166" priority="252" stopIfTrue="1" operator="equal">
      <formula>"NO"</formula>
    </cfRule>
    <cfRule type="cellIs" dxfId="165" priority="253" stopIfTrue="1" operator="equal">
      <formula>"YES"</formula>
    </cfRule>
  </conditionalFormatting>
  <conditionalFormatting sqref="G4:S63">
    <cfRule type="cellIs" dxfId="164" priority="141" operator="equal">
      <formula>"N/A"</formula>
    </cfRule>
  </conditionalFormatting>
  <conditionalFormatting sqref="R12:S12">
    <cfRule type="cellIs" dxfId="163" priority="63" stopIfTrue="1" operator="equal">
      <formula>"NO"</formula>
    </cfRule>
    <cfRule type="cellIs" dxfId="162" priority="64" stopIfTrue="1" operator="equal">
      <formula>"YES"</formula>
    </cfRule>
  </conditionalFormatting>
  <conditionalFormatting sqref="R16:S16">
    <cfRule type="cellIs" dxfId="161" priority="61" stopIfTrue="1" operator="equal">
      <formula>"NO"</formula>
    </cfRule>
    <cfRule type="cellIs" dxfId="160" priority="62" stopIfTrue="1" operator="equal">
      <formula>"YES"</formula>
    </cfRule>
  </conditionalFormatting>
  <conditionalFormatting sqref="R60:S60">
    <cfRule type="cellIs" dxfId="159" priority="59" stopIfTrue="1" operator="equal">
      <formula>"NO"</formula>
    </cfRule>
    <cfRule type="cellIs" dxfId="158" priority="60" stopIfTrue="1" operator="equal">
      <formula>"YES"</formula>
    </cfRule>
  </conditionalFormatting>
  <conditionalFormatting sqref="R62:S62">
    <cfRule type="cellIs" dxfId="157" priority="57" stopIfTrue="1" operator="equal">
      <formula>"NO"</formula>
    </cfRule>
    <cfRule type="cellIs" dxfId="156" priority="58" stopIfTrue="1" operator="equal">
      <formula>"YES"</formula>
    </cfRule>
  </conditionalFormatting>
  <conditionalFormatting sqref="S12">
    <cfRule type="cellIs" dxfId="155" priority="55" stopIfTrue="1" operator="equal">
      <formula>"NO"</formula>
    </cfRule>
    <cfRule type="cellIs" dxfId="154" priority="56" stopIfTrue="1" operator="equal">
      <formula>"YES"</formula>
    </cfRule>
  </conditionalFormatting>
  <conditionalFormatting sqref="S16">
    <cfRule type="cellIs" dxfId="153" priority="53" stopIfTrue="1" operator="equal">
      <formula>"NO"</formula>
    </cfRule>
    <cfRule type="cellIs" dxfId="152" priority="54" stopIfTrue="1" operator="equal">
      <formula>"YES"</formula>
    </cfRule>
  </conditionalFormatting>
  <conditionalFormatting sqref="S60">
    <cfRule type="cellIs" dxfId="151" priority="51" stopIfTrue="1" operator="equal">
      <formula>"NO"</formula>
    </cfRule>
    <cfRule type="cellIs" dxfId="150" priority="52" stopIfTrue="1" operator="equal">
      <formula>"YES"</formula>
    </cfRule>
  </conditionalFormatting>
  <conditionalFormatting sqref="S62">
    <cfRule type="cellIs" dxfId="149" priority="49" stopIfTrue="1" operator="equal">
      <formula>"NO"</formula>
    </cfRule>
    <cfRule type="cellIs" dxfId="148" priority="50" stopIfTrue="1" operator="equal">
      <formula>"YES"</formula>
    </cfRule>
  </conditionalFormatting>
  <conditionalFormatting sqref="P17">
    <cfRule type="cellIs" dxfId="147" priority="47" stopIfTrue="1" operator="equal">
      <formula>"NO"</formula>
    </cfRule>
    <cfRule type="cellIs" dxfId="146" priority="48" stopIfTrue="1" operator="equal">
      <formula>"YES"</formula>
    </cfRule>
  </conditionalFormatting>
  <conditionalFormatting sqref="P19">
    <cfRule type="cellIs" dxfId="145" priority="45" stopIfTrue="1" operator="equal">
      <formula>"NO"</formula>
    </cfRule>
    <cfRule type="cellIs" dxfId="144" priority="46" stopIfTrue="1" operator="equal">
      <formula>"YES"</formula>
    </cfRule>
  </conditionalFormatting>
  <conditionalFormatting sqref="P21">
    <cfRule type="cellIs" dxfId="143" priority="43" stopIfTrue="1" operator="equal">
      <formula>"NO"</formula>
    </cfRule>
    <cfRule type="cellIs" dxfId="142" priority="44" stopIfTrue="1" operator="equal">
      <formula>"YES"</formula>
    </cfRule>
  </conditionalFormatting>
  <conditionalFormatting sqref="P23">
    <cfRule type="cellIs" dxfId="141" priority="41" stopIfTrue="1" operator="equal">
      <formula>"NO"</formula>
    </cfRule>
    <cfRule type="cellIs" dxfId="140" priority="42" stopIfTrue="1" operator="equal">
      <formula>"YES"</formula>
    </cfRule>
  </conditionalFormatting>
  <conditionalFormatting sqref="P25">
    <cfRule type="cellIs" dxfId="139" priority="39" stopIfTrue="1" operator="equal">
      <formula>"NO"</formula>
    </cfRule>
    <cfRule type="cellIs" dxfId="138" priority="40" stopIfTrue="1" operator="equal">
      <formula>"YES"</formula>
    </cfRule>
  </conditionalFormatting>
  <conditionalFormatting sqref="P27">
    <cfRule type="cellIs" dxfId="137" priority="37" stopIfTrue="1" operator="equal">
      <formula>"NO"</formula>
    </cfRule>
    <cfRule type="cellIs" dxfId="136" priority="38" stopIfTrue="1" operator="equal">
      <formula>"YES"</formula>
    </cfRule>
  </conditionalFormatting>
  <conditionalFormatting sqref="P29">
    <cfRule type="cellIs" dxfId="135" priority="35" stopIfTrue="1" operator="equal">
      <formula>"NO"</formula>
    </cfRule>
    <cfRule type="cellIs" dxfId="134" priority="36" stopIfTrue="1" operator="equal">
      <formula>"YES"</formula>
    </cfRule>
  </conditionalFormatting>
  <conditionalFormatting sqref="P31">
    <cfRule type="cellIs" dxfId="133" priority="33" stopIfTrue="1" operator="equal">
      <formula>"NO"</formula>
    </cfRule>
    <cfRule type="cellIs" dxfId="132" priority="34" stopIfTrue="1" operator="equal">
      <formula>"YES"</formula>
    </cfRule>
  </conditionalFormatting>
  <conditionalFormatting sqref="P33">
    <cfRule type="cellIs" dxfId="131" priority="31" stopIfTrue="1" operator="equal">
      <formula>"NO"</formula>
    </cfRule>
    <cfRule type="cellIs" dxfId="130" priority="32" stopIfTrue="1" operator="equal">
      <formula>"YES"</formula>
    </cfRule>
  </conditionalFormatting>
  <conditionalFormatting sqref="P35">
    <cfRule type="cellIs" dxfId="129" priority="29" stopIfTrue="1" operator="equal">
      <formula>"NO"</formula>
    </cfRule>
    <cfRule type="cellIs" dxfId="128" priority="30" stopIfTrue="1" operator="equal">
      <formula>"YES"</formula>
    </cfRule>
  </conditionalFormatting>
  <conditionalFormatting sqref="P37">
    <cfRule type="cellIs" dxfId="127" priority="27" stopIfTrue="1" operator="equal">
      <formula>"NO"</formula>
    </cfRule>
    <cfRule type="cellIs" dxfId="126" priority="28" stopIfTrue="1" operator="equal">
      <formula>"YES"</formula>
    </cfRule>
  </conditionalFormatting>
  <conditionalFormatting sqref="P39">
    <cfRule type="cellIs" dxfId="125" priority="25" stopIfTrue="1" operator="equal">
      <formula>"NO"</formula>
    </cfRule>
    <cfRule type="cellIs" dxfId="124" priority="26" stopIfTrue="1" operator="equal">
      <formula>"YES"</formula>
    </cfRule>
  </conditionalFormatting>
  <conditionalFormatting sqref="P41">
    <cfRule type="cellIs" dxfId="123" priority="23" stopIfTrue="1" operator="equal">
      <formula>"NO"</formula>
    </cfRule>
    <cfRule type="cellIs" dxfId="122" priority="24" stopIfTrue="1" operator="equal">
      <formula>"YES"</formula>
    </cfRule>
  </conditionalFormatting>
  <conditionalFormatting sqref="P43">
    <cfRule type="cellIs" dxfId="121" priority="21" stopIfTrue="1" operator="equal">
      <formula>"NO"</formula>
    </cfRule>
    <cfRule type="cellIs" dxfId="120" priority="22" stopIfTrue="1" operator="equal">
      <formula>"YES"</formula>
    </cfRule>
  </conditionalFormatting>
  <conditionalFormatting sqref="P45">
    <cfRule type="cellIs" dxfId="119" priority="19" stopIfTrue="1" operator="equal">
      <formula>"NO"</formula>
    </cfRule>
    <cfRule type="cellIs" dxfId="118" priority="20" stopIfTrue="1" operator="equal">
      <formula>"YES"</formula>
    </cfRule>
  </conditionalFormatting>
  <conditionalFormatting sqref="P49">
    <cfRule type="cellIs" dxfId="117" priority="17" stopIfTrue="1" operator="equal">
      <formula>"NO"</formula>
    </cfRule>
    <cfRule type="cellIs" dxfId="116" priority="18" stopIfTrue="1" operator="equal">
      <formula>"YES"</formula>
    </cfRule>
  </conditionalFormatting>
  <conditionalFormatting sqref="P51">
    <cfRule type="cellIs" dxfId="115" priority="15" stopIfTrue="1" operator="equal">
      <formula>"NO"</formula>
    </cfRule>
    <cfRule type="cellIs" dxfId="114" priority="16" stopIfTrue="1" operator="equal">
      <formula>"YES"</formula>
    </cfRule>
  </conditionalFormatting>
  <conditionalFormatting sqref="P53">
    <cfRule type="cellIs" dxfId="113" priority="13" stopIfTrue="1" operator="equal">
      <formula>"NO"</formula>
    </cfRule>
    <cfRule type="cellIs" dxfId="112" priority="14" stopIfTrue="1" operator="equal">
      <formula>"YES"</formula>
    </cfRule>
  </conditionalFormatting>
  <conditionalFormatting sqref="P55">
    <cfRule type="cellIs" dxfId="111" priority="11" stopIfTrue="1" operator="equal">
      <formula>"NO"</formula>
    </cfRule>
    <cfRule type="cellIs" dxfId="110" priority="12" stopIfTrue="1" operator="equal">
      <formula>"YES"</formula>
    </cfRule>
  </conditionalFormatting>
  <conditionalFormatting sqref="P57">
    <cfRule type="cellIs" dxfId="109" priority="9" stopIfTrue="1" operator="equal">
      <formula>"NO"</formula>
    </cfRule>
    <cfRule type="cellIs" dxfId="108" priority="10" stopIfTrue="1" operator="equal">
      <formula>"YES"</formula>
    </cfRule>
  </conditionalFormatting>
  <conditionalFormatting sqref="P59">
    <cfRule type="cellIs" dxfId="107" priority="7" stopIfTrue="1" operator="equal">
      <formula>"NO"</formula>
    </cfRule>
    <cfRule type="cellIs" dxfId="106" priority="8" stopIfTrue="1" operator="equal">
      <formula>"YES"</formula>
    </cfRule>
  </conditionalFormatting>
  <conditionalFormatting sqref="P61">
    <cfRule type="cellIs" dxfId="105" priority="5" stopIfTrue="1" operator="equal">
      <formula>"NO"</formula>
    </cfRule>
    <cfRule type="cellIs" dxfId="104" priority="6" stopIfTrue="1" operator="equal">
      <formula>"YES"</formula>
    </cfRule>
  </conditionalFormatting>
  <conditionalFormatting sqref="P63">
    <cfRule type="cellIs" dxfId="103" priority="3" stopIfTrue="1" operator="equal">
      <formula>"NO"</formula>
    </cfRule>
    <cfRule type="cellIs" dxfId="102" priority="4" stopIfTrue="1" operator="equal">
      <formula>"YES"</formula>
    </cfRule>
  </conditionalFormatting>
  <conditionalFormatting sqref="P5">
    <cfRule type="cellIs" dxfId="101" priority="1" stopIfTrue="1" operator="equal">
      <formula>"NO"</formula>
    </cfRule>
    <cfRule type="cellIs" dxfId="100" priority="2" stopIfTrue="1" operator="equal">
      <formula>"YES"</formula>
    </cfRule>
  </conditionalFormatting>
  <hyperlinks>
    <hyperlink ref="G7" r:id="rId1"/>
    <hyperlink ref="H7" r:id="rId2"/>
    <hyperlink ref="I7" r:id="rId3"/>
    <hyperlink ref="J7" r:id="rId4"/>
    <hyperlink ref="K7" r:id="rId5"/>
    <hyperlink ref="L7" r:id="rId6"/>
    <hyperlink ref="O7" r:id="rId7"/>
    <hyperlink ref="M7" r:id="rId8"/>
    <hyperlink ref="N7" r:id="rId9"/>
    <hyperlink ref="Q7" r:id="rId10"/>
    <hyperlink ref="P7" r:id="rId11"/>
    <hyperlink ref="G9" r:id="rId12"/>
    <hyperlink ref="H9" r:id="rId13"/>
    <hyperlink ref="I9" r:id="rId14"/>
    <hyperlink ref="J9" r:id="rId15"/>
    <hyperlink ref="K9" r:id="rId16"/>
    <hyperlink ref="L9" r:id="rId17"/>
    <hyperlink ref="O9" r:id="rId18"/>
    <hyperlink ref="N9" r:id="rId19"/>
    <hyperlink ref="M9" r:id="rId20"/>
    <hyperlink ref="P9" r:id="rId21"/>
    <hyperlink ref="Q9" r:id="rId22"/>
    <hyperlink ref="G11" r:id="rId23"/>
    <hyperlink ref="H11" r:id="rId24"/>
    <hyperlink ref="I11" r:id="rId25"/>
    <hyperlink ref="J11" r:id="rId26"/>
    <hyperlink ref="K11" r:id="rId27"/>
    <hyperlink ref="M11" r:id="rId28"/>
    <hyperlink ref="N11" r:id="rId29"/>
    <hyperlink ref="L11" r:id="rId30"/>
    <hyperlink ref="O11" r:id="rId31"/>
    <hyperlink ref="P11" r:id="rId32"/>
    <hyperlink ref="Q11" r:id="rId33"/>
    <hyperlink ref="M13" r:id="rId34" display="09.02 health &amp; Safety Plan"/>
    <hyperlink ref="Q13" r:id="rId35"/>
    <hyperlink ref="N13" r:id="rId36" display="09.02 health &amp; Safety Plan"/>
    <hyperlink ref="G15" r:id="rId37"/>
    <hyperlink ref="H15" r:id="rId38"/>
    <hyperlink ref="I15:L15" r:id="rId39" display="09.01 CDM"/>
    <hyperlink ref="O15" r:id="rId40"/>
    <hyperlink ref="M15" r:id="rId41"/>
    <hyperlink ref="N15" r:id="rId42"/>
    <hyperlink ref="Q15" r:id="rId43"/>
    <hyperlink ref="G17" r:id="rId44"/>
    <hyperlink ref="H17" r:id="rId45"/>
    <hyperlink ref="I17:L17" r:id="rId46" display="09.01 CDM"/>
    <hyperlink ref="O17" r:id="rId47"/>
    <hyperlink ref="M17" r:id="rId48"/>
    <hyperlink ref="N17" r:id="rId49"/>
    <hyperlink ref="Q17" r:id="rId50"/>
    <hyperlink ref="G19" r:id="rId51"/>
    <hyperlink ref="H19" r:id="rId52"/>
    <hyperlink ref="I19" r:id="rId53"/>
    <hyperlink ref="J19" r:id="rId54"/>
    <hyperlink ref="K19" r:id="rId55"/>
    <hyperlink ref="L19" r:id="rId56"/>
    <hyperlink ref="O19" r:id="rId57"/>
    <hyperlink ref="M19" r:id="rId58"/>
    <hyperlink ref="N19" r:id="rId59"/>
    <hyperlink ref="Q19" r:id="rId60"/>
    <hyperlink ref="G21" r:id="rId61"/>
    <hyperlink ref="H21" r:id="rId62"/>
    <hyperlink ref="I21" r:id="rId63"/>
    <hyperlink ref="J21" r:id="rId64"/>
    <hyperlink ref="K21" r:id="rId65"/>
    <hyperlink ref="L21" r:id="rId66"/>
    <hyperlink ref="O21" r:id="rId67"/>
    <hyperlink ref="M21" r:id="rId68"/>
    <hyperlink ref="N21" r:id="rId69"/>
    <hyperlink ref="Q21" r:id="rId70"/>
    <hyperlink ref="G23" r:id="rId71"/>
    <hyperlink ref="H23" r:id="rId72"/>
    <hyperlink ref="I23" r:id="rId73"/>
    <hyperlink ref="J23" r:id="rId74"/>
    <hyperlink ref="K23" r:id="rId75"/>
    <hyperlink ref="L23" r:id="rId76"/>
    <hyperlink ref="O23" r:id="rId77"/>
    <hyperlink ref="M23" r:id="rId78"/>
    <hyperlink ref="N23" r:id="rId79"/>
    <hyperlink ref="Q23" r:id="rId80"/>
    <hyperlink ref="G25" r:id="rId81"/>
    <hyperlink ref="H25" r:id="rId82"/>
    <hyperlink ref="I25" r:id="rId83"/>
    <hyperlink ref="J25" r:id="rId84"/>
    <hyperlink ref="K25" r:id="rId85"/>
    <hyperlink ref="L25" r:id="rId86"/>
    <hyperlink ref="O25" r:id="rId87"/>
    <hyperlink ref="M25" r:id="rId88"/>
    <hyperlink ref="N25" r:id="rId89"/>
    <hyperlink ref="Q25" r:id="rId90"/>
    <hyperlink ref="G27" r:id="rId91"/>
    <hyperlink ref="H27" r:id="rId92"/>
    <hyperlink ref="I27" r:id="rId93"/>
    <hyperlink ref="J27" r:id="rId94"/>
    <hyperlink ref="K27" r:id="rId95"/>
    <hyperlink ref="L27" r:id="rId96"/>
    <hyperlink ref="O27" r:id="rId97"/>
    <hyperlink ref="M27" r:id="rId98"/>
    <hyperlink ref="N27" r:id="rId99"/>
    <hyperlink ref="Q27" r:id="rId100"/>
    <hyperlink ref="G29" r:id="rId101"/>
    <hyperlink ref="H29" r:id="rId102"/>
    <hyperlink ref="I29" r:id="rId103"/>
    <hyperlink ref="J29" r:id="rId104"/>
    <hyperlink ref="K29" r:id="rId105"/>
    <hyperlink ref="L29" r:id="rId106"/>
    <hyperlink ref="O29" r:id="rId107"/>
    <hyperlink ref="M29" r:id="rId108"/>
    <hyperlink ref="N29" r:id="rId109"/>
    <hyperlink ref="Q29" r:id="rId110"/>
    <hyperlink ref="G31" r:id="rId111"/>
    <hyperlink ref="H31" r:id="rId112"/>
    <hyperlink ref="I31" r:id="rId113"/>
    <hyperlink ref="J31" r:id="rId114"/>
    <hyperlink ref="K31" r:id="rId115"/>
    <hyperlink ref="L31" r:id="rId116"/>
    <hyperlink ref="O31" r:id="rId117"/>
    <hyperlink ref="M31" r:id="rId118"/>
    <hyperlink ref="N31" r:id="rId119"/>
    <hyperlink ref="Q31" r:id="rId120"/>
    <hyperlink ref="G33" r:id="rId121"/>
    <hyperlink ref="H33" r:id="rId122"/>
    <hyperlink ref="I33" r:id="rId123"/>
    <hyperlink ref="J33" r:id="rId124"/>
    <hyperlink ref="K33" r:id="rId125"/>
    <hyperlink ref="L33" r:id="rId126"/>
    <hyperlink ref="O33" r:id="rId127"/>
    <hyperlink ref="M33" r:id="rId128"/>
    <hyperlink ref="N33" r:id="rId129"/>
    <hyperlink ref="Q33" r:id="rId130"/>
    <hyperlink ref="G35" r:id="rId131"/>
    <hyperlink ref="H35" r:id="rId132"/>
    <hyperlink ref="I35" r:id="rId133"/>
    <hyperlink ref="J35" r:id="rId134"/>
    <hyperlink ref="K35" r:id="rId135"/>
    <hyperlink ref="L35" r:id="rId136"/>
    <hyperlink ref="O35" r:id="rId137"/>
    <hyperlink ref="M35" r:id="rId138"/>
    <hyperlink ref="N35" r:id="rId139"/>
    <hyperlink ref="Q35" r:id="rId140"/>
    <hyperlink ref="G37" r:id="rId141"/>
    <hyperlink ref="H37" r:id="rId142"/>
    <hyperlink ref="I37:L37" r:id="rId143" display="09.01 CDM"/>
    <hyperlink ref="O37" r:id="rId144"/>
    <hyperlink ref="M37" r:id="rId145"/>
    <hyperlink ref="N37" r:id="rId146"/>
    <hyperlink ref="Q37" r:id="rId147"/>
    <hyperlink ref="G41" r:id="rId148"/>
    <hyperlink ref="H41" r:id="rId149"/>
    <hyperlink ref="I41:L41" r:id="rId150" display="09.01 CDM"/>
    <hyperlink ref="O41" r:id="rId151"/>
    <hyperlink ref="M41" r:id="rId152"/>
    <hyperlink ref="N41" r:id="rId153"/>
    <hyperlink ref="Q41" r:id="rId154"/>
    <hyperlink ref="G43" r:id="rId155"/>
    <hyperlink ref="H43" r:id="rId156"/>
    <hyperlink ref="I43:L43" r:id="rId157" display="09.01 CDM"/>
    <hyperlink ref="O43" r:id="rId158"/>
    <hyperlink ref="M43" r:id="rId159"/>
    <hyperlink ref="N43" r:id="rId160"/>
    <hyperlink ref="Q43" r:id="rId161"/>
    <hyperlink ref="G45" r:id="rId162"/>
    <hyperlink ref="H45" r:id="rId163"/>
    <hyperlink ref="I45:L45" r:id="rId164" display="09.01 CDM"/>
    <hyperlink ref="O45" r:id="rId165"/>
    <hyperlink ref="M45" r:id="rId166"/>
    <hyperlink ref="N45" r:id="rId167"/>
    <hyperlink ref="Q45" r:id="rId168"/>
    <hyperlink ref="G47" r:id="rId169"/>
    <hyperlink ref="H47" r:id="rId170"/>
    <hyperlink ref="I47:L47" r:id="rId171" display="09.01 CDM"/>
    <hyperlink ref="O47" r:id="rId172"/>
    <hyperlink ref="M47" r:id="rId173"/>
    <hyperlink ref="N47" r:id="rId174"/>
    <hyperlink ref="Q47" r:id="rId175"/>
    <hyperlink ref="G49" r:id="rId176"/>
    <hyperlink ref="H49" r:id="rId177"/>
    <hyperlink ref="I49:L49" r:id="rId178" display="09.01 CDM"/>
    <hyperlink ref="O49" r:id="rId179"/>
    <hyperlink ref="M49" r:id="rId180"/>
    <hyperlink ref="N49" r:id="rId181"/>
    <hyperlink ref="Q49" r:id="rId182"/>
    <hyperlink ref="G51" r:id="rId183"/>
    <hyperlink ref="H51" r:id="rId184"/>
    <hyperlink ref="I51:L51" r:id="rId185" display="09.01 CDM"/>
    <hyperlink ref="O51" r:id="rId186"/>
    <hyperlink ref="M51" r:id="rId187"/>
    <hyperlink ref="N51" r:id="rId188"/>
    <hyperlink ref="Q51" r:id="rId189"/>
    <hyperlink ref="G53" r:id="rId190"/>
    <hyperlink ref="M53" r:id="rId191"/>
    <hyperlink ref="N53" r:id="rId192"/>
    <hyperlink ref="Q53" r:id="rId193"/>
    <hyperlink ref="G55" r:id="rId194"/>
    <hyperlink ref="H55" r:id="rId195"/>
    <hyperlink ref="I55:L55" r:id="rId196" display="09.01 CDM"/>
    <hyperlink ref="O55" r:id="rId197"/>
    <hyperlink ref="M55" r:id="rId198"/>
    <hyperlink ref="N55" r:id="rId199"/>
    <hyperlink ref="Q55" r:id="rId200"/>
    <hyperlink ref="G57" r:id="rId201"/>
    <hyperlink ref="M57" r:id="rId202"/>
    <hyperlink ref="N57" r:id="rId203"/>
    <hyperlink ref="Q57" r:id="rId204"/>
    <hyperlink ref="G59" r:id="rId205"/>
    <hyperlink ref="H59" r:id="rId206"/>
    <hyperlink ref="I59:L59" r:id="rId207" display="09.01 CDM"/>
    <hyperlink ref="O59" r:id="rId208"/>
    <hyperlink ref="M59" r:id="rId209"/>
    <hyperlink ref="N59" r:id="rId210"/>
    <hyperlink ref="Q59" r:id="rId211"/>
    <hyperlink ref="G5" r:id="rId212"/>
    <hyperlink ref="H5" r:id="rId213"/>
    <hyperlink ref="I5:L5" r:id="rId214" display="09.01 CDM"/>
    <hyperlink ref="O5" r:id="rId215"/>
    <hyperlink ref="M5" r:id="rId216"/>
    <hyperlink ref="N5" r:id="rId217"/>
    <hyperlink ref="Q5" r:id="rId218"/>
    <hyperlink ref="G39" r:id="rId219"/>
    <hyperlink ref="H39" r:id="rId220"/>
    <hyperlink ref="I39" r:id="rId221"/>
    <hyperlink ref="J39" r:id="rId222"/>
    <hyperlink ref="K39" r:id="rId223"/>
    <hyperlink ref="L39" r:id="rId224"/>
    <hyperlink ref="M39" r:id="rId225"/>
    <hyperlink ref="N39" r:id="rId226"/>
    <hyperlink ref="O39" r:id="rId227"/>
    <hyperlink ref="Q39" r:id="rId228"/>
    <hyperlink ref="G13:K13" r:id="rId229" display="09.01 CDM"/>
    <hyperlink ref="L13" r:id="rId230"/>
    <hyperlink ref="O13" r:id="rId231"/>
    <hyperlink ref="P13" r:id="rId232"/>
    <hyperlink ref="P15" r:id="rId233"/>
    <hyperlink ref="R13" r:id="rId234"/>
    <hyperlink ref="P17" r:id="rId235"/>
    <hyperlink ref="R17" r:id="rId236"/>
    <hyperlink ref="P19" r:id="rId237"/>
    <hyperlink ref="P21" r:id="rId238"/>
    <hyperlink ref="P23" r:id="rId239"/>
    <hyperlink ref="P25" r:id="rId240"/>
    <hyperlink ref="P27" r:id="rId241"/>
    <hyperlink ref="S61" r:id="rId242"/>
    <hyperlink ref="S15" r:id="rId243"/>
    <hyperlink ref="S23" r:id="rId244"/>
    <hyperlink ref="J15" r:id="rId245"/>
    <hyperlink ref="J61" r:id="rId246"/>
    <hyperlink ref="K61" r:id="rId247"/>
    <hyperlink ref="L61" r:id="rId248"/>
    <hyperlink ref="I61" r:id="rId249"/>
    <hyperlink ref="H61" r:id="rId250"/>
    <hyperlink ref="G61" r:id="rId251"/>
    <hyperlink ref="O61" r:id="rId252"/>
    <hyperlink ref="R21" r:id="rId253"/>
    <hyperlink ref="R23" r:id="rId254"/>
    <hyperlink ref="R15" r:id="rId255"/>
    <hyperlink ref="R19" r:id="rId256"/>
    <hyperlink ref="R27" r:id="rId257"/>
  </hyperlinks>
  <pageMargins left="0.7" right="0.7" top="0.75" bottom="0.75" header="0.3" footer="0.3"/>
  <pageSetup paperSize="9" scale="63" orientation="landscape" r:id="rId258"/>
  <extLst>
    <ext xmlns:x14="http://schemas.microsoft.com/office/spreadsheetml/2009/9/main" uri="{CCE6A557-97BC-4b89-ADB6-D9C93CAAB3DF}">
      <x14:dataValidations xmlns:xm="http://schemas.microsoft.com/office/excel/2006/main" count="1">
        <x14:dataValidation type="list" allowBlank="1" showInputMessage="1" showErrorMessage="1">
          <x14:formula1>
            <xm:f>'Rag Coding'!$E$1:$E$3</xm:f>
          </x14:formula1>
          <xm:sqref>G62:S62 G54:S54 G56:S56 G52:S52 G50:S50 G48:S48 G46:S46 G44:S44 G42:S42 G40:S40 G38:S38 G36:S36 G34:S34 G32:S32 G30:S30 G28:S28 G26:S26 G24:S24 G22:S22 G20:S20 G18:S18 G16:S16 G14:S14 G12:S12 G10:S10 G8:S8 G60:S60 G58:S58 G6:S6 G4:S4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filterMode="1">
    <tabColor rgb="FF0070C0"/>
  </sheetPr>
  <dimension ref="A1:I107"/>
  <sheetViews>
    <sheetView showGridLines="0" workbookViewId="0">
      <selection activeCell="F21" sqref="F21"/>
    </sheetView>
  </sheetViews>
  <sheetFormatPr defaultRowHeight="15" x14ac:dyDescent="0.2"/>
  <cols>
    <col min="1" max="1" width="18" bestFit="1" customWidth="1"/>
    <col min="2" max="2" width="43" style="26" customWidth="1"/>
    <col min="3" max="3" width="15.21875" style="144" customWidth="1"/>
    <col min="4" max="4" width="11.21875" style="144" customWidth="1"/>
    <col min="5" max="5" width="11" style="144" customWidth="1"/>
    <col min="6" max="6" width="27.33203125" style="203" customWidth="1"/>
    <col min="7" max="7" width="26.109375" style="144" customWidth="1"/>
    <col min="8" max="8" width="11.21875" style="204" customWidth="1"/>
    <col min="9" max="9" width="3.109375" hidden="1" customWidth="1"/>
  </cols>
  <sheetData>
    <row r="1" spans="1:9" ht="45" x14ac:dyDescent="0.2">
      <c r="A1" s="261" t="s">
        <v>8</v>
      </c>
      <c r="B1" s="253" t="s">
        <v>10</v>
      </c>
      <c r="C1" s="253" t="s">
        <v>20</v>
      </c>
      <c r="D1" s="253" t="s">
        <v>335</v>
      </c>
      <c r="E1" s="253" t="s">
        <v>2</v>
      </c>
      <c r="F1" s="253" t="s">
        <v>21</v>
      </c>
      <c r="G1" s="253" t="s">
        <v>248</v>
      </c>
      <c r="H1" s="255" t="s">
        <v>500</v>
      </c>
      <c r="I1" s="213"/>
    </row>
    <row r="2" spans="1:9" hidden="1" x14ac:dyDescent="0.2">
      <c r="A2" s="265">
        <f>INDEX('Tracker Sheet'!$A:$A,41)</f>
        <v>0</v>
      </c>
      <c r="B2" s="265">
        <f>INDEX('Tracker Sheet'!$C:$C,41)</f>
        <v>0</v>
      </c>
      <c r="C2" s="265">
        <f>INDEX('Tracker Sheet'!$E:$E,41)</f>
        <v>0</v>
      </c>
      <c r="D2" s="259">
        <f>INDEX('Tracker Sheet'!$AX:$AX,41)</f>
        <v>0</v>
      </c>
      <c r="E2" s="259">
        <f>INDEX('Tracker Sheet'!$AY:$AY,41)</f>
        <v>0</v>
      </c>
      <c r="F2" s="259">
        <f>INDEX('Tracker Sheet'!BP:BP,41)</f>
        <v>0</v>
      </c>
      <c r="G2" s="252" t="str">
        <f ca="1">IF(E2=0,"",E2-TODAY())</f>
        <v/>
      </c>
      <c r="H2" s="250"/>
    </row>
    <row r="3" spans="1:9" hidden="1" x14ac:dyDescent="0.2">
      <c r="A3" s="265">
        <f>INDEX('Tracker Sheet'!$A:$A,41)</f>
        <v>0</v>
      </c>
      <c r="B3" s="265">
        <f>INDEX('Tracker Sheet'!$C:$C,41)</f>
        <v>0</v>
      </c>
      <c r="C3" s="265">
        <f>INDEX('Tracker Sheet'!$E:$E,41)</f>
        <v>0</v>
      </c>
      <c r="D3" s="259">
        <f>INDEX('Tracker Sheet'!$AX:$AX,41)</f>
        <v>0</v>
      </c>
      <c r="E3" s="259">
        <f>INDEX('Tracker Sheet'!$AY:$AY,41)</f>
        <v>0</v>
      </c>
      <c r="F3" s="259">
        <f>INDEX('Tracker Sheet'!BP:BP,41)</f>
        <v>0</v>
      </c>
      <c r="G3" s="274" t="str">
        <f ca="1">IF(E3=0,"",E3-TODAY())</f>
        <v/>
      </c>
      <c r="H3" s="284"/>
    </row>
    <row r="4" spans="1:9" hidden="1" x14ac:dyDescent="0.2">
      <c r="A4" s="265">
        <f>INDEX('Tracker Sheet'!$A:$A,42)</f>
        <v>0</v>
      </c>
      <c r="B4" s="265">
        <f>INDEX('Tracker Sheet'!$C:$C,42)</f>
        <v>0</v>
      </c>
      <c r="C4" s="265">
        <f>INDEX('Tracker Sheet'!$E:$E,42)</f>
        <v>0</v>
      </c>
      <c r="D4" s="259">
        <f>INDEX('Tracker Sheet'!$AX:$AX,42)</f>
        <v>0</v>
      </c>
      <c r="E4" s="259">
        <f>INDEX('Tracker Sheet'!$AY:$AY,42)</f>
        <v>0</v>
      </c>
      <c r="F4" s="259">
        <f>INDEX('Tracker Sheet'!BP:BP,41)</f>
        <v>0</v>
      </c>
      <c r="G4" s="303"/>
      <c r="H4" s="284"/>
      <c r="I4" s="329" t="str">
        <f ca="1">IF(D4=0,"",D4-TODAY()+356)</f>
        <v/>
      </c>
    </row>
    <row r="5" spans="1:9" ht="63.75" hidden="1" x14ac:dyDescent="0.2">
      <c r="A5" s="388" t="str">
        <f>INDEX('Tracker Sheet'!$A:$A,12)</f>
        <v>RECH/16/ACR16145</v>
      </c>
      <c r="B5" s="388" t="str">
        <f>INDEX('Tracker Sheet'!$C:$C,12)</f>
        <v>Bringing Back to use Staircase/chained door leading to the track</v>
      </c>
      <c r="C5" s="388" t="str">
        <f>INDEX('Tracker Sheet'!$E:$E,12)</f>
        <v>Martina Perkins</v>
      </c>
      <c r="D5" s="389">
        <f>INDEX('Tracker Sheet'!$AX:$AX,12)</f>
        <v>42937</v>
      </c>
      <c r="E5" s="389">
        <f>INDEX('Tracker Sheet'!$AY:$AY,12)</f>
        <v>43029</v>
      </c>
      <c r="F5" s="389">
        <f>INDEX('Tracker Sheet'!BP:BP,12)</f>
        <v>0</v>
      </c>
      <c r="G5" s="390">
        <f t="shared" ref="G5:G23" ca="1" si="0">IF(E5=0,"",E5-TODAY())</f>
        <v>86</v>
      </c>
      <c r="H5" s="391" t="s">
        <v>318</v>
      </c>
    </row>
    <row r="6" spans="1:9" ht="24" hidden="1" customHeight="1" x14ac:dyDescent="0.2">
      <c r="A6" s="388" t="str">
        <f>INDEX('Tracker Sheet'!$A:$A,9)</f>
        <v>PCP/16/019</v>
      </c>
      <c r="B6" s="388" t="str">
        <f>INDEX('Tracker Sheet'!$C:$C,9)</f>
        <v>172 BPR LV Infrastructure Upgrade</v>
      </c>
      <c r="C6" s="388" t="str">
        <f>INDEX('Tracker Sheet'!$E:$E,9)</f>
        <v>John Murphy</v>
      </c>
      <c r="D6" s="389">
        <f>INDEX('Tracker Sheet'!$AX:$AX,9)</f>
        <v>0</v>
      </c>
      <c r="E6" s="389" t="str">
        <f>INDEX('Tracker Sheet'!$AY:$AY,9)</f>
        <v/>
      </c>
      <c r="F6" s="389" t="str">
        <f>INDEX('Tracker Sheet'!BP:BP,9)</f>
        <v>John to progress getting final approval for the CDS from Paul Grant by 31st July to enable the scaffolding to be erected in mid August.</v>
      </c>
      <c r="G6" s="390" t="e">
        <f t="shared" ref="G6:G14" ca="1" si="1">IF(E6=0,"",E6-TODAY())</f>
        <v>#VALUE!</v>
      </c>
      <c r="H6" s="391" t="s">
        <v>318</v>
      </c>
    </row>
    <row r="7" spans="1:9" ht="25.5" hidden="1" x14ac:dyDescent="0.2">
      <c r="A7" s="388" t="str">
        <f>INDEX('Tracker Sheet'!$A:$A,7)</f>
        <v>PCP/16/006</v>
      </c>
      <c r="B7" s="388" t="str">
        <f>INDEX('Tracker Sheet'!$C:$C,7)</f>
        <v>Toilet Flushing Upgrade</v>
      </c>
      <c r="C7" s="388" t="str">
        <f>INDEX('Tracker Sheet'!$E:$E,7)</f>
        <v>John Cousins</v>
      </c>
      <c r="D7" s="389">
        <f>INDEX('Tracker Sheet'!$AX:$AX,7)</f>
        <v>0</v>
      </c>
      <c r="E7" s="389" t="str">
        <f>INDEX('Tracker Sheet'!$AY:$AY,7)</f>
        <v/>
      </c>
      <c r="F7" s="389" t="str">
        <f>INDEX('Tracker Sheet'!BP:BP,7)</f>
        <v xml:space="preserve">PM to finalise costs, and prepare SG5 by 24th July 2017.  </v>
      </c>
      <c r="G7" s="390" t="e">
        <f t="shared" ca="1" si="1"/>
        <v>#VALUE!</v>
      </c>
      <c r="H7" s="391" t="s">
        <v>320</v>
      </c>
      <c r="I7" s="329" t="str">
        <f ca="1">IF(D7=0,"",D7-TODAY()+356)</f>
        <v/>
      </c>
    </row>
    <row r="8" spans="1:9" ht="27.75" hidden="1" customHeight="1" x14ac:dyDescent="0.2">
      <c r="A8" s="388">
        <f>INDEX('Tracker Sheet'!$A:$A,13)</f>
        <v>0</v>
      </c>
      <c r="B8" s="388">
        <f>INDEX('Tracker Sheet'!$C:$C,13)</f>
        <v>0</v>
      </c>
      <c r="C8" s="388">
        <f>INDEX('Tracker Sheet'!$E:$E,13)</f>
        <v>0</v>
      </c>
      <c r="D8" s="389">
        <f>INDEX('Tracker Sheet'!$AX:$AX,13)</f>
        <v>0</v>
      </c>
      <c r="E8" s="389" t="str">
        <f>INDEX('Tracker Sheet'!$AY:$AY,13)</f>
        <v/>
      </c>
      <c r="F8" s="389">
        <f>INDEX('Tracker Sheet'!BP:BP,13)</f>
        <v>0</v>
      </c>
      <c r="G8" s="390" t="e">
        <f t="shared" ca="1" si="1"/>
        <v>#VALUE!</v>
      </c>
      <c r="H8" s="391" t="s">
        <v>320</v>
      </c>
      <c r="I8" s="329" t="str">
        <f ca="1">IF(D8=0,"",D8-TODAY()+356)</f>
        <v/>
      </c>
    </row>
    <row r="9" spans="1:9" ht="28.5" hidden="1" customHeight="1" x14ac:dyDescent="0.2">
      <c r="A9" s="388">
        <f>INDEX('Tracker Sheet'!$A:$A,14)</f>
        <v>0</v>
      </c>
      <c r="B9" s="388">
        <f>INDEX('Tracker Sheet'!$C:$C,14)</f>
        <v>0</v>
      </c>
      <c r="C9" s="388">
        <f>INDEX('Tracker Sheet'!$E:$E,14)</f>
        <v>0</v>
      </c>
      <c r="D9" s="389">
        <f>INDEX('Tracker Sheet'!$AX:$AX,14)</f>
        <v>0</v>
      </c>
      <c r="E9" s="389" t="str">
        <f>INDEX('Tracker Sheet'!$AY:$AY,14)</f>
        <v/>
      </c>
      <c r="F9" s="389">
        <f>INDEX('Tracker Sheet'!BP:BP,14)</f>
        <v>0</v>
      </c>
      <c r="G9" s="390" t="e">
        <f t="shared" ca="1" si="1"/>
        <v>#VALUE!</v>
      </c>
      <c r="H9" s="391" t="s">
        <v>320</v>
      </c>
    </row>
    <row r="10" spans="1:9" ht="23.25" hidden="1" customHeight="1" x14ac:dyDescent="0.2">
      <c r="A10" s="388" t="str">
        <f>INDEX('Tracker Sheet'!$A:$A,10)</f>
        <v>PCP/16/024</v>
      </c>
      <c r="B10" s="388" t="str">
        <f>INDEX('Tracker Sheet'!$C:$C,10)</f>
        <v>Griffith House Facade Repairs</v>
      </c>
      <c r="C10" s="388" t="str">
        <f>INDEX('Tracker Sheet'!$E:$E,10)</f>
        <v>John Cousins</v>
      </c>
      <c r="D10" s="389">
        <f>INDEX('Tracker Sheet'!$AX:$AX,10)</f>
        <v>0</v>
      </c>
      <c r="E10" s="389" t="str">
        <f>INDEX('Tracker Sheet'!$AY:$AY,10)</f>
        <v/>
      </c>
      <c r="F10" s="389">
        <f>INDEX('Tracker Sheet'!BP:BP,10)</f>
        <v>0</v>
      </c>
      <c r="G10" s="390" t="e">
        <f t="shared" ca="1" si="1"/>
        <v>#VALUE!</v>
      </c>
      <c r="H10" s="391" t="s">
        <v>320</v>
      </c>
      <c r="I10" s="304"/>
    </row>
    <row r="11" spans="1:9" hidden="1" x14ac:dyDescent="0.2">
      <c r="A11" s="388" t="str">
        <f>INDEX('Tracker Sheet'!$A:$A,8)</f>
        <v>PCP/16/018</v>
      </c>
      <c r="B11" s="388" t="str">
        <f>INDEX('Tracker Sheet'!$C:$C,8)</f>
        <v>VSH Roof and Facades Repairs</v>
      </c>
      <c r="C11" s="388" t="str">
        <f>INDEX('Tracker Sheet'!$E:$E,8)</f>
        <v>John Cousins</v>
      </c>
      <c r="D11" s="389">
        <f>INDEX('Tracker Sheet'!$AX:$AX,8)</f>
        <v>0</v>
      </c>
      <c r="E11" s="389" t="str">
        <f>INDEX('Tracker Sheet'!$AY:$AY,8)</f>
        <v/>
      </c>
      <c r="F11" s="389" t="str">
        <f>INDEX('Tracker Sheet'!BP:BP,8)</f>
        <v>Stage Gate 4 has been declined and pushed back to  SG3, please can you liaise with Philip around how SG3 dates on the tracker should populated?   Bearing in mind we have a fully developed design, which is SG4 as defined by Pathway, and has been costed.</v>
      </c>
      <c r="G11" s="390" t="e">
        <f t="shared" ca="1" si="1"/>
        <v>#VALUE!</v>
      </c>
      <c r="H11" s="391" t="s">
        <v>320</v>
      </c>
    </row>
    <row r="12" spans="1:9" ht="27.75" hidden="1" customHeight="1" x14ac:dyDescent="0.2">
      <c r="A12" s="388">
        <f>INDEX('Tracker Sheet'!$A:$A,19)</f>
        <v>0</v>
      </c>
      <c r="B12" s="388">
        <f>INDEX('Tracker Sheet'!$C:$C,19)</f>
        <v>0</v>
      </c>
      <c r="C12" s="388">
        <f>INDEX('Tracker Sheet'!$E:$E,19)</f>
        <v>0</v>
      </c>
      <c r="D12" s="389">
        <f>INDEX('Tracker Sheet'!$AX:$AX,19)</f>
        <v>0</v>
      </c>
      <c r="E12" s="389" t="str">
        <f>INDEX('Tracker Sheet'!$AY:$AY,19)</f>
        <v/>
      </c>
      <c r="F12" s="389">
        <f>INDEX('Tracker Sheet'!BP:BP,19)</f>
        <v>0</v>
      </c>
      <c r="G12" s="390" t="e">
        <f t="shared" ca="1" si="1"/>
        <v>#VALUE!</v>
      </c>
      <c r="H12" s="391" t="s">
        <v>320</v>
      </c>
    </row>
    <row r="13" spans="1:9" ht="63.75" hidden="1" x14ac:dyDescent="0.2">
      <c r="A13" s="388">
        <f>INDEX('Tracker Sheet'!$A:$A,15)</f>
        <v>0</v>
      </c>
      <c r="B13" s="388">
        <f>INDEX('Tracker Sheet'!$C:$C,15)</f>
        <v>0</v>
      </c>
      <c r="C13" s="388">
        <f>INDEX('Tracker Sheet'!$E:$E,15)</f>
        <v>0</v>
      </c>
      <c r="D13" s="389">
        <f>INDEX('Tracker Sheet'!$AX:$AX,15)</f>
        <v>0</v>
      </c>
      <c r="E13" s="389" t="str">
        <f>INDEX('Tracker Sheet'!$AY:$AY,15)</f>
        <v/>
      </c>
      <c r="F13" s="389">
        <f>INDEX('Tracker Sheet'!BP:BP,15)</f>
        <v>0</v>
      </c>
      <c r="G13" s="390" t="e">
        <f t="shared" ca="1" si="1"/>
        <v>#VALUE!</v>
      </c>
      <c r="H13" s="391" t="s">
        <v>318</v>
      </c>
    </row>
    <row r="14" spans="1:9" hidden="1" x14ac:dyDescent="0.2">
      <c r="A14" s="388">
        <f>INDEX('Tracker Sheet'!$A:$A,16)</f>
        <v>0</v>
      </c>
      <c r="B14" s="388">
        <f>INDEX('Tracker Sheet'!$C:$C,16)</f>
        <v>0</v>
      </c>
      <c r="C14" s="388">
        <f>INDEX('Tracker Sheet'!$E:$E,16)</f>
        <v>0</v>
      </c>
      <c r="D14" s="389">
        <f>INDEX('Tracker Sheet'!$AX:$AX,16)</f>
        <v>0</v>
      </c>
      <c r="E14" s="389" t="str">
        <f>INDEX('Tracker Sheet'!$AY:$AY,16)</f>
        <v/>
      </c>
      <c r="F14" s="389">
        <f>INDEX('Tracker Sheet'!BP:BP,16)</f>
        <v>0</v>
      </c>
      <c r="G14" s="390" t="e">
        <f t="shared" ca="1" si="1"/>
        <v>#VALUE!</v>
      </c>
      <c r="H14" s="391" t="s">
        <v>320</v>
      </c>
    </row>
    <row r="15" spans="1:9" ht="63.75" hidden="1" x14ac:dyDescent="0.2">
      <c r="A15" s="384">
        <f>INDEX('Tracker Sheet'!$A:$A,20)</f>
        <v>0</v>
      </c>
      <c r="B15" s="384">
        <f>INDEX('Tracker Sheet'!$C:$C,20)</f>
        <v>0</v>
      </c>
      <c r="C15" s="384">
        <f>INDEX('Tracker Sheet'!$E:$E,20)</f>
        <v>0</v>
      </c>
      <c r="D15" s="385">
        <f>INDEX('Tracker Sheet'!$AX:$AX,20)</f>
        <v>0</v>
      </c>
      <c r="E15" s="385" t="str">
        <f>INDEX('Tracker Sheet'!$AY:$AY,20)</f>
        <v/>
      </c>
      <c r="F15" s="385">
        <f>INDEX('Tracker Sheet'!BP:BP,20)</f>
        <v>0</v>
      </c>
      <c r="G15" s="386" t="e">
        <f t="shared" ca="1" si="0"/>
        <v>#VALUE!</v>
      </c>
      <c r="H15" s="387" t="s">
        <v>320</v>
      </c>
    </row>
    <row r="16" spans="1:9" hidden="1" x14ac:dyDescent="0.2">
      <c r="A16" s="265">
        <f>INDEX('Tracker Sheet'!$A:$A,23)</f>
        <v>0</v>
      </c>
      <c r="B16" s="265">
        <f>INDEX('Tracker Sheet'!$C:$C,23)</f>
        <v>0</v>
      </c>
      <c r="C16" s="265">
        <f>INDEX('Tracker Sheet'!$E:$E,23)</f>
        <v>0</v>
      </c>
      <c r="D16" s="259">
        <f>INDEX('Tracker Sheet'!$AX:$AX,23)</f>
        <v>0</v>
      </c>
      <c r="E16" s="259" t="str">
        <f>INDEX('Tracker Sheet'!$AY:$AY,23)</f>
        <v/>
      </c>
      <c r="F16" s="259">
        <f>INDEX('Tracker Sheet'!BP:BP,23)</f>
        <v>0</v>
      </c>
      <c r="G16" s="274" t="e">
        <f t="shared" ca="1" si="0"/>
        <v>#VALUE!</v>
      </c>
      <c r="H16" s="284" t="s">
        <v>320</v>
      </c>
    </row>
    <row r="17" spans="1:9" ht="25.5" hidden="1" x14ac:dyDescent="0.2">
      <c r="A17" s="265">
        <f>INDEX('Tracker Sheet'!$A:$A,24)</f>
        <v>0</v>
      </c>
      <c r="B17" s="265">
        <f>INDEX('Tracker Sheet'!$C:$C,24)</f>
        <v>0</v>
      </c>
      <c r="C17" s="265">
        <f>INDEX('Tracker Sheet'!$E:$E,24)</f>
        <v>0</v>
      </c>
      <c r="D17" s="259">
        <f>INDEX('Tracker Sheet'!$AX:$AX,24)</f>
        <v>0</v>
      </c>
      <c r="E17" s="259" t="str">
        <f>INDEX('Tracker Sheet'!$AY:$AY,24)</f>
        <v/>
      </c>
      <c r="F17" s="259">
        <f>INDEX('Tracker Sheet'!BP:BP,24)</f>
        <v>0</v>
      </c>
      <c r="G17" s="274" t="e">
        <f t="shared" ca="1" si="0"/>
        <v>#VALUE!</v>
      </c>
      <c r="H17" s="284" t="s">
        <v>320</v>
      </c>
    </row>
    <row r="18" spans="1:9" hidden="1" x14ac:dyDescent="0.2">
      <c r="A18" s="265" t="str">
        <f>INDEX('Tracker Sheet'!$A:$A,3)</f>
        <v>PCP/12/033</v>
      </c>
      <c r="B18" s="265" t="str">
        <f>INDEX('Tracker Sheet'!$C:$C,3)</f>
        <v>Albany House - Plant Optimisation</v>
      </c>
      <c r="C18" s="265" t="str">
        <f>INDEX('Tracker Sheet'!$E:$E,3)</f>
        <v>Jerry Young</v>
      </c>
      <c r="D18" s="259">
        <f>INDEX('Tracker Sheet'!$AX:$AX,3)</f>
        <v>42882</v>
      </c>
      <c r="E18" s="259">
        <f>INDEX('Tracker Sheet'!$AY:$AY,3)</f>
        <v>42974</v>
      </c>
      <c r="F18" s="259" t="str">
        <f>INDEX('Tracker Sheet'!BP:BP,3)</f>
        <v>Jerry to prepare SG5 and 6 documents, before end of August 2017.</v>
      </c>
      <c r="G18" s="274">
        <f t="shared" ca="1" si="0"/>
        <v>31</v>
      </c>
      <c r="H18" s="284"/>
    </row>
    <row r="19" spans="1:9" ht="25.5" hidden="1" x14ac:dyDescent="0.2">
      <c r="A19" s="265" t="str">
        <f>INDEX('Tracker Sheet'!$A:$A,4)</f>
        <v>PCP/15/006</v>
      </c>
      <c r="B19" s="265" t="str">
        <f>INDEX('Tracker Sheet'!$C:$C,4)</f>
        <v>Baker Street Complex - Fire Compliance - Fire Alarms no MICC</v>
      </c>
      <c r="C19" s="265" t="str">
        <f>INDEX('Tracker Sheet'!$E:$E,4)</f>
        <v>Jerry Young</v>
      </c>
      <c r="D19" s="259">
        <f>INDEX('Tracker Sheet'!$AX:$AX,4)</f>
        <v>0</v>
      </c>
      <c r="E19" s="259" t="str">
        <f>INDEX('Tracker Sheet'!$AY:$AY,4)</f>
        <v/>
      </c>
      <c r="F19" s="259">
        <f>INDEX('Tracker Sheet'!BP:BP,4)</f>
        <v>0</v>
      </c>
      <c r="G19" s="274" t="e">
        <f t="shared" ca="1" si="0"/>
        <v>#VALUE!</v>
      </c>
      <c r="H19" s="284" t="s">
        <v>320</v>
      </c>
    </row>
    <row r="20" spans="1:9" hidden="1" x14ac:dyDescent="0.2">
      <c r="A20" s="265" t="str">
        <f>INDEX('Tracker Sheet'!$A:$A,5)</f>
        <v>PCP/16/020</v>
      </c>
      <c r="B20" s="265" t="str">
        <f>INDEX('Tracker Sheet'!$C:$C,5)</f>
        <v>Building Facades Risk Assessments (7 Building)</v>
      </c>
      <c r="C20" s="265" t="str">
        <f>INDEX('Tracker Sheet'!$E:$E,5)</f>
        <v>John Murphy</v>
      </c>
      <c r="D20" s="259">
        <f>INDEX('Tracker Sheet'!$AX:$AX,5)</f>
        <v>0</v>
      </c>
      <c r="E20" s="259" t="str">
        <f>INDEX('Tracker Sheet'!$AY:$AY,5)</f>
        <v/>
      </c>
      <c r="F20" s="259" t="str">
        <f>INDEX('Tracker Sheet'!BP:BP,5)</f>
        <v>SMT approved on 27th July 2017, to continue through to Stage 5 and 6</v>
      </c>
      <c r="G20" s="274" t="e">
        <f t="shared" ca="1" si="0"/>
        <v>#VALUE!</v>
      </c>
      <c r="H20" s="284" t="s">
        <v>320</v>
      </c>
      <c r="I20" s="304"/>
    </row>
    <row r="21" spans="1:9" x14ac:dyDescent="0.2">
      <c r="A21" s="265" t="str">
        <f>INDEX('Tracker Sheet'!$A:$A,6)</f>
        <v>PCP/15/007</v>
      </c>
      <c r="B21" s="265" t="str">
        <f>INDEX('Tracker Sheet'!$C:$C,6)</f>
        <v>172 BPR &amp; Windsor House Chiller Remedial</v>
      </c>
      <c r="C21" s="265" t="str">
        <f>INDEX('Tracker Sheet'!$E:$E,6)</f>
        <v>John Cousins</v>
      </c>
      <c r="D21" s="259">
        <f>INDEX('Tracker Sheet'!$AX:$AX,6)</f>
        <v>42824</v>
      </c>
      <c r="E21" s="259">
        <f>INDEX('Tracker Sheet'!$AY:$AY,6)</f>
        <v>42916</v>
      </c>
      <c r="F21" s="259" t="str">
        <f>INDEX('Tracker Sheet'!BP:BP,6)</f>
        <v>John to issue Stage Gate 5 and 6 documents.</v>
      </c>
      <c r="G21" s="274">
        <f t="shared" ca="1" si="0"/>
        <v>-27</v>
      </c>
      <c r="H21" s="284" t="s">
        <v>320</v>
      </c>
      <c r="I21" s="304"/>
    </row>
    <row r="22" spans="1:9" ht="63.75" hidden="1" x14ac:dyDescent="0.2">
      <c r="A22" s="265">
        <f>INDEX('Tracker Sheet'!$A:$A,18)</f>
        <v>0</v>
      </c>
      <c r="B22" s="265">
        <f>INDEX('Tracker Sheet'!$C:$C,18)</f>
        <v>0</v>
      </c>
      <c r="C22" s="265">
        <f>INDEX('Tracker Sheet'!$E:$E,18)</f>
        <v>0</v>
      </c>
      <c r="D22" s="259">
        <f>INDEX('Tracker Sheet'!$AX:$AX,18)</f>
        <v>0</v>
      </c>
      <c r="E22" s="259" t="str">
        <f>INDEX('Tracker Sheet'!$AY:$AY,18)</f>
        <v/>
      </c>
      <c r="F22" s="259">
        <f>INDEX('Tracker Sheet'!BP:BP,18)</f>
        <v>0</v>
      </c>
      <c r="G22" s="274" t="e">
        <f t="shared" ca="1" si="0"/>
        <v>#VALUE!</v>
      </c>
      <c r="H22" s="284" t="s">
        <v>320</v>
      </c>
      <c r="I22" s="102" t="str">
        <f ca="1">IF(D22=0,"",D22-TODAY()+356)</f>
        <v/>
      </c>
    </row>
    <row r="23" spans="1:9" ht="25.5" hidden="1" x14ac:dyDescent="0.2">
      <c r="A23" s="265">
        <f>INDEX('Tracker Sheet'!$A:$A,17)</f>
        <v>0</v>
      </c>
      <c r="B23" s="265">
        <f>INDEX('Tracker Sheet'!$C:$C,17)</f>
        <v>0</v>
      </c>
      <c r="C23" s="265">
        <f>INDEX('Tracker Sheet'!$E:$E,17)</f>
        <v>0</v>
      </c>
      <c r="D23" s="259">
        <f>INDEX('Tracker Sheet'!$AX:$AX,17)</f>
        <v>0</v>
      </c>
      <c r="E23" s="259" t="str">
        <f>INDEX('Tracker Sheet'!$AY:$AY,17)</f>
        <v/>
      </c>
      <c r="F23" s="259">
        <f>INDEX('Tracker Sheet'!BP:BP,17)</f>
        <v>0</v>
      </c>
      <c r="G23" s="274" t="e">
        <f t="shared" ca="1" si="0"/>
        <v>#VALUE!</v>
      </c>
      <c r="H23" s="284" t="s">
        <v>320</v>
      </c>
      <c r="I23" s="304"/>
    </row>
    <row r="24" spans="1:9" ht="38.25" hidden="1" x14ac:dyDescent="0.2">
      <c r="A24" s="265" t="str">
        <f>INDEX('Tracker Sheet'!$A:$A,11)</f>
        <v>RECH/16/ACR8658</v>
      </c>
      <c r="B24" s="265" t="str">
        <f>INDEX('Tracker Sheet'!$C:$C,11)</f>
        <v>4L Emergancy Service Control Centre</v>
      </c>
      <c r="C24" s="265" t="str">
        <f>INDEX('Tracker Sheet'!$E:$E,11)</f>
        <v>Tony Hunter</v>
      </c>
      <c r="D24" s="259">
        <f>INDEX('Tracker Sheet'!$AX:$AX,11)</f>
        <v>0</v>
      </c>
      <c r="E24" s="259" t="str">
        <f>INDEX('Tracker Sheet'!$AY:$AY,11)</f>
        <v/>
      </c>
      <c r="F24" s="259">
        <f>INDEX('Tracker Sheet'!BP:BP,11)</f>
        <v>0</v>
      </c>
      <c r="G24" s="274" t="e">
        <f t="shared" ref="G24:G25" ca="1" si="2">IF(E24=0,"",E24-TODAY())</f>
        <v>#VALUE!</v>
      </c>
      <c r="H24" s="284" t="s">
        <v>320</v>
      </c>
      <c r="I24" s="102" t="str">
        <f ca="1">IF(D24=0,"",D24-TODAY()+356)</f>
        <v/>
      </c>
    </row>
    <row r="25" spans="1:9" ht="25.5" hidden="1" x14ac:dyDescent="0.2">
      <c r="A25" s="265">
        <f>INDEX('Tracker Sheet'!$A:$A,22)</f>
        <v>0</v>
      </c>
      <c r="B25" s="265">
        <f>INDEX('Tracker Sheet'!$C:$C,22)</f>
        <v>0</v>
      </c>
      <c r="C25" s="265">
        <f>INDEX('Tracker Sheet'!$E:$E,22)</f>
        <v>0</v>
      </c>
      <c r="D25" s="259">
        <f>INDEX('Tracker Sheet'!$AX:$AX,22)</f>
        <v>0</v>
      </c>
      <c r="E25" s="259" t="str">
        <f>INDEX('Tracker Sheet'!$AY:$AY,22)</f>
        <v/>
      </c>
      <c r="F25" s="259">
        <f>INDEX('Tracker Sheet'!BP:BP,22)</f>
        <v>0</v>
      </c>
      <c r="G25" s="274" t="e">
        <f t="shared" ca="1" si="2"/>
        <v>#VALUE!</v>
      </c>
      <c r="H25" s="284" t="s">
        <v>320</v>
      </c>
      <c r="I25" s="102" t="str">
        <f ca="1">IF(D25=0,"",D25-TODAY()+356)</f>
        <v/>
      </c>
    </row>
    <row r="26" spans="1:9" ht="51" hidden="1" x14ac:dyDescent="0.2">
      <c r="A26" s="265">
        <f>INDEX('Tracker Sheet'!$A:$A,21)</f>
        <v>0</v>
      </c>
      <c r="B26" s="265">
        <f>INDEX('Tracker Sheet'!$C:$C,21)</f>
        <v>0</v>
      </c>
      <c r="C26" s="265">
        <f>INDEX('Tracker Sheet'!$E:$E,21)</f>
        <v>0</v>
      </c>
      <c r="D26" s="259">
        <f>INDEX('Tracker Sheet'!$AX:$AX,21)</f>
        <v>0</v>
      </c>
      <c r="E26" s="259" t="str">
        <f>INDEX('Tracker Sheet'!$AY:$AY,21)</f>
        <v/>
      </c>
      <c r="F26" s="259">
        <f>INDEX('Tracker Sheet'!BP:BP,21)</f>
        <v>0</v>
      </c>
      <c r="G26" s="274" t="e">
        <f t="shared" ref="G26:G41" ca="1" si="3">IF(E26=0,"",E26-TODAY())</f>
        <v>#VALUE!</v>
      </c>
      <c r="H26" s="284"/>
      <c r="I26" s="102" t="str">
        <f ca="1">IF(D26=0,"",D26-TODAY()+356)</f>
        <v/>
      </c>
    </row>
    <row r="27" spans="1:9" hidden="1" x14ac:dyDescent="0.2">
      <c r="A27" s="265">
        <f>INDEX('Tracker Sheet'!$A:$A,25)</f>
        <v>0</v>
      </c>
      <c r="B27" s="265">
        <f>INDEX('Tracker Sheet'!$C:$C,25)</f>
        <v>0</v>
      </c>
      <c r="C27" s="265">
        <f>INDEX('Tracker Sheet'!$E:$E,25)</f>
        <v>0</v>
      </c>
      <c r="D27" s="259">
        <f>INDEX('Tracker Sheet'!$AX:$AX,25)</f>
        <v>0</v>
      </c>
      <c r="E27" s="259" t="str">
        <f>INDEX('Tracker Sheet'!$AY:$AY,25)</f>
        <v/>
      </c>
      <c r="F27" s="259">
        <f>INDEX('Tracker Sheet'!BP:BP,25)</f>
        <v>0</v>
      </c>
      <c r="G27" s="274" t="e">
        <f t="shared" ca="1" si="3"/>
        <v>#VALUE!</v>
      </c>
      <c r="H27" s="284"/>
      <c r="I27" s="329" t="str">
        <f ca="1">IF(D27=0,"",D27-TODAY()+356)</f>
        <v/>
      </c>
    </row>
    <row r="28" spans="1:9" hidden="1" x14ac:dyDescent="0.2">
      <c r="A28" s="265">
        <f>INDEX('Tracker Sheet'!$A:$A,26)</f>
        <v>0</v>
      </c>
      <c r="B28" s="265">
        <f>INDEX('Tracker Sheet'!$C:$C,26)</f>
        <v>0</v>
      </c>
      <c r="C28" s="265">
        <f>INDEX('Tracker Sheet'!$E:$E,26)</f>
        <v>0</v>
      </c>
      <c r="D28" s="259">
        <f>INDEX('Tracker Sheet'!$AX:$AX,26)</f>
        <v>0</v>
      </c>
      <c r="E28" s="259" t="str">
        <f>INDEX('Tracker Sheet'!$AY:$AY,26)</f>
        <v/>
      </c>
      <c r="F28" s="259">
        <f>INDEX('Tracker Sheet'!BP:BP,26)</f>
        <v>0</v>
      </c>
      <c r="G28" s="274" t="e">
        <f t="shared" ca="1" si="3"/>
        <v>#VALUE!</v>
      </c>
      <c r="H28" s="284"/>
    </row>
    <row r="29" spans="1:9" hidden="1" x14ac:dyDescent="0.2">
      <c r="A29" s="265">
        <f>INDEX('Tracker Sheet'!$A:$A,27)</f>
        <v>0</v>
      </c>
      <c r="B29" s="265">
        <f>INDEX('Tracker Sheet'!$C:$C,27)</f>
        <v>0</v>
      </c>
      <c r="C29" s="265">
        <f>INDEX('Tracker Sheet'!$E:$E,27)</f>
        <v>0</v>
      </c>
      <c r="D29" s="259">
        <f>INDEX('Tracker Sheet'!$AX:$AX,27)</f>
        <v>0</v>
      </c>
      <c r="E29" s="259" t="str">
        <f>INDEX('Tracker Sheet'!$AY:$AY,27)</f>
        <v/>
      </c>
      <c r="F29" s="259">
        <f>INDEX('Tracker Sheet'!BP:BP,27)</f>
        <v>0</v>
      </c>
      <c r="G29" s="274" t="e">
        <f t="shared" ca="1" si="3"/>
        <v>#VALUE!</v>
      </c>
      <c r="H29" s="284"/>
    </row>
    <row r="30" spans="1:9" hidden="1" x14ac:dyDescent="0.2">
      <c r="A30" s="265">
        <f>INDEX('Tracker Sheet'!$A:$A,28)</f>
        <v>0</v>
      </c>
      <c r="B30" s="265">
        <f>INDEX('Tracker Sheet'!$C:$C,28)</f>
        <v>0</v>
      </c>
      <c r="C30" s="265">
        <f>INDEX('Tracker Sheet'!$E:$E,28)</f>
        <v>0</v>
      </c>
      <c r="D30" s="259">
        <f>INDEX('Tracker Sheet'!$AX:$AX,28)</f>
        <v>0</v>
      </c>
      <c r="E30" s="259" t="str">
        <f>INDEX('Tracker Sheet'!$AY:$AY,28)</f>
        <v/>
      </c>
      <c r="F30" s="259">
        <f>INDEX('Tracker Sheet'!BP:BP,28)</f>
        <v>0</v>
      </c>
      <c r="G30" s="274" t="e">
        <f t="shared" ca="1" si="3"/>
        <v>#VALUE!</v>
      </c>
      <c r="H30" s="284"/>
    </row>
    <row r="31" spans="1:9" hidden="1" x14ac:dyDescent="0.2">
      <c r="A31" s="265">
        <f>INDEX('Tracker Sheet'!$A:$A,29)</f>
        <v>0</v>
      </c>
      <c r="B31" s="265">
        <f>INDEX('Tracker Sheet'!$C:$C,29)</f>
        <v>0</v>
      </c>
      <c r="C31" s="265">
        <f>INDEX('Tracker Sheet'!$E:$E,29)</f>
        <v>0</v>
      </c>
      <c r="D31" s="259">
        <f>INDEX('Tracker Sheet'!$AX:$AX,29)</f>
        <v>0</v>
      </c>
      <c r="E31" s="259" t="str">
        <f>INDEX('Tracker Sheet'!$AY:$AY,29)</f>
        <v/>
      </c>
      <c r="F31" s="259">
        <f>INDEX('Tracker Sheet'!BP:BP,29)</f>
        <v>0</v>
      </c>
      <c r="G31" s="274" t="e">
        <f t="shared" ca="1" si="3"/>
        <v>#VALUE!</v>
      </c>
      <c r="H31" s="284"/>
    </row>
    <row r="32" spans="1:9" hidden="1" x14ac:dyDescent="0.2">
      <c r="A32" s="265">
        <f>INDEX('Tracker Sheet'!$A:$A,30)</f>
        <v>0</v>
      </c>
      <c r="B32" s="265">
        <f>INDEX('Tracker Sheet'!$C:$C,30)</f>
        <v>0</v>
      </c>
      <c r="C32" s="265">
        <f>INDEX('Tracker Sheet'!$E:$E,30)</f>
        <v>0</v>
      </c>
      <c r="D32" s="259">
        <f>INDEX('Tracker Sheet'!$AX:$AX,30)</f>
        <v>0</v>
      </c>
      <c r="E32" s="259" t="str">
        <f>INDEX('Tracker Sheet'!$AY:$AY,30)</f>
        <v/>
      </c>
      <c r="F32" s="259">
        <f>INDEX('Tracker Sheet'!BP:BP,30)</f>
        <v>0</v>
      </c>
      <c r="G32" s="274" t="e">
        <f t="shared" ca="1" si="3"/>
        <v>#VALUE!</v>
      </c>
      <c r="H32" s="284"/>
    </row>
    <row r="33" spans="1:8" hidden="1" x14ac:dyDescent="0.2">
      <c r="A33" s="265">
        <f>INDEX('Tracker Sheet'!$A:$A,31)</f>
        <v>0</v>
      </c>
      <c r="B33" s="265">
        <f>INDEX('Tracker Sheet'!$C:$C,31)</f>
        <v>0</v>
      </c>
      <c r="C33" s="265">
        <f>INDEX('Tracker Sheet'!$E:$E,31)</f>
        <v>0</v>
      </c>
      <c r="D33" s="259">
        <f>INDEX('Tracker Sheet'!$AX:$AX,31)</f>
        <v>0</v>
      </c>
      <c r="E33" s="259" t="str">
        <f>INDEX('Tracker Sheet'!$AY:$AY,31)</f>
        <v/>
      </c>
      <c r="F33" s="259">
        <f>INDEX('Tracker Sheet'!BP:BP,31)</f>
        <v>0</v>
      </c>
      <c r="G33" s="274" t="e">
        <f t="shared" ca="1" si="3"/>
        <v>#VALUE!</v>
      </c>
      <c r="H33" s="284"/>
    </row>
    <row r="34" spans="1:8" hidden="1" x14ac:dyDescent="0.2">
      <c r="A34" s="265">
        <f>INDEX('Tracker Sheet'!$A:$A,32)</f>
        <v>0</v>
      </c>
      <c r="B34" s="265">
        <f>INDEX('Tracker Sheet'!$C:$C,32)</f>
        <v>0</v>
      </c>
      <c r="C34" s="265">
        <f>INDEX('Tracker Sheet'!$E:$E,32)</f>
        <v>0</v>
      </c>
      <c r="D34" s="259">
        <f>INDEX('Tracker Sheet'!$AX:$AX,32)</f>
        <v>0</v>
      </c>
      <c r="E34" s="259" t="str">
        <f>INDEX('Tracker Sheet'!$AY:$AY,32)</f>
        <v/>
      </c>
      <c r="F34" s="259">
        <f>INDEX('Tracker Sheet'!BP:BP,32)</f>
        <v>0</v>
      </c>
      <c r="G34" s="274" t="e">
        <f t="shared" ca="1" si="3"/>
        <v>#VALUE!</v>
      </c>
      <c r="H34" s="284"/>
    </row>
    <row r="35" spans="1:8" hidden="1" x14ac:dyDescent="0.2">
      <c r="A35" s="265">
        <f>INDEX('Tracker Sheet'!$A:$A,33)</f>
        <v>0</v>
      </c>
      <c r="B35" s="265">
        <f>INDEX('Tracker Sheet'!$C:$C,33)</f>
        <v>0</v>
      </c>
      <c r="C35" s="265">
        <f>INDEX('Tracker Sheet'!$E:$E,33)</f>
        <v>0</v>
      </c>
      <c r="D35" s="259">
        <f>INDEX('Tracker Sheet'!$AX:$AX,33)</f>
        <v>0</v>
      </c>
      <c r="E35" s="259" t="str">
        <f>INDEX('Tracker Sheet'!$AY:$AY,33)</f>
        <v/>
      </c>
      <c r="F35" s="259">
        <f>INDEX('Tracker Sheet'!BP:BP,33)</f>
        <v>0</v>
      </c>
      <c r="G35" s="274" t="e">
        <f t="shared" ca="1" si="3"/>
        <v>#VALUE!</v>
      </c>
      <c r="H35" s="284"/>
    </row>
    <row r="36" spans="1:8" hidden="1" x14ac:dyDescent="0.2">
      <c r="A36" s="265">
        <f>INDEX('Tracker Sheet'!$A:$A,34)</f>
        <v>0</v>
      </c>
      <c r="B36" s="265">
        <f>INDEX('Tracker Sheet'!$C:$C,34)</f>
        <v>0</v>
      </c>
      <c r="C36" s="265">
        <f>INDEX('Tracker Sheet'!$E:$E,34)</f>
        <v>0</v>
      </c>
      <c r="D36" s="259">
        <f>INDEX('Tracker Sheet'!$AX:$AX,34)</f>
        <v>0</v>
      </c>
      <c r="E36" s="259" t="str">
        <f>INDEX('Tracker Sheet'!$AY:$AY,34)</f>
        <v/>
      </c>
      <c r="F36" s="259">
        <f>INDEX('Tracker Sheet'!BP:BP,34)</f>
        <v>0</v>
      </c>
      <c r="G36" s="274" t="e">
        <f t="shared" ca="1" si="3"/>
        <v>#VALUE!</v>
      </c>
      <c r="H36" s="284"/>
    </row>
    <row r="37" spans="1:8" hidden="1" x14ac:dyDescent="0.2">
      <c r="A37" s="265">
        <f>INDEX('Tracker Sheet'!$A:$A,35)</f>
        <v>0</v>
      </c>
      <c r="B37" s="265">
        <f>INDEX('Tracker Sheet'!$C:$C,35)</f>
        <v>0</v>
      </c>
      <c r="C37" s="265">
        <f>INDEX('Tracker Sheet'!$E:$E,35)</f>
        <v>0</v>
      </c>
      <c r="D37" s="259">
        <f>INDEX('Tracker Sheet'!$AX:$AX,35)</f>
        <v>0</v>
      </c>
      <c r="E37" s="259" t="str">
        <f>INDEX('Tracker Sheet'!$AY:$AY,35)</f>
        <v/>
      </c>
      <c r="F37" s="259">
        <f>INDEX('Tracker Sheet'!BP:BP,35)</f>
        <v>0</v>
      </c>
      <c r="G37" s="274" t="e">
        <f t="shared" ca="1" si="3"/>
        <v>#VALUE!</v>
      </c>
      <c r="H37" s="284"/>
    </row>
    <row r="38" spans="1:8" hidden="1" x14ac:dyDescent="0.2">
      <c r="A38" s="265">
        <f>INDEX('Tracker Sheet'!$A:$A,36)</f>
        <v>0</v>
      </c>
      <c r="B38" s="265">
        <f>INDEX('Tracker Sheet'!$C:$C,36)</f>
        <v>0</v>
      </c>
      <c r="C38" s="265">
        <f>INDEX('Tracker Sheet'!$E:$E,36)</f>
        <v>0</v>
      </c>
      <c r="D38" s="259">
        <f>INDEX('Tracker Sheet'!$AX:$AX,36)</f>
        <v>0</v>
      </c>
      <c r="E38" s="259" t="str">
        <f>INDEX('Tracker Sheet'!$AY:$AY,36)</f>
        <v/>
      </c>
      <c r="F38" s="259">
        <f>INDEX('Tracker Sheet'!BP:BP,36)</f>
        <v>0</v>
      </c>
      <c r="G38" s="274" t="e">
        <f t="shared" ca="1" si="3"/>
        <v>#VALUE!</v>
      </c>
      <c r="H38" s="284"/>
    </row>
    <row r="39" spans="1:8" hidden="1" x14ac:dyDescent="0.2">
      <c r="A39" s="265">
        <f>INDEX('Tracker Sheet'!$A:$A,37)</f>
        <v>0</v>
      </c>
      <c r="B39" s="265">
        <f>INDEX('Tracker Sheet'!$C:$C,37)</f>
        <v>0</v>
      </c>
      <c r="C39" s="265">
        <f>INDEX('Tracker Sheet'!$E:$E,37)</f>
        <v>0</v>
      </c>
      <c r="D39" s="259">
        <f>INDEX('Tracker Sheet'!$AX:$AX,37)</f>
        <v>0</v>
      </c>
      <c r="E39" s="259" t="str">
        <f>INDEX('Tracker Sheet'!$AY:$AY,37)</f>
        <v/>
      </c>
      <c r="F39" s="259">
        <f>INDEX('Tracker Sheet'!BP:BP,37)</f>
        <v>0</v>
      </c>
      <c r="G39" s="274" t="e">
        <f t="shared" ca="1" si="3"/>
        <v>#VALUE!</v>
      </c>
      <c r="H39" s="284"/>
    </row>
    <row r="40" spans="1:8" hidden="1" x14ac:dyDescent="0.2">
      <c r="A40" s="265">
        <f>INDEX('Tracker Sheet'!$A:$A,38)</f>
        <v>0</v>
      </c>
      <c r="B40" s="265">
        <f>INDEX('Tracker Sheet'!$C:$C,38)</f>
        <v>0</v>
      </c>
      <c r="C40" s="265">
        <f>INDEX('Tracker Sheet'!$E:$E,38)</f>
        <v>0</v>
      </c>
      <c r="D40" s="259">
        <f>INDEX('Tracker Sheet'!$AX:$AX,38)</f>
        <v>0</v>
      </c>
      <c r="E40" s="259" t="str">
        <f>INDEX('Tracker Sheet'!$AY:$AY,38)</f>
        <v/>
      </c>
      <c r="F40" s="259">
        <f>INDEX('Tracker Sheet'!BP:BP,38)</f>
        <v>0</v>
      </c>
      <c r="G40" s="274" t="e">
        <f t="shared" ca="1" si="3"/>
        <v>#VALUE!</v>
      </c>
      <c r="H40" s="284"/>
    </row>
    <row r="41" spans="1:8" hidden="1" x14ac:dyDescent="0.2">
      <c r="A41" s="265">
        <f>INDEX('Tracker Sheet'!$A:$A,39)</f>
        <v>0</v>
      </c>
      <c r="B41" s="265">
        <f>INDEX('Tracker Sheet'!$C:$C,39)</f>
        <v>0</v>
      </c>
      <c r="C41" s="265">
        <f>INDEX('Tracker Sheet'!$E:$E,39)</f>
        <v>0</v>
      </c>
      <c r="D41" s="259">
        <f>INDEX('Tracker Sheet'!$AX:$AX,39)</f>
        <v>0</v>
      </c>
      <c r="E41" s="259" t="str">
        <f>INDEX('Tracker Sheet'!$AY:$AY,39)</f>
        <v/>
      </c>
      <c r="F41" s="259">
        <f>INDEX('Tracker Sheet'!BP:BP,39)</f>
        <v>0</v>
      </c>
      <c r="G41" s="274" t="e">
        <f t="shared" ca="1" si="3"/>
        <v>#VALUE!</v>
      </c>
      <c r="H41" s="284"/>
    </row>
    <row r="42" spans="1:8" x14ac:dyDescent="0.2">
      <c r="A42" s="388"/>
      <c r="B42" s="392"/>
      <c r="C42" s="393"/>
      <c r="D42" s="393"/>
      <c r="E42" s="393"/>
      <c r="F42" s="389"/>
      <c r="G42" s="394"/>
      <c r="H42" s="391"/>
    </row>
    <row r="43" spans="1:8" x14ac:dyDescent="0.2">
      <c r="A43" s="388"/>
      <c r="B43" s="392"/>
      <c r="C43" s="393"/>
      <c r="D43" s="393"/>
      <c r="E43" s="393"/>
      <c r="F43" s="389"/>
      <c r="G43" s="394"/>
      <c r="H43" s="391"/>
    </row>
    <row r="44" spans="1:8" x14ac:dyDescent="0.2">
      <c r="A44" s="388"/>
      <c r="B44" s="392"/>
      <c r="C44" s="393"/>
      <c r="D44" s="393"/>
      <c r="E44" s="393"/>
      <c r="F44" s="389"/>
      <c r="G44" s="394"/>
      <c r="H44" s="391"/>
    </row>
    <row r="45" spans="1:8" x14ac:dyDescent="0.2">
      <c r="A45" s="388"/>
      <c r="B45" s="392"/>
      <c r="C45" s="393"/>
      <c r="D45" s="393"/>
      <c r="E45" s="393"/>
      <c r="F45" s="389"/>
      <c r="G45" s="394"/>
      <c r="H45" s="391"/>
    </row>
    <row r="46" spans="1:8" x14ac:dyDescent="0.2">
      <c r="A46" s="388"/>
      <c r="B46" s="392"/>
      <c r="C46" s="393"/>
      <c r="D46" s="393"/>
      <c r="E46" s="393"/>
      <c r="F46" s="389"/>
      <c r="G46" s="394"/>
      <c r="H46" s="391"/>
    </row>
    <row r="47" spans="1:8" x14ac:dyDescent="0.2">
      <c r="A47" s="388"/>
      <c r="B47" s="392"/>
      <c r="C47" s="393"/>
      <c r="D47" s="393"/>
      <c r="E47" s="393"/>
      <c r="F47" s="389"/>
      <c r="G47" s="394"/>
      <c r="H47" s="391"/>
    </row>
    <row r="48" spans="1:8" x14ac:dyDescent="0.2">
      <c r="A48" s="388"/>
      <c r="B48" s="392"/>
      <c r="C48" s="393"/>
      <c r="D48" s="393"/>
      <c r="E48" s="393"/>
      <c r="F48" s="389"/>
      <c r="G48" s="394"/>
      <c r="H48" s="391"/>
    </row>
    <row r="49" spans="1:8" x14ac:dyDescent="0.2">
      <c r="A49" s="388"/>
      <c r="B49" s="392"/>
      <c r="C49" s="393"/>
      <c r="D49" s="393"/>
      <c r="E49" s="393"/>
      <c r="F49" s="389"/>
      <c r="G49" s="394"/>
      <c r="H49" s="391"/>
    </row>
    <row r="50" spans="1:8" x14ac:dyDescent="0.2">
      <c r="A50" s="388"/>
      <c r="B50" s="392"/>
      <c r="C50" s="393"/>
      <c r="D50" s="393"/>
      <c r="E50" s="393"/>
      <c r="F50" s="389"/>
      <c r="G50" s="394"/>
      <c r="H50" s="391"/>
    </row>
    <row r="51" spans="1:8" x14ac:dyDescent="0.2">
      <c r="A51" s="388"/>
      <c r="B51" s="392"/>
      <c r="C51" s="393"/>
      <c r="D51" s="393"/>
      <c r="E51" s="393"/>
      <c r="F51" s="389"/>
      <c r="G51" s="394"/>
      <c r="H51" s="391"/>
    </row>
    <row r="52" spans="1:8" x14ac:dyDescent="0.2">
      <c r="A52" s="388"/>
      <c r="B52" s="392"/>
      <c r="C52" s="393"/>
      <c r="D52" s="393"/>
      <c r="E52" s="393"/>
      <c r="F52" s="389"/>
      <c r="G52" s="394"/>
      <c r="H52" s="391"/>
    </row>
    <row r="53" spans="1:8" x14ac:dyDescent="0.2">
      <c r="A53" s="388"/>
      <c r="B53" s="392"/>
      <c r="C53" s="393"/>
      <c r="D53" s="393"/>
      <c r="E53" s="393"/>
      <c r="F53" s="389"/>
      <c r="G53" s="394"/>
      <c r="H53" s="391"/>
    </row>
    <row r="54" spans="1:8" x14ac:dyDescent="0.2">
      <c r="A54" s="388"/>
      <c r="B54" s="392"/>
      <c r="C54" s="393"/>
      <c r="D54" s="393"/>
      <c r="E54" s="393"/>
      <c r="F54" s="389"/>
      <c r="G54" s="394"/>
      <c r="H54" s="391"/>
    </row>
    <row r="55" spans="1:8" x14ac:dyDescent="0.2">
      <c r="A55" s="388"/>
      <c r="B55" s="392"/>
      <c r="C55" s="393"/>
      <c r="D55" s="393"/>
      <c r="E55" s="393"/>
      <c r="F55" s="389"/>
      <c r="G55" s="394"/>
      <c r="H55" s="391"/>
    </row>
    <row r="56" spans="1:8" x14ac:dyDescent="0.2">
      <c r="A56" s="388"/>
      <c r="B56" s="392"/>
      <c r="C56" s="393"/>
      <c r="D56" s="393"/>
      <c r="E56" s="393"/>
      <c r="F56" s="389"/>
      <c r="G56" s="394"/>
      <c r="H56" s="391"/>
    </row>
    <row r="57" spans="1:8" x14ac:dyDescent="0.2">
      <c r="A57" s="388"/>
      <c r="B57" s="392"/>
      <c r="C57" s="393"/>
      <c r="D57" s="393"/>
      <c r="E57" s="393"/>
      <c r="F57" s="389"/>
      <c r="G57" s="394"/>
      <c r="H57" s="391"/>
    </row>
    <row r="58" spans="1:8" x14ac:dyDescent="0.2">
      <c r="A58" s="388"/>
      <c r="B58" s="392"/>
      <c r="C58" s="393"/>
      <c r="D58" s="393"/>
      <c r="E58" s="393"/>
      <c r="F58" s="389"/>
      <c r="G58" s="394"/>
      <c r="H58" s="391"/>
    </row>
    <row r="59" spans="1:8" x14ac:dyDescent="0.2">
      <c r="A59" s="388"/>
      <c r="B59" s="392"/>
      <c r="C59" s="393"/>
      <c r="D59" s="393"/>
      <c r="E59" s="393"/>
      <c r="F59" s="389"/>
      <c r="G59" s="394"/>
      <c r="H59" s="391"/>
    </row>
    <row r="60" spans="1:8" x14ac:dyDescent="0.2">
      <c r="A60" s="388"/>
      <c r="B60" s="392"/>
      <c r="C60" s="393"/>
      <c r="D60" s="393"/>
      <c r="E60" s="393"/>
      <c r="F60" s="389"/>
      <c r="G60" s="394"/>
      <c r="H60" s="391"/>
    </row>
    <row r="61" spans="1:8" x14ac:dyDescent="0.2">
      <c r="A61" s="388"/>
      <c r="B61" s="392"/>
      <c r="C61" s="393"/>
      <c r="D61" s="393"/>
      <c r="E61" s="393"/>
      <c r="F61" s="389"/>
      <c r="G61" s="394"/>
      <c r="H61" s="391"/>
    </row>
    <row r="62" spans="1:8" x14ac:dyDescent="0.2">
      <c r="A62" s="388"/>
      <c r="B62" s="392"/>
      <c r="C62" s="393"/>
      <c r="D62" s="393"/>
      <c r="E62" s="393"/>
      <c r="F62" s="389"/>
      <c r="G62" s="394"/>
      <c r="H62" s="391"/>
    </row>
    <row r="63" spans="1:8" x14ac:dyDescent="0.2">
      <c r="A63" s="388"/>
      <c r="B63" s="392"/>
      <c r="C63" s="393"/>
      <c r="D63" s="393"/>
      <c r="E63" s="393"/>
      <c r="F63" s="389"/>
      <c r="G63" s="394"/>
      <c r="H63" s="391"/>
    </row>
    <row r="64" spans="1:8" x14ac:dyDescent="0.2">
      <c r="A64" s="388"/>
      <c r="B64" s="392"/>
      <c r="C64" s="393"/>
      <c r="D64" s="393"/>
      <c r="E64" s="393"/>
      <c r="F64" s="389"/>
      <c r="G64" s="394"/>
      <c r="H64" s="391"/>
    </row>
    <row r="65" spans="1:8" x14ac:dyDescent="0.2">
      <c r="A65" s="388"/>
      <c r="B65" s="392"/>
      <c r="C65" s="393"/>
      <c r="D65" s="393"/>
      <c r="E65" s="393"/>
      <c r="F65" s="389"/>
      <c r="G65" s="394"/>
      <c r="H65" s="391"/>
    </row>
    <row r="66" spans="1:8" x14ac:dyDescent="0.2">
      <c r="A66" s="388"/>
      <c r="B66" s="392"/>
      <c r="C66" s="393"/>
      <c r="D66" s="393"/>
      <c r="E66" s="393"/>
      <c r="F66" s="389"/>
      <c r="G66" s="394"/>
      <c r="H66" s="391"/>
    </row>
    <row r="67" spans="1:8" x14ac:dyDescent="0.2">
      <c r="A67" s="388"/>
      <c r="B67" s="392"/>
      <c r="C67" s="393"/>
      <c r="D67" s="393"/>
      <c r="E67" s="393"/>
      <c r="F67" s="389"/>
      <c r="G67" s="394"/>
      <c r="H67" s="391"/>
    </row>
    <row r="68" spans="1:8" x14ac:dyDescent="0.2">
      <c r="A68" s="388"/>
      <c r="B68" s="392"/>
      <c r="C68" s="393"/>
      <c r="D68" s="393"/>
      <c r="E68" s="393"/>
      <c r="F68" s="389"/>
      <c r="G68" s="394"/>
      <c r="H68" s="391"/>
    </row>
    <row r="69" spans="1:8" x14ac:dyDescent="0.2">
      <c r="A69" s="388"/>
      <c r="B69" s="392"/>
      <c r="C69" s="393"/>
      <c r="D69" s="393"/>
      <c r="E69" s="393"/>
      <c r="F69" s="389"/>
      <c r="G69" s="394"/>
      <c r="H69" s="391"/>
    </row>
    <row r="70" spans="1:8" x14ac:dyDescent="0.2">
      <c r="A70" s="127"/>
      <c r="B70" s="126"/>
      <c r="C70" s="142"/>
      <c r="D70" s="142"/>
      <c r="E70" s="142"/>
      <c r="F70" s="142"/>
      <c r="G70" s="102"/>
    </row>
    <row r="71" spans="1:8" x14ac:dyDescent="0.2">
      <c r="A71" s="127"/>
      <c r="B71" s="126"/>
      <c r="C71" s="142"/>
      <c r="D71" s="142"/>
      <c r="E71" s="142"/>
      <c r="F71" s="142"/>
      <c r="G71" s="102"/>
    </row>
    <row r="72" spans="1:8" x14ac:dyDescent="0.2">
      <c r="A72" s="127"/>
      <c r="B72" s="126"/>
      <c r="C72" s="142"/>
      <c r="D72" s="142"/>
      <c r="E72" s="142"/>
      <c r="F72" s="142"/>
      <c r="G72" s="102"/>
    </row>
    <row r="73" spans="1:8" x14ac:dyDescent="0.2">
      <c r="A73" s="127"/>
      <c r="B73" s="126"/>
      <c r="C73" s="142"/>
      <c r="D73" s="142"/>
      <c r="E73" s="142"/>
      <c r="F73" s="142"/>
      <c r="G73" s="102"/>
    </row>
    <row r="74" spans="1:8" x14ac:dyDescent="0.2">
      <c r="A74" s="127"/>
      <c r="B74" s="126"/>
      <c r="C74" s="142"/>
      <c r="D74" s="142"/>
      <c r="E74" s="142"/>
      <c r="F74" s="142"/>
      <c r="G74" s="102"/>
    </row>
    <row r="75" spans="1:8" x14ac:dyDescent="0.2">
      <c r="A75" s="127"/>
      <c r="B75" s="126"/>
      <c r="C75" s="142"/>
      <c r="D75" s="142"/>
      <c r="E75" s="142"/>
      <c r="F75" s="142"/>
      <c r="G75" s="102"/>
    </row>
    <row r="76" spans="1:8" x14ac:dyDescent="0.2">
      <c r="A76" s="127"/>
      <c r="B76" s="126"/>
      <c r="C76" s="142"/>
      <c r="D76" s="142"/>
      <c r="E76" s="142"/>
      <c r="F76" s="142"/>
      <c r="G76" s="102"/>
    </row>
    <row r="77" spans="1:8" x14ac:dyDescent="0.2">
      <c r="A77" s="127"/>
      <c r="B77" s="126"/>
      <c r="C77" s="142"/>
      <c r="D77" s="142"/>
      <c r="E77" s="142"/>
      <c r="F77" s="142"/>
      <c r="G77" s="102"/>
    </row>
    <row r="78" spans="1:8" x14ac:dyDescent="0.2">
      <c r="A78" s="127"/>
      <c r="B78" s="126"/>
      <c r="C78" s="142"/>
      <c r="D78" s="142"/>
      <c r="E78" s="142"/>
      <c r="F78" s="142"/>
      <c r="G78" s="102"/>
    </row>
    <row r="79" spans="1:8" x14ac:dyDescent="0.2">
      <c r="A79" s="127"/>
      <c r="B79" s="126"/>
      <c r="C79" s="142"/>
      <c r="D79" s="142"/>
      <c r="E79" s="142"/>
      <c r="F79" s="142"/>
      <c r="G79" s="102"/>
    </row>
    <row r="80" spans="1:8" x14ac:dyDescent="0.2">
      <c r="A80" s="127"/>
      <c r="B80" s="126"/>
      <c r="C80" s="142"/>
      <c r="D80" s="142"/>
      <c r="E80" s="142"/>
      <c r="F80" s="142"/>
      <c r="G80" s="102"/>
    </row>
    <row r="81" spans="1:7" x14ac:dyDescent="0.2">
      <c r="A81" s="127"/>
      <c r="B81" s="127"/>
      <c r="C81" s="143"/>
      <c r="D81" s="143"/>
      <c r="E81" s="143"/>
      <c r="F81" s="143"/>
      <c r="G81" s="102" t="str">
        <f t="shared" ref="G81:G107" ca="1" si="4">IF(E81=0,"",E81-TODAY())</f>
        <v/>
      </c>
    </row>
    <row r="82" spans="1:7" x14ac:dyDescent="0.2">
      <c r="A82" s="127"/>
      <c r="B82" s="127"/>
      <c r="C82" s="143"/>
      <c r="D82" s="143"/>
      <c r="E82" s="143"/>
      <c r="F82" s="143"/>
      <c r="G82" s="102" t="str">
        <f t="shared" ca="1" si="4"/>
        <v/>
      </c>
    </row>
    <row r="83" spans="1:7" x14ac:dyDescent="0.2">
      <c r="A83" s="127"/>
      <c r="B83" s="127"/>
      <c r="C83" s="143"/>
      <c r="D83" s="143"/>
      <c r="E83" s="143"/>
      <c r="F83" s="143"/>
      <c r="G83" s="102" t="str">
        <f t="shared" ca="1" si="4"/>
        <v/>
      </c>
    </row>
    <row r="84" spans="1:7" x14ac:dyDescent="0.2">
      <c r="A84" s="127"/>
      <c r="B84" s="127"/>
      <c r="C84" s="143"/>
      <c r="D84" s="143"/>
      <c r="E84" s="143"/>
      <c r="F84" s="143"/>
      <c r="G84" s="102" t="str">
        <f t="shared" ca="1" si="4"/>
        <v/>
      </c>
    </row>
    <row r="85" spans="1:7" x14ac:dyDescent="0.2">
      <c r="A85" s="127"/>
      <c r="B85" s="127"/>
      <c r="C85" s="143"/>
      <c r="D85" s="143"/>
      <c r="E85" s="143"/>
      <c r="F85" s="143"/>
      <c r="G85" s="102" t="str">
        <f t="shared" ca="1" si="4"/>
        <v/>
      </c>
    </row>
    <row r="86" spans="1:7" x14ac:dyDescent="0.2">
      <c r="A86" s="127"/>
      <c r="B86" s="127"/>
      <c r="C86" s="143"/>
      <c r="D86" s="143"/>
      <c r="E86" s="143"/>
      <c r="F86" s="143"/>
      <c r="G86" s="102" t="str">
        <f t="shared" ca="1" si="4"/>
        <v/>
      </c>
    </row>
    <row r="87" spans="1:7" x14ac:dyDescent="0.2">
      <c r="A87" s="127"/>
      <c r="B87" s="127"/>
      <c r="C87" s="143"/>
      <c r="D87" s="143"/>
      <c r="E87" s="143"/>
      <c r="F87" s="143"/>
      <c r="G87" s="102" t="str">
        <f t="shared" ca="1" si="4"/>
        <v/>
      </c>
    </row>
    <row r="88" spans="1:7" x14ac:dyDescent="0.2">
      <c r="A88" s="127"/>
      <c r="B88" s="127"/>
      <c r="C88" s="143"/>
      <c r="D88" s="143"/>
      <c r="E88" s="143"/>
      <c r="F88" s="143"/>
      <c r="G88" s="102" t="str">
        <f t="shared" ca="1" si="4"/>
        <v/>
      </c>
    </row>
    <row r="89" spans="1:7" x14ac:dyDescent="0.2">
      <c r="A89" s="127"/>
      <c r="B89" s="127"/>
      <c r="C89" s="143"/>
      <c r="D89" s="143"/>
      <c r="E89" s="143"/>
      <c r="F89" s="143"/>
      <c r="G89" s="102" t="str">
        <f t="shared" ca="1" si="4"/>
        <v/>
      </c>
    </row>
    <row r="90" spans="1:7" x14ac:dyDescent="0.2">
      <c r="A90" s="127"/>
      <c r="B90" s="127"/>
      <c r="C90" s="143"/>
      <c r="D90" s="143"/>
      <c r="E90" s="143"/>
      <c r="F90" s="143"/>
      <c r="G90" s="102" t="str">
        <f t="shared" ca="1" si="4"/>
        <v/>
      </c>
    </row>
    <row r="91" spans="1:7" x14ac:dyDescent="0.2">
      <c r="A91" s="127"/>
      <c r="B91" s="127"/>
      <c r="C91" s="143"/>
      <c r="D91" s="143"/>
      <c r="E91" s="143"/>
      <c r="F91" s="143"/>
      <c r="G91" s="102" t="str">
        <f t="shared" ca="1" si="4"/>
        <v/>
      </c>
    </row>
    <row r="92" spans="1:7" x14ac:dyDescent="0.2">
      <c r="A92" s="127"/>
      <c r="B92" s="127"/>
      <c r="C92" s="143"/>
      <c r="D92" s="143"/>
      <c r="E92" s="143"/>
      <c r="F92" s="143"/>
      <c r="G92" s="102" t="str">
        <f t="shared" ca="1" si="4"/>
        <v/>
      </c>
    </row>
    <row r="93" spans="1:7" x14ac:dyDescent="0.2">
      <c r="A93" s="127"/>
      <c r="B93" s="127"/>
      <c r="C93" s="143"/>
      <c r="D93" s="143"/>
      <c r="E93" s="143"/>
      <c r="F93" s="143"/>
      <c r="G93" s="102" t="str">
        <f t="shared" ca="1" si="4"/>
        <v/>
      </c>
    </row>
    <row r="94" spans="1:7" x14ac:dyDescent="0.2">
      <c r="A94" s="127"/>
      <c r="B94" s="127"/>
      <c r="C94" s="143"/>
      <c r="D94" s="143"/>
      <c r="E94" s="143"/>
      <c r="F94" s="143"/>
      <c r="G94" s="102" t="str">
        <f t="shared" ca="1" si="4"/>
        <v/>
      </c>
    </row>
    <row r="95" spans="1:7" x14ac:dyDescent="0.2">
      <c r="A95" s="127"/>
      <c r="B95" s="127"/>
      <c r="C95" s="143"/>
      <c r="D95" s="143"/>
      <c r="E95" s="143"/>
      <c r="F95" s="143"/>
      <c r="G95" s="102" t="str">
        <f t="shared" ca="1" si="4"/>
        <v/>
      </c>
    </row>
    <row r="96" spans="1:7" x14ac:dyDescent="0.2">
      <c r="A96" s="127"/>
      <c r="B96" s="127"/>
      <c r="C96" s="143"/>
      <c r="D96" s="143"/>
      <c r="E96" s="143"/>
      <c r="F96" s="143"/>
      <c r="G96" s="102" t="str">
        <f t="shared" ca="1" si="4"/>
        <v/>
      </c>
    </row>
    <row r="97" spans="1:7" x14ac:dyDescent="0.2">
      <c r="A97" s="127"/>
      <c r="B97" s="127"/>
      <c r="C97" s="143"/>
      <c r="D97" s="143"/>
      <c r="E97" s="143"/>
      <c r="F97" s="143"/>
      <c r="G97" s="102" t="str">
        <f t="shared" ca="1" si="4"/>
        <v/>
      </c>
    </row>
    <row r="98" spans="1:7" x14ac:dyDescent="0.2">
      <c r="A98" s="127"/>
      <c r="B98" s="127"/>
      <c r="C98" s="143"/>
      <c r="D98" s="143"/>
      <c r="E98" s="143"/>
      <c r="F98" s="143"/>
      <c r="G98" s="102" t="str">
        <f t="shared" ca="1" si="4"/>
        <v/>
      </c>
    </row>
    <row r="99" spans="1:7" x14ac:dyDescent="0.2">
      <c r="A99" s="127"/>
      <c r="B99" s="127"/>
      <c r="C99" s="143"/>
      <c r="D99" s="143"/>
      <c r="E99" s="143"/>
      <c r="F99" s="143"/>
      <c r="G99" s="102" t="str">
        <f t="shared" ca="1" si="4"/>
        <v/>
      </c>
    </row>
    <row r="100" spans="1:7" x14ac:dyDescent="0.2">
      <c r="A100" s="127"/>
      <c r="B100" s="127"/>
      <c r="C100" s="143"/>
      <c r="D100" s="143"/>
      <c r="E100" s="143"/>
      <c r="F100" s="143"/>
      <c r="G100" s="102" t="str">
        <f t="shared" ca="1" si="4"/>
        <v/>
      </c>
    </row>
    <row r="101" spans="1:7" x14ac:dyDescent="0.2">
      <c r="A101" s="127"/>
      <c r="B101" s="127"/>
      <c r="C101" s="143"/>
      <c r="D101" s="143"/>
      <c r="E101" s="143"/>
      <c r="F101" s="143"/>
      <c r="G101" s="102" t="str">
        <f t="shared" ca="1" si="4"/>
        <v/>
      </c>
    </row>
    <row r="102" spans="1:7" x14ac:dyDescent="0.2">
      <c r="A102" s="202"/>
      <c r="B102" s="101"/>
      <c r="C102" s="203"/>
      <c r="D102" s="203"/>
      <c r="E102" s="203"/>
      <c r="G102" s="102" t="str">
        <f t="shared" ca="1" si="4"/>
        <v/>
      </c>
    </row>
    <row r="103" spans="1:7" x14ac:dyDescent="0.2">
      <c r="A103" s="202"/>
      <c r="B103" s="101"/>
      <c r="C103" s="203"/>
      <c r="D103" s="203"/>
      <c r="E103" s="203"/>
      <c r="G103" s="102" t="str">
        <f t="shared" ca="1" si="4"/>
        <v/>
      </c>
    </row>
    <row r="104" spans="1:7" x14ac:dyDescent="0.2">
      <c r="A104" s="202"/>
      <c r="B104" s="101"/>
      <c r="C104" s="203"/>
      <c r="D104" s="203"/>
      <c r="E104" s="203"/>
      <c r="G104" s="102" t="str">
        <f t="shared" ca="1" si="4"/>
        <v/>
      </c>
    </row>
    <row r="105" spans="1:7" x14ac:dyDescent="0.2">
      <c r="A105" s="202"/>
      <c r="B105" s="101"/>
      <c r="C105" s="203"/>
      <c r="D105" s="203"/>
      <c r="E105" s="203"/>
      <c r="G105" s="102" t="str">
        <f t="shared" ca="1" si="4"/>
        <v/>
      </c>
    </row>
    <row r="106" spans="1:7" x14ac:dyDescent="0.2">
      <c r="A106" s="202"/>
      <c r="B106" s="101"/>
      <c r="C106" s="203"/>
      <c r="D106" s="203"/>
      <c r="E106" s="203"/>
      <c r="G106" s="102" t="str">
        <f t="shared" ca="1" si="4"/>
        <v/>
      </c>
    </row>
    <row r="107" spans="1:7" x14ac:dyDescent="0.2">
      <c r="A107" s="202"/>
      <c r="B107" s="101"/>
      <c r="C107" s="203"/>
      <c r="D107" s="203"/>
      <c r="E107" s="203"/>
      <c r="G107" s="102" t="str">
        <f t="shared" ca="1" si="4"/>
        <v/>
      </c>
    </row>
  </sheetData>
  <autoFilter ref="A1:H41">
    <filterColumn colId="3">
      <customFilters>
        <customFilter operator="greaterThan" val="0"/>
      </customFilters>
    </filterColumn>
    <filterColumn colId="7">
      <filters>
        <filter val="NO"/>
      </filters>
    </filterColumn>
    <sortState ref="A21:H21">
      <sortCondition ref="E1:E106"/>
    </sortState>
  </autoFilter>
  <sortState ref="A3:H29">
    <sortCondition ref="H29"/>
  </sortState>
  <conditionalFormatting sqref="G2:G40">
    <cfRule type="expression" dxfId="99" priority="10">
      <formula>H2="YES"</formula>
    </cfRule>
    <cfRule type="cellIs" dxfId="98" priority="12" stopIfTrue="1" operator="lessThan">
      <formula>0</formula>
    </cfRule>
    <cfRule type="cellIs" dxfId="97" priority="13" operator="greaterThanOrEqual">
      <formula>0</formula>
    </cfRule>
  </conditionalFormatting>
  <conditionalFormatting sqref="I10">
    <cfRule type="cellIs" dxfId="96" priority="5" stopIfTrue="1" operator="lessThan">
      <formula>0</formula>
    </cfRule>
    <cfRule type="cellIs" dxfId="95" priority="6" operator="greaterThan">
      <formula>0</formula>
    </cfRule>
  </conditionalFormatting>
  <conditionalFormatting sqref="I10">
    <cfRule type="expression" dxfId="94" priority="4">
      <formula>J10="YES"</formula>
    </cfRule>
  </conditionalFormatting>
  <pageMargins left="0.70866141732283472" right="0.70866141732283472" top="0.74803149606299213" bottom="0.74803149606299213" header="0.31496062992125984" footer="0.31496062992125984"/>
  <pageSetup paperSize="9"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6" r:id="rId4" name="Button 4">
              <controlPr defaultSize="0" print="0" autoFill="0" autoPict="0" macro="[0]!StageGate5sort">
                <anchor moveWithCells="1" sizeWithCells="1">
                  <from>
                    <xdr:col>9</xdr:col>
                    <xdr:colOff>95250</xdr:colOff>
                    <xdr:row>0</xdr:row>
                    <xdr:rowOff>66675</xdr:rowOff>
                  </from>
                  <to>
                    <xdr:col>10</xdr:col>
                    <xdr:colOff>714375</xdr:colOff>
                    <xdr:row>0</xdr:row>
                    <xdr:rowOff>400050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'Rag Coding'!$F$1:$F$3</xm:f>
          </x14:formula1>
          <xm:sqref>H3:H49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filterMode="1">
    <tabColor rgb="FF0070C0"/>
  </sheetPr>
  <dimension ref="A1:S42"/>
  <sheetViews>
    <sheetView zoomScaleNormal="100" workbookViewId="0">
      <selection activeCell="O7" sqref="O7"/>
    </sheetView>
  </sheetViews>
  <sheetFormatPr defaultRowHeight="15" outlineLevelRow="1" x14ac:dyDescent="0.2"/>
  <cols>
    <col min="1" max="1" width="11.6640625" style="26" customWidth="1"/>
    <col min="2" max="2" width="8.109375" style="26" customWidth="1"/>
    <col min="3" max="3" width="9.6640625" style="26" customWidth="1"/>
    <col min="4" max="4" width="10" style="26" customWidth="1"/>
    <col min="5" max="5" width="8.88671875" style="26"/>
    <col min="6" max="6" width="7.77734375" style="26" customWidth="1"/>
    <col min="7" max="7" width="10" style="26" bestFit="1" customWidth="1"/>
    <col min="8" max="9" width="10" style="26" customWidth="1"/>
    <col min="10" max="10" width="9.5546875" style="26" customWidth="1"/>
    <col min="11" max="12" width="10" style="26" customWidth="1"/>
    <col min="13" max="13" width="10" style="26" hidden="1" customWidth="1"/>
    <col min="14" max="14" width="10" style="26" customWidth="1"/>
    <col min="15" max="17" width="8.33203125" style="68" customWidth="1"/>
    <col min="18" max="18" width="10.44140625" style="26" customWidth="1"/>
    <col min="19" max="19" width="7.77734375" style="26" customWidth="1"/>
    <col min="20" max="16384" width="8.88671875" style="26"/>
  </cols>
  <sheetData>
    <row r="1" spans="1:19" ht="15" customHeight="1" x14ac:dyDescent="0.2">
      <c r="A1" s="413" t="s">
        <v>11</v>
      </c>
      <c r="B1" s="414"/>
      <c r="C1" s="414"/>
      <c r="D1" s="414"/>
      <c r="E1" s="414"/>
      <c r="F1" s="414"/>
      <c r="G1" s="414"/>
      <c r="H1" s="434" t="s">
        <v>512</v>
      </c>
      <c r="I1" s="434"/>
      <c r="J1" s="434"/>
      <c r="K1" s="434"/>
      <c r="L1" s="434"/>
      <c r="M1" s="434"/>
      <c r="N1" s="434"/>
      <c r="O1" s="418" t="s">
        <v>7</v>
      </c>
      <c r="P1" s="418"/>
      <c r="Q1" s="418"/>
      <c r="R1" s="418"/>
      <c r="S1" s="418"/>
    </row>
    <row r="2" spans="1:19" ht="34.5" thickBot="1" x14ac:dyDescent="0.25">
      <c r="A2" s="42" t="s">
        <v>8</v>
      </c>
      <c r="B2" s="43" t="s">
        <v>9</v>
      </c>
      <c r="C2" s="43" t="s">
        <v>10</v>
      </c>
      <c r="D2" s="43" t="s">
        <v>18</v>
      </c>
      <c r="E2" s="43" t="s">
        <v>20</v>
      </c>
      <c r="F2" s="43" t="s">
        <v>247</v>
      </c>
      <c r="G2" s="43" t="s">
        <v>19</v>
      </c>
      <c r="H2" s="43" t="s">
        <v>13</v>
      </c>
      <c r="I2" s="43" t="s">
        <v>507</v>
      </c>
      <c r="J2" s="43" t="s">
        <v>511</v>
      </c>
      <c r="K2" s="43" t="s">
        <v>508</v>
      </c>
      <c r="L2" s="43" t="s">
        <v>509</v>
      </c>
      <c r="M2" s="43"/>
      <c r="N2" s="43" t="s">
        <v>510</v>
      </c>
      <c r="O2" s="49" t="s">
        <v>25</v>
      </c>
      <c r="P2" s="49" t="s">
        <v>112</v>
      </c>
      <c r="Q2" s="49" t="s">
        <v>244</v>
      </c>
      <c r="R2" s="15" t="s">
        <v>111</v>
      </c>
      <c r="S2" s="15" t="s">
        <v>325</v>
      </c>
    </row>
    <row r="3" spans="1:19" ht="102" hidden="1" thickBot="1" x14ac:dyDescent="0.25">
      <c r="A3" s="221" t="s">
        <v>182</v>
      </c>
      <c r="B3" s="228"/>
      <c r="C3" s="228" t="s">
        <v>183</v>
      </c>
      <c r="D3" s="221" t="s">
        <v>331</v>
      </c>
      <c r="E3" s="221" t="s">
        <v>105</v>
      </c>
      <c r="F3" s="221"/>
      <c r="G3" s="221" t="s">
        <v>177</v>
      </c>
      <c r="H3" s="227"/>
      <c r="I3" s="222">
        <v>42291</v>
      </c>
      <c r="J3" s="221">
        <v>0</v>
      </c>
      <c r="K3" s="222">
        <f t="shared" ref="K3:K10" si="0">IF(J3="","",DATE(YEAR(I3),MONTH(I3)+J3,DAY(I3)-1))</f>
        <v>42290</v>
      </c>
      <c r="L3" s="225">
        <v>0</v>
      </c>
      <c r="M3" s="221" t="str">
        <f t="shared" ref="M3:M42" ca="1" si="1">IF(K3="","",IF(AND(K3&gt;=TODAY(),N3="NO"),"Green",IF(AND(K3&lt;TODAY(),N3="NO"),"Red",IF(N3="YES","Green",""))))</f>
        <v>Green</v>
      </c>
      <c r="N3" s="349" t="s">
        <v>318</v>
      </c>
      <c r="O3" s="242" t="e">
        <f>VLOOKUP($A3,'Tracker Sheet'!$A$3:$BP$40,58,FALSE)</f>
        <v>#N/A</v>
      </c>
      <c r="P3" s="242" t="e">
        <f>VLOOKUP($A3,'Tracker Sheet'!$A$3:$BP$40,59,FALSE)</f>
        <v>#N/A</v>
      </c>
      <c r="Q3" s="242" t="e">
        <f>VLOOKUP($A3,'Tracker Sheet'!$A$3:$BP$40,60,FALSE)</f>
        <v>#N/A</v>
      </c>
      <c r="R3" s="242" t="e">
        <f>VLOOKUP($A3,'Tracker Sheet'!$A$3:$BP$40,61,FALSE)</f>
        <v>#N/A</v>
      </c>
      <c r="S3" s="242" t="e">
        <f>VLOOKUP($A3,'Tracker Sheet'!$A$3:$BP$40,62,FALSE)</f>
        <v>#N/A</v>
      </c>
    </row>
    <row r="4" spans="1:19" ht="90.75" hidden="1" thickBot="1" x14ac:dyDescent="0.25">
      <c r="A4" s="229" t="s">
        <v>296</v>
      </c>
      <c r="B4" s="230" t="s">
        <v>329</v>
      </c>
      <c r="C4" s="230" t="s">
        <v>330</v>
      </c>
      <c r="D4" s="231" t="s">
        <v>93</v>
      </c>
      <c r="E4" s="231" t="s">
        <v>105</v>
      </c>
      <c r="F4" s="231"/>
      <c r="G4" s="231" t="s">
        <v>100</v>
      </c>
      <c r="H4" s="227"/>
      <c r="I4" s="222">
        <v>42415</v>
      </c>
      <c r="J4" s="221">
        <v>0</v>
      </c>
      <c r="K4" s="222">
        <f t="shared" si="0"/>
        <v>42414</v>
      </c>
      <c r="L4" s="225">
        <v>0</v>
      </c>
      <c r="M4" s="221" t="str">
        <f t="shared" ca="1" si="1"/>
        <v>Green</v>
      </c>
      <c r="N4" s="350" t="s">
        <v>318</v>
      </c>
      <c r="O4" s="243" t="e">
        <f>VLOOKUP($A4,'Tracker Sheet'!$A$3:$BP$40,58,FALSE)</f>
        <v>#N/A</v>
      </c>
      <c r="P4" s="243" t="e">
        <f>VLOOKUP($A4,'Tracker Sheet'!$A$3:$BP$40,59,FALSE)</f>
        <v>#N/A</v>
      </c>
      <c r="Q4" s="243" t="e">
        <f>VLOOKUP($A4,'Tracker Sheet'!$A$3:$BP$40,60,FALSE)</f>
        <v>#N/A</v>
      </c>
      <c r="R4" s="243" t="e">
        <f>VLOOKUP($A4,'Tracker Sheet'!$A$3:$BP$40,61,FALSE)</f>
        <v>#N/A</v>
      </c>
      <c r="S4" s="243" t="e">
        <f>VLOOKUP($A4,'Tracker Sheet'!$A$3:$BP$40,62,FALSE)</f>
        <v>#N/A</v>
      </c>
    </row>
    <row r="5" spans="1:19" s="66" customFormat="1" ht="23.25" hidden="1" thickBot="1" x14ac:dyDescent="0.25">
      <c r="A5" s="227" t="s">
        <v>298</v>
      </c>
      <c r="B5" s="228" t="s">
        <v>299</v>
      </c>
      <c r="C5" s="228" t="s">
        <v>321</v>
      </c>
      <c r="D5" s="221" t="s">
        <v>93</v>
      </c>
      <c r="E5" s="221" t="s">
        <v>103</v>
      </c>
      <c r="F5" s="221"/>
      <c r="G5" s="221" t="s">
        <v>100</v>
      </c>
      <c r="H5" s="227"/>
      <c r="I5" s="222">
        <v>42440</v>
      </c>
      <c r="J5" s="221">
        <v>0</v>
      </c>
      <c r="K5" s="222">
        <f t="shared" si="0"/>
        <v>42439</v>
      </c>
      <c r="L5" s="225">
        <v>0</v>
      </c>
      <c r="M5" s="223" t="str">
        <f t="shared" ca="1" si="1"/>
        <v>Green</v>
      </c>
      <c r="N5" s="350" t="s">
        <v>318</v>
      </c>
      <c r="O5" s="244" t="e">
        <f>VLOOKUP($A5,'Tracker Sheet'!$A$3:$BP$40,58,FALSE)</f>
        <v>#N/A</v>
      </c>
      <c r="P5" s="244" t="e">
        <f>VLOOKUP($A5,'Tracker Sheet'!$A$3:$BP$40,59,FALSE)</f>
        <v>#N/A</v>
      </c>
      <c r="Q5" s="244" t="e">
        <f>VLOOKUP($A5,'Tracker Sheet'!$A$3:$BP$40,60,FALSE)</f>
        <v>#N/A</v>
      </c>
      <c r="R5" s="244" t="e">
        <f>VLOOKUP($A5,'Tracker Sheet'!$A$3:$BP$40,61,FALSE)</f>
        <v>#N/A</v>
      </c>
      <c r="S5" s="244" t="e">
        <f>VLOOKUP($A5,'Tracker Sheet'!$A$3:$BP$40,62,FALSE)</f>
        <v>#N/A</v>
      </c>
    </row>
    <row r="6" spans="1:19" ht="79.5" hidden="1" thickBot="1" x14ac:dyDescent="0.25">
      <c r="A6" s="227" t="s">
        <v>304</v>
      </c>
      <c r="B6" s="228" t="s">
        <v>307</v>
      </c>
      <c r="C6" s="228" t="s">
        <v>333</v>
      </c>
      <c r="D6" s="221" t="s">
        <v>91</v>
      </c>
      <c r="E6" s="221" t="s">
        <v>105</v>
      </c>
      <c r="F6" s="221"/>
      <c r="G6" s="221" t="s">
        <v>100</v>
      </c>
      <c r="H6" s="227"/>
      <c r="I6" s="222">
        <v>42619</v>
      </c>
      <c r="J6" s="221">
        <v>0</v>
      </c>
      <c r="K6" s="222">
        <f t="shared" si="0"/>
        <v>42618</v>
      </c>
      <c r="L6" s="225">
        <v>0</v>
      </c>
      <c r="M6" s="221" t="str">
        <f t="shared" ca="1" si="1"/>
        <v>Green</v>
      </c>
      <c r="N6" s="350" t="s">
        <v>318</v>
      </c>
      <c r="O6" s="244" t="e">
        <f>VLOOKUP($A6,'Tracker Sheet'!$A$3:$BP$40,58,FALSE)</f>
        <v>#N/A</v>
      </c>
      <c r="P6" s="244" t="e">
        <f>VLOOKUP($A6,'Tracker Sheet'!$A$3:$BP$40,59,FALSE)</f>
        <v>#N/A</v>
      </c>
      <c r="Q6" s="244" t="e">
        <f>VLOOKUP($A6,'Tracker Sheet'!$A$3:$BP$40,60,FALSE)</f>
        <v>#N/A</v>
      </c>
      <c r="R6" s="244" t="e">
        <f>VLOOKUP($A6,'Tracker Sheet'!$A$3:$BP$40,61,FALSE)</f>
        <v>#N/A</v>
      </c>
      <c r="S6" s="244" t="e">
        <f>VLOOKUP($A6,'Tracker Sheet'!$A$3:$BP$40,62,FALSE)</f>
        <v>#N/A</v>
      </c>
    </row>
    <row r="7" spans="1:19" ht="45.75" hidden="1" thickBot="1" x14ac:dyDescent="0.25">
      <c r="A7" s="227" t="s">
        <v>292</v>
      </c>
      <c r="B7" s="228" t="s">
        <v>293</v>
      </c>
      <c r="C7" s="228" t="s">
        <v>324</v>
      </c>
      <c r="D7" s="221" t="s">
        <v>87</v>
      </c>
      <c r="E7" s="221" t="s">
        <v>109</v>
      </c>
      <c r="F7" s="221"/>
      <c r="G7" s="221" t="s">
        <v>99</v>
      </c>
      <c r="H7" s="227"/>
      <c r="I7" s="222">
        <v>42689</v>
      </c>
      <c r="J7" s="221">
        <v>0</v>
      </c>
      <c r="K7" s="222">
        <f t="shared" si="0"/>
        <v>42688</v>
      </c>
      <c r="L7" s="225">
        <v>0</v>
      </c>
      <c r="M7" s="222" t="str">
        <f t="shared" ca="1" si="1"/>
        <v>Green</v>
      </c>
      <c r="N7" s="350" t="s">
        <v>318</v>
      </c>
      <c r="O7" s="244">
        <v>70000</v>
      </c>
      <c r="P7" s="244">
        <v>27000</v>
      </c>
      <c r="Q7" s="244" t="e">
        <f>VLOOKUP(A7,Finance!$A$3:$J$39,10,FALSE)</f>
        <v>#N/A</v>
      </c>
      <c r="R7" s="244"/>
      <c r="S7" s="244"/>
    </row>
    <row r="8" spans="1:19" ht="45.75" hidden="1" thickBot="1" x14ac:dyDescent="0.25">
      <c r="A8" s="227" t="s">
        <v>302</v>
      </c>
      <c r="B8" s="228" t="s">
        <v>326</v>
      </c>
      <c r="C8" s="228" t="s">
        <v>327</v>
      </c>
      <c r="D8" s="221" t="s">
        <v>92</v>
      </c>
      <c r="E8" s="221" t="s">
        <v>109</v>
      </c>
      <c r="F8" s="221"/>
      <c r="G8" s="221" t="s">
        <v>177</v>
      </c>
      <c r="H8" s="227"/>
      <c r="I8" s="222">
        <v>42711</v>
      </c>
      <c r="J8" s="221">
        <v>0</v>
      </c>
      <c r="K8" s="222">
        <f t="shared" si="0"/>
        <v>42710</v>
      </c>
      <c r="L8" s="225">
        <v>0</v>
      </c>
      <c r="M8" s="221" t="str">
        <f t="shared" ca="1" si="1"/>
        <v>Green</v>
      </c>
      <c r="N8" s="350" t="s">
        <v>318</v>
      </c>
      <c r="O8" s="244" t="e">
        <f>VLOOKUP($A8,'Tracker Sheet'!$A$3:$BP$40,58,FALSE)</f>
        <v>#N/A</v>
      </c>
      <c r="P8" s="244" t="e">
        <f>VLOOKUP($A8,'Tracker Sheet'!$A$3:$BP$40,59,FALSE)</f>
        <v>#N/A</v>
      </c>
      <c r="Q8" s="244" t="e">
        <f>VLOOKUP($A8,'Tracker Sheet'!$A$3:$BP$40,60,FALSE)</f>
        <v>#N/A</v>
      </c>
      <c r="R8" s="244" t="e">
        <f>VLOOKUP($A8,'Tracker Sheet'!$A$3:$BP$40,61,FALSE)</f>
        <v>#N/A</v>
      </c>
      <c r="S8" s="244" t="e">
        <f>VLOOKUP($A8,'Tracker Sheet'!$A$3:$BP$40,62,FALSE)</f>
        <v>#N/A</v>
      </c>
    </row>
    <row r="9" spans="1:19" ht="34.5" thickBot="1" x14ac:dyDescent="0.25">
      <c r="A9" s="227" t="s">
        <v>300</v>
      </c>
      <c r="B9" s="228" t="s">
        <v>502</v>
      </c>
      <c r="C9" s="228" t="s">
        <v>167</v>
      </c>
      <c r="D9" s="221" t="s">
        <v>90</v>
      </c>
      <c r="E9" s="221" t="s">
        <v>103</v>
      </c>
      <c r="F9" s="221"/>
      <c r="G9" s="221" t="s">
        <v>100</v>
      </c>
      <c r="H9" s="227"/>
      <c r="I9" s="222">
        <v>42706</v>
      </c>
      <c r="J9" s="221">
        <v>6</v>
      </c>
      <c r="K9" s="222">
        <f t="shared" si="0"/>
        <v>42887</v>
      </c>
      <c r="L9" s="225">
        <v>0</v>
      </c>
      <c r="M9" s="221" t="str">
        <f t="shared" ca="1" si="1"/>
        <v>Red</v>
      </c>
      <c r="N9" s="350" t="s">
        <v>320</v>
      </c>
      <c r="O9" s="244" t="e">
        <f>VLOOKUP($A9,'Tracker Sheet'!$A$3:$BP$40,58,FALSE)</f>
        <v>#N/A</v>
      </c>
      <c r="P9" s="244" t="e">
        <f>VLOOKUP($A9,'Tracker Sheet'!$A$3:$BP$40,59,FALSE)</f>
        <v>#N/A</v>
      </c>
      <c r="Q9" s="244" t="e">
        <f>VLOOKUP($A9,'Tracker Sheet'!$A$3:$BP$40,60,FALSE)</f>
        <v>#N/A</v>
      </c>
      <c r="R9" s="244" t="e">
        <f>VLOOKUP($A9,'Tracker Sheet'!$A$3:$BP$40,61,FALSE)</f>
        <v>#N/A</v>
      </c>
      <c r="S9" s="244" t="e">
        <f>VLOOKUP($A9,'Tracker Sheet'!$A$3:$BP$40,62,FALSE)</f>
        <v>#N/A</v>
      </c>
    </row>
    <row r="10" spans="1:19" ht="34.5" hidden="1" thickBot="1" x14ac:dyDescent="0.25">
      <c r="A10" s="227" t="s">
        <v>242</v>
      </c>
      <c r="B10" s="228" t="s">
        <v>243</v>
      </c>
      <c r="C10" s="228" t="s">
        <v>277</v>
      </c>
      <c r="D10" s="221" t="s">
        <v>216</v>
      </c>
      <c r="E10" s="221" t="s">
        <v>107</v>
      </c>
      <c r="F10" s="221"/>
      <c r="G10" s="221" t="s">
        <v>99</v>
      </c>
      <c r="H10" s="227"/>
      <c r="I10" s="222">
        <v>42552</v>
      </c>
      <c r="J10" s="221">
        <v>0</v>
      </c>
      <c r="K10" s="222">
        <f t="shared" si="0"/>
        <v>42551</v>
      </c>
      <c r="L10" s="225">
        <v>0</v>
      </c>
      <c r="M10" s="221" t="str">
        <f t="shared" ca="1" si="1"/>
        <v>Green</v>
      </c>
      <c r="N10" s="350" t="s">
        <v>318</v>
      </c>
      <c r="O10" s="244" t="e">
        <f>VLOOKUP($A10,'Tracker Sheet'!$A$3:$BP$40,58,FALSE)</f>
        <v>#N/A</v>
      </c>
      <c r="P10" s="244" t="e">
        <f>VLOOKUP($A10,'Tracker Sheet'!$A$3:$BP$40,59,FALSE)</f>
        <v>#N/A</v>
      </c>
      <c r="Q10" s="244" t="e">
        <f>VLOOKUP($A10,'Tracker Sheet'!$A$3:$BP$40,60,FALSE)</f>
        <v>#N/A</v>
      </c>
      <c r="R10" s="244" t="e">
        <f>VLOOKUP($A10,'Tracker Sheet'!$A$3:$BP$40,61,FALSE)</f>
        <v>#N/A</v>
      </c>
      <c r="S10" s="244" t="e">
        <f>VLOOKUP($A10,'Tracker Sheet'!$A$3:$BP$40,62,FALSE)</f>
        <v>#N/A</v>
      </c>
    </row>
    <row r="11" spans="1:19" ht="34.5" thickBot="1" x14ac:dyDescent="0.25">
      <c r="A11" s="227" t="s">
        <v>124</v>
      </c>
      <c r="B11" s="228" t="s">
        <v>125</v>
      </c>
      <c r="C11" s="228" t="s">
        <v>126</v>
      </c>
      <c r="D11" s="221" t="s">
        <v>94</v>
      </c>
      <c r="E11" s="221" t="s">
        <v>249</v>
      </c>
      <c r="F11" s="231"/>
      <c r="G11" s="221" t="s">
        <v>99</v>
      </c>
      <c r="H11" s="227" t="s">
        <v>127</v>
      </c>
      <c r="I11" s="222">
        <v>42604</v>
      </c>
      <c r="J11" s="221">
        <v>12</v>
      </c>
      <c r="K11" s="222">
        <f>IF(J11="","",DATE(YEAR(I11),MONTH(I11)+J11,DAY(I11)))</f>
        <v>42969</v>
      </c>
      <c r="L11" s="225">
        <v>2439.12</v>
      </c>
      <c r="M11" s="221" t="str">
        <f t="shared" ca="1" si="1"/>
        <v>Green</v>
      </c>
      <c r="N11" s="350" t="s">
        <v>320</v>
      </c>
      <c r="O11" s="244">
        <v>114918</v>
      </c>
      <c r="P11" s="244">
        <v>104215</v>
      </c>
      <c r="Q11" s="244" t="e">
        <f>VLOOKUP(A11,Finance!$A$3:$J$39,10,FALSE)</f>
        <v>#N/A</v>
      </c>
      <c r="R11" s="244">
        <v>50433</v>
      </c>
      <c r="S11" s="244">
        <v>104215</v>
      </c>
    </row>
    <row r="12" spans="1:19" ht="34.5" thickBot="1" x14ac:dyDescent="0.25">
      <c r="A12" s="227" t="s">
        <v>294</v>
      </c>
      <c r="B12" s="228"/>
      <c r="C12" s="228" t="s">
        <v>179</v>
      </c>
      <c r="D12" s="221" t="s">
        <v>92</v>
      </c>
      <c r="E12" s="221" t="s">
        <v>104</v>
      </c>
      <c r="F12" s="221"/>
      <c r="G12" s="221" t="s">
        <v>177</v>
      </c>
      <c r="H12" s="227"/>
      <c r="I12" s="222">
        <v>42613</v>
      </c>
      <c r="J12" s="221">
        <v>12</v>
      </c>
      <c r="K12" s="222">
        <f>IF(J12="","",DATE(YEAR(I12),MONTH(I12)+J12,DAY(I12)-1))</f>
        <v>42977</v>
      </c>
      <c r="L12" s="225"/>
      <c r="M12" s="221" t="str">
        <f t="shared" ca="1" si="1"/>
        <v>Green</v>
      </c>
      <c r="N12" s="350" t="s">
        <v>320</v>
      </c>
      <c r="O12" s="244" t="e">
        <f>VLOOKUP($A12,'Tracker Sheet'!$A$3:$BP$40,58,FALSE)</f>
        <v>#N/A</v>
      </c>
      <c r="P12" s="244" t="e">
        <f>VLOOKUP($A12,'Tracker Sheet'!$A$3:$BP$40,59,FALSE)</f>
        <v>#N/A</v>
      </c>
      <c r="Q12" s="244" t="e">
        <f>VLOOKUP($A12,'Tracker Sheet'!$A$3:$BP$40,60,FALSE)</f>
        <v>#N/A</v>
      </c>
      <c r="R12" s="244" t="e">
        <f>VLOOKUP($A12,'Tracker Sheet'!$A$3:$BP$40,61,FALSE)</f>
        <v>#N/A</v>
      </c>
      <c r="S12" s="244" t="e">
        <f>VLOOKUP($A12,'Tracker Sheet'!$A$3:$BP$40,62,FALSE)</f>
        <v>#N/A</v>
      </c>
    </row>
    <row r="13" spans="1:19" ht="79.5" thickBot="1" x14ac:dyDescent="0.25">
      <c r="A13" s="227" t="s">
        <v>304</v>
      </c>
      <c r="B13" s="228" t="s">
        <v>305</v>
      </c>
      <c r="C13" s="228" t="s">
        <v>333</v>
      </c>
      <c r="D13" s="221" t="s">
        <v>91</v>
      </c>
      <c r="E13" s="221" t="s">
        <v>105</v>
      </c>
      <c r="F13" s="221"/>
      <c r="G13" s="221" t="s">
        <v>100</v>
      </c>
      <c r="H13" s="227"/>
      <c r="I13" s="222">
        <v>42619</v>
      </c>
      <c r="J13" s="221">
        <v>12</v>
      </c>
      <c r="K13" s="222">
        <f>IF(J13="","",DATE(YEAR(I13),MONTH(I13)+J13,DAY(I13)-1))</f>
        <v>42983</v>
      </c>
      <c r="L13" s="225">
        <v>1062.5</v>
      </c>
      <c r="M13" s="221" t="str">
        <f t="shared" ca="1" si="1"/>
        <v>Green</v>
      </c>
      <c r="N13" s="350" t="s">
        <v>320</v>
      </c>
      <c r="O13" s="244" t="e">
        <f>VLOOKUP($A13,'Tracker Sheet'!$A$3:$BP$40,58,FALSE)</f>
        <v>#N/A</v>
      </c>
      <c r="P13" s="244" t="e">
        <f>VLOOKUP($A13,'Tracker Sheet'!$A$3:$BP$40,59,FALSE)</f>
        <v>#N/A</v>
      </c>
      <c r="Q13" s="244" t="e">
        <f>VLOOKUP($A13,'Tracker Sheet'!$A$3:$BP$40,60,FALSE)</f>
        <v>#N/A</v>
      </c>
      <c r="R13" s="244" t="e">
        <f>VLOOKUP($A13,'Tracker Sheet'!$A$3:$BP$40,61,FALSE)</f>
        <v>#N/A</v>
      </c>
      <c r="S13" s="244" t="e">
        <f>VLOOKUP($A13,'Tracker Sheet'!$A$3:$BP$40,62,FALSE)</f>
        <v>#N/A</v>
      </c>
    </row>
    <row r="14" spans="1:19" ht="34.5" hidden="1" thickBot="1" x14ac:dyDescent="0.25">
      <c r="A14" s="227" t="s">
        <v>161</v>
      </c>
      <c r="B14" s="228" t="s">
        <v>159</v>
      </c>
      <c r="C14" s="228" t="s">
        <v>162</v>
      </c>
      <c r="D14" s="221" t="s">
        <v>84</v>
      </c>
      <c r="E14" s="221" t="s">
        <v>102</v>
      </c>
      <c r="F14" s="231" t="s">
        <v>530</v>
      </c>
      <c r="G14" s="221" t="s">
        <v>99</v>
      </c>
      <c r="H14" s="227" t="s">
        <v>614</v>
      </c>
      <c r="I14" s="222">
        <v>42685</v>
      </c>
      <c r="J14" s="221">
        <v>6</v>
      </c>
      <c r="K14" s="222">
        <f>IF(J14="","",DATE(YEAR(I14),MONTH(I14)+J14,DAY(I14)-1))</f>
        <v>42865</v>
      </c>
      <c r="L14" s="225">
        <v>0</v>
      </c>
      <c r="M14" s="221" t="str">
        <f t="shared" ca="1" si="1"/>
        <v>Green</v>
      </c>
      <c r="N14" s="350" t="s">
        <v>318</v>
      </c>
      <c r="O14" s="244">
        <v>140000</v>
      </c>
      <c r="P14" s="244">
        <v>125711.25</v>
      </c>
      <c r="Q14" s="244">
        <v>131096</v>
      </c>
      <c r="R14" s="244">
        <v>140000</v>
      </c>
      <c r="S14" s="244">
        <v>125711.25</v>
      </c>
    </row>
    <row r="15" spans="1:19" ht="57" thickBot="1" x14ac:dyDescent="0.25">
      <c r="A15" s="227" t="s">
        <v>497</v>
      </c>
      <c r="B15" s="228" t="s">
        <v>170</v>
      </c>
      <c r="C15" s="228" t="s">
        <v>171</v>
      </c>
      <c r="D15" s="221" t="s">
        <v>86</v>
      </c>
      <c r="E15" s="221" t="s">
        <v>106</v>
      </c>
      <c r="F15" s="221"/>
      <c r="G15" s="221" t="s">
        <v>100</v>
      </c>
      <c r="H15" s="227"/>
      <c r="I15" s="222">
        <v>42692</v>
      </c>
      <c r="J15" s="221">
        <v>12</v>
      </c>
      <c r="K15" s="222">
        <f>IF(J15="","",DATE(YEAR(I15),MONTH(I15)+J15,DAY(I15)-1))</f>
        <v>43056</v>
      </c>
      <c r="L15" s="225"/>
      <c r="M15" s="221" t="str">
        <f t="shared" ca="1" si="1"/>
        <v>Green</v>
      </c>
      <c r="N15" s="350" t="s">
        <v>320</v>
      </c>
      <c r="O15" s="244" t="e">
        <f>VLOOKUP($A15,'Tracker Sheet'!$A$3:$BP$40,58,FALSE)</f>
        <v>#N/A</v>
      </c>
      <c r="P15" s="244" t="e">
        <f>VLOOKUP($A15,'Tracker Sheet'!$A$3:$BP$40,59,FALSE)</f>
        <v>#N/A</v>
      </c>
      <c r="Q15" s="244" t="e">
        <f>VLOOKUP($A15,'Tracker Sheet'!$A$3:$BP$40,60,FALSE)</f>
        <v>#N/A</v>
      </c>
      <c r="R15" s="244" t="e">
        <f>VLOOKUP($A15,'Tracker Sheet'!$A$3:$BP$40,61,FALSE)</f>
        <v>#N/A</v>
      </c>
      <c r="S15" s="244" t="e">
        <f>VLOOKUP($A15,'Tracker Sheet'!$A$3:$BP$40,62,FALSE)</f>
        <v>#N/A</v>
      </c>
    </row>
    <row r="16" spans="1:19" ht="34.5" thickBot="1" x14ac:dyDescent="0.25">
      <c r="A16" s="227" t="s">
        <v>158</v>
      </c>
      <c r="B16" s="228" t="s">
        <v>159</v>
      </c>
      <c r="C16" s="228" t="s">
        <v>160</v>
      </c>
      <c r="D16" s="221" t="s">
        <v>89</v>
      </c>
      <c r="E16" s="221" t="s">
        <v>101</v>
      </c>
      <c r="F16" s="221"/>
      <c r="G16" s="221" t="s">
        <v>99</v>
      </c>
      <c r="H16" s="227" t="s">
        <v>165</v>
      </c>
      <c r="I16" s="222">
        <v>42705</v>
      </c>
      <c r="J16" s="221">
        <v>12</v>
      </c>
      <c r="K16" s="222">
        <f>IF(J16="","",DATE(YEAR(I16),MONTH(I16)+J16,DAY(I16)))</f>
        <v>43070</v>
      </c>
      <c r="L16" s="225">
        <v>3428.63</v>
      </c>
      <c r="M16" s="225" t="str">
        <f t="shared" ca="1" si="1"/>
        <v>Green</v>
      </c>
      <c r="N16" s="350" t="s">
        <v>320</v>
      </c>
      <c r="O16" s="244">
        <v>175000</v>
      </c>
      <c r="P16" s="244">
        <v>165539</v>
      </c>
      <c r="Q16" s="244">
        <v>126281</v>
      </c>
      <c r="R16" s="244">
        <v>61226</v>
      </c>
      <c r="S16" s="244">
        <v>165539</v>
      </c>
    </row>
    <row r="17" spans="1:19" ht="34.5" hidden="1" thickBot="1" x14ac:dyDescent="0.25">
      <c r="A17" s="229" t="s">
        <v>150</v>
      </c>
      <c r="B17" s="230" t="s">
        <v>151</v>
      </c>
      <c r="C17" s="230" t="s">
        <v>152</v>
      </c>
      <c r="D17" s="231" t="s">
        <v>93</v>
      </c>
      <c r="E17" s="231" t="s">
        <v>101</v>
      </c>
      <c r="F17" s="231" t="s">
        <v>530</v>
      </c>
      <c r="G17" s="231" t="s">
        <v>99</v>
      </c>
      <c r="H17" s="227" t="s">
        <v>614</v>
      </c>
      <c r="I17" s="222">
        <v>42716</v>
      </c>
      <c r="J17" s="221">
        <v>12</v>
      </c>
      <c r="K17" s="222">
        <f t="shared" ref="K17:K39" si="2">IF(J17="","",DATE(YEAR(I17),MONTH(I17)+J17,DAY(I17)-1))</f>
        <v>43080</v>
      </c>
      <c r="L17" s="225">
        <v>0</v>
      </c>
      <c r="M17" s="221" t="str">
        <f t="shared" ca="1" si="1"/>
        <v>Green</v>
      </c>
      <c r="N17" s="350" t="s">
        <v>318</v>
      </c>
      <c r="O17" s="345">
        <v>180111</v>
      </c>
      <c r="P17" s="345">
        <v>179311</v>
      </c>
      <c r="Q17" s="345">
        <v>124370</v>
      </c>
      <c r="R17" s="345">
        <v>179311</v>
      </c>
      <c r="S17" s="345">
        <v>171587</v>
      </c>
    </row>
    <row r="18" spans="1:19" ht="34.5" thickBot="1" x14ac:dyDescent="0.25">
      <c r="A18" s="227" t="s">
        <v>141</v>
      </c>
      <c r="B18" s="228" t="s">
        <v>142</v>
      </c>
      <c r="C18" s="228" t="s">
        <v>143</v>
      </c>
      <c r="D18" s="221" t="s">
        <v>92</v>
      </c>
      <c r="E18" s="221" t="s">
        <v>249</v>
      </c>
      <c r="F18" s="221" t="s">
        <v>529</v>
      </c>
      <c r="G18" s="221" t="s">
        <v>99</v>
      </c>
      <c r="H18" s="227" t="s">
        <v>132</v>
      </c>
      <c r="I18" s="222">
        <v>42720</v>
      </c>
      <c r="J18" s="221">
        <v>12</v>
      </c>
      <c r="K18" s="222">
        <f t="shared" si="2"/>
        <v>43084</v>
      </c>
      <c r="L18" s="225">
        <v>1807.19</v>
      </c>
      <c r="M18" s="221" t="str">
        <f t="shared" ca="1" si="1"/>
        <v>Green</v>
      </c>
      <c r="N18" s="350" t="s">
        <v>320</v>
      </c>
      <c r="O18" s="346">
        <v>131343</v>
      </c>
      <c r="P18" s="346">
        <v>113674</v>
      </c>
      <c r="Q18" s="346">
        <v>96973</v>
      </c>
      <c r="R18" s="346">
        <v>81430</v>
      </c>
      <c r="S18" s="346">
        <v>113647</v>
      </c>
    </row>
    <row r="19" spans="1:19" ht="15.75" outlineLevel="1" thickBot="1" x14ac:dyDescent="0.25">
      <c r="A19" s="227"/>
      <c r="B19" s="228"/>
      <c r="C19" s="228"/>
      <c r="D19" s="221"/>
      <c r="E19" s="221"/>
      <c r="F19" s="221"/>
      <c r="G19" s="221"/>
      <c r="H19" s="227"/>
      <c r="I19" s="222"/>
      <c r="J19" s="221"/>
      <c r="K19" s="222" t="str">
        <f t="shared" si="2"/>
        <v/>
      </c>
      <c r="L19" s="225"/>
      <c r="M19" s="221" t="str">
        <f t="shared" ca="1" si="1"/>
        <v/>
      </c>
      <c r="N19" s="344"/>
      <c r="O19" s="346"/>
      <c r="P19" s="346"/>
      <c r="Q19" s="346"/>
      <c r="R19" s="346"/>
      <c r="S19" s="346"/>
    </row>
    <row r="20" spans="1:19" ht="15.75" outlineLevel="1" thickBot="1" x14ac:dyDescent="0.25">
      <c r="A20" s="227"/>
      <c r="B20" s="228"/>
      <c r="C20" s="228"/>
      <c r="D20" s="221"/>
      <c r="E20" s="221"/>
      <c r="F20" s="221"/>
      <c r="G20" s="221"/>
      <c r="H20" s="227"/>
      <c r="I20" s="222"/>
      <c r="J20" s="221"/>
      <c r="K20" s="222" t="str">
        <f t="shared" si="2"/>
        <v/>
      </c>
      <c r="L20" s="225"/>
      <c r="M20" s="221" t="str">
        <f t="shared" ca="1" si="1"/>
        <v/>
      </c>
      <c r="N20" s="344"/>
      <c r="O20" s="346"/>
      <c r="P20" s="346"/>
      <c r="Q20" s="346"/>
      <c r="R20" s="346"/>
      <c r="S20" s="346"/>
    </row>
    <row r="21" spans="1:19" ht="15.75" outlineLevel="1" thickBot="1" x14ac:dyDescent="0.25">
      <c r="A21" s="227"/>
      <c r="B21" s="228"/>
      <c r="C21" s="228"/>
      <c r="D21" s="221"/>
      <c r="E21" s="221"/>
      <c r="F21" s="221"/>
      <c r="G21" s="221"/>
      <c r="H21" s="227"/>
      <c r="I21" s="222"/>
      <c r="J21" s="221"/>
      <c r="K21" s="222" t="str">
        <f t="shared" si="2"/>
        <v/>
      </c>
      <c r="L21" s="225"/>
      <c r="M21" s="221" t="str">
        <f t="shared" ca="1" si="1"/>
        <v/>
      </c>
      <c r="N21" s="344"/>
      <c r="O21" s="346"/>
      <c r="P21" s="346"/>
      <c r="Q21" s="346"/>
      <c r="R21" s="346"/>
      <c r="S21" s="346"/>
    </row>
    <row r="22" spans="1:19" ht="15.75" outlineLevel="1" thickBot="1" x14ac:dyDescent="0.25">
      <c r="A22" s="227"/>
      <c r="B22" s="228"/>
      <c r="C22" s="228"/>
      <c r="D22" s="221"/>
      <c r="E22" s="221"/>
      <c r="F22" s="221"/>
      <c r="G22" s="221"/>
      <c r="H22" s="227"/>
      <c r="I22" s="222"/>
      <c r="J22" s="221"/>
      <c r="K22" s="222" t="str">
        <f t="shared" si="2"/>
        <v/>
      </c>
      <c r="L22" s="225"/>
      <c r="M22" s="221" t="str">
        <f t="shared" ca="1" si="1"/>
        <v/>
      </c>
      <c r="N22" s="344"/>
      <c r="O22" s="346"/>
      <c r="P22" s="346"/>
      <c r="Q22" s="346"/>
      <c r="R22" s="346"/>
      <c r="S22" s="346"/>
    </row>
    <row r="23" spans="1:19" ht="15.75" outlineLevel="1" thickBot="1" x14ac:dyDescent="0.25">
      <c r="A23" s="227"/>
      <c r="B23" s="228"/>
      <c r="C23" s="228"/>
      <c r="D23" s="221"/>
      <c r="E23" s="221"/>
      <c r="F23" s="221"/>
      <c r="G23" s="221"/>
      <c r="H23" s="227"/>
      <c r="I23" s="222"/>
      <c r="J23" s="221"/>
      <c r="K23" s="222" t="str">
        <f t="shared" si="2"/>
        <v/>
      </c>
      <c r="L23" s="225"/>
      <c r="M23" s="221" t="str">
        <f t="shared" ca="1" si="1"/>
        <v/>
      </c>
      <c r="N23" s="344"/>
      <c r="O23" s="346"/>
      <c r="P23" s="346"/>
      <c r="Q23" s="346"/>
      <c r="R23" s="346"/>
      <c r="S23" s="346"/>
    </row>
    <row r="24" spans="1:19" ht="15.75" outlineLevel="1" thickBot="1" x14ac:dyDescent="0.25">
      <c r="A24" s="227"/>
      <c r="B24" s="228"/>
      <c r="C24" s="228"/>
      <c r="D24" s="221"/>
      <c r="E24" s="221"/>
      <c r="F24" s="221"/>
      <c r="G24" s="221"/>
      <c r="H24" s="227"/>
      <c r="I24" s="222"/>
      <c r="J24" s="221"/>
      <c r="K24" s="222" t="str">
        <f t="shared" si="2"/>
        <v/>
      </c>
      <c r="L24" s="225"/>
      <c r="M24" s="221" t="str">
        <f t="shared" ca="1" si="1"/>
        <v/>
      </c>
      <c r="N24" s="344"/>
      <c r="O24" s="346"/>
      <c r="P24" s="346"/>
      <c r="Q24" s="346"/>
      <c r="R24" s="346"/>
      <c r="S24" s="346"/>
    </row>
    <row r="25" spans="1:19" ht="15.75" outlineLevel="1" thickBot="1" x14ac:dyDescent="0.25">
      <c r="A25" s="227"/>
      <c r="B25" s="228"/>
      <c r="C25" s="228"/>
      <c r="D25" s="221"/>
      <c r="E25" s="221"/>
      <c r="F25" s="221"/>
      <c r="G25" s="221"/>
      <c r="H25" s="227"/>
      <c r="I25" s="222"/>
      <c r="J25" s="221"/>
      <c r="K25" s="222" t="str">
        <f t="shared" si="2"/>
        <v/>
      </c>
      <c r="L25" s="225"/>
      <c r="M25" s="221" t="str">
        <f t="shared" ca="1" si="1"/>
        <v/>
      </c>
      <c r="N25" s="344"/>
      <c r="O25" s="346"/>
      <c r="P25" s="346"/>
      <c r="Q25" s="346"/>
      <c r="R25" s="346"/>
      <c r="S25" s="346"/>
    </row>
    <row r="26" spans="1:19" ht="15.75" outlineLevel="1" thickBot="1" x14ac:dyDescent="0.25">
      <c r="A26" s="227"/>
      <c r="B26" s="228"/>
      <c r="C26" s="228"/>
      <c r="D26" s="221"/>
      <c r="E26" s="221"/>
      <c r="F26" s="221"/>
      <c r="G26" s="221"/>
      <c r="H26" s="227"/>
      <c r="I26" s="222"/>
      <c r="J26" s="221"/>
      <c r="K26" s="222" t="str">
        <f t="shared" si="2"/>
        <v/>
      </c>
      <c r="L26" s="225"/>
      <c r="M26" s="221" t="str">
        <f t="shared" ca="1" si="1"/>
        <v/>
      </c>
      <c r="N26" s="344"/>
      <c r="O26" s="346"/>
      <c r="P26" s="346"/>
      <c r="Q26" s="346"/>
      <c r="R26" s="346"/>
      <c r="S26" s="346"/>
    </row>
    <row r="27" spans="1:19" ht="15.75" outlineLevel="1" thickBot="1" x14ac:dyDescent="0.25">
      <c r="A27" s="227"/>
      <c r="B27" s="228"/>
      <c r="C27" s="228"/>
      <c r="D27" s="221"/>
      <c r="E27" s="221"/>
      <c r="F27" s="221"/>
      <c r="G27" s="221"/>
      <c r="H27" s="227"/>
      <c r="I27" s="222"/>
      <c r="J27" s="221"/>
      <c r="K27" s="222" t="str">
        <f t="shared" si="2"/>
        <v/>
      </c>
      <c r="L27" s="225"/>
      <c r="M27" s="221" t="str">
        <f t="shared" ca="1" si="1"/>
        <v/>
      </c>
      <c r="N27" s="344"/>
      <c r="O27" s="346"/>
      <c r="P27" s="346"/>
      <c r="Q27" s="346"/>
      <c r="R27" s="346"/>
      <c r="S27" s="346"/>
    </row>
    <row r="28" spans="1:19" ht="15.75" outlineLevel="1" thickBot="1" x14ac:dyDescent="0.25">
      <c r="A28" s="227"/>
      <c r="B28" s="228"/>
      <c r="C28" s="228"/>
      <c r="D28" s="221"/>
      <c r="E28" s="221"/>
      <c r="F28" s="221"/>
      <c r="G28" s="221"/>
      <c r="H28" s="227"/>
      <c r="I28" s="222"/>
      <c r="J28" s="221"/>
      <c r="K28" s="222" t="str">
        <f t="shared" si="2"/>
        <v/>
      </c>
      <c r="L28" s="225"/>
      <c r="M28" s="221" t="str">
        <f t="shared" ca="1" si="1"/>
        <v/>
      </c>
      <c r="N28" s="344"/>
      <c r="O28" s="346"/>
      <c r="P28" s="346"/>
      <c r="Q28" s="346"/>
      <c r="R28" s="346"/>
      <c r="S28" s="346"/>
    </row>
    <row r="29" spans="1:19" ht="15.75" outlineLevel="1" thickBot="1" x14ac:dyDescent="0.25">
      <c r="A29" s="227"/>
      <c r="B29" s="228"/>
      <c r="C29" s="228"/>
      <c r="D29" s="221"/>
      <c r="E29" s="221"/>
      <c r="F29" s="221"/>
      <c r="G29" s="221"/>
      <c r="H29" s="227"/>
      <c r="I29" s="222"/>
      <c r="J29" s="221"/>
      <c r="K29" s="222" t="str">
        <f t="shared" si="2"/>
        <v/>
      </c>
      <c r="L29" s="225"/>
      <c r="M29" s="221" t="str">
        <f t="shared" ca="1" si="1"/>
        <v/>
      </c>
      <c r="N29" s="344"/>
      <c r="O29" s="346"/>
      <c r="P29" s="346"/>
      <c r="Q29" s="346"/>
      <c r="R29" s="346"/>
      <c r="S29" s="346"/>
    </row>
    <row r="30" spans="1:19" ht="15.75" outlineLevel="1" thickBot="1" x14ac:dyDescent="0.25">
      <c r="A30" s="227"/>
      <c r="B30" s="228"/>
      <c r="C30" s="228"/>
      <c r="D30" s="221"/>
      <c r="E30" s="221"/>
      <c r="F30" s="221"/>
      <c r="G30" s="221"/>
      <c r="H30" s="227"/>
      <c r="I30" s="222"/>
      <c r="J30" s="221"/>
      <c r="K30" s="222" t="str">
        <f t="shared" si="2"/>
        <v/>
      </c>
      <c r="L30" s="225"/>
      <c r="M30" s="221" t="str">
        <f t="shared" ca="1" si="1"/>
        <v/>
      </c>
      <c r="N30" s="344"/>
      <c r="O30" s="346"/>
      <c r="P30" s="346"/>
      <c r="Q30" s="346"/>
      <c r="R30" s="346"/>
      <c r="S30" s="346"/>
    </row>
    <row r="31" spans="1:19" ht="15.75" outlineLevel="1" thickBot="1" x14ac:dyDescent="0.25">
      <c r="A31" s="227"/>
      <c r="B31" s="228"/>
      <c r="C31" s="228"/>
      <c r="D31" s="221"/>
      <c r="E31" s="221"/>
      <c r="F31" s="221"/>
      <c r="G31" s="221"/>
      <c r="H31" s="227"/>
      <c r="I31" s="222"/>
      <c r="J31" s="221"/>
      <c r="K31" s="222" t="str">
        <f t="shared" si="2"/>
        <v/>
      </c>
      <c r="L31" s="225"/>
      <c r="M31" s="221" t="str">
        <f t="shared" ca="1" si="1"/>
        <v/>
      </c>
      <c r="N31" s="344"/>
      <c r="O31" s="346"/>
      <c r="P31" s="346"/>
      <c r="Q31" s="346"/>
      <c r="R31" s="346"/>
      <c r="S31" s="346"/>
    </row>
    <row r="32" spans="1:19" ht="15.75" outlineLevel="1" thickBot="1" x14ac:dyDescent="0.25">
      <c r="A32" s="227"/>
      <c r="B32" s="228"/>
      <c r="C32" s="228"/>
      <c r="D32" s="221"/>
      <c r="E32" s="221"/>
      <c r="F32" s="221"/>
      <c r="G32" s="221"/>
      <c r="H32" s="227"/>
      <c r="I32" s="222"/>
      <c r="J32" s="221"/>
      <c r="K32" s="222" t="str">
        <f t="shared" si="2"/>
        <v/>
      </c>
      <c r="L32" s="225"/>
      <c r="M32" s="221" t="str">
        <f t="shared" ca="1" si="1"/>
        <v/>
      </c>
      <c r="N32" s="344"/>
      <c r="O32" s="346"/>
      <c r="P32" s="346"/>
      <c r="Q32" s="346"/>
      <c r="R32" s="346"/>
      <c r="S32" s="346"/>
    </row>
    <row r="33" spans="1:19" ht="15.75" outlineLevel="1" thickBot="1" x14ac:dyDescent="0.25">
      <c r="A33" s="227"/>
      <c r="B33" s="228"/>
      <c r="C33" s="228"/>
      <c r="D33" s="221"/>
      <c r="E33" s="221"/>
      <c r="F33" s="221"/>
      <c r="G33" s="221"/>
      <c r="H33" s="227"/>
      <c r="I33" s="222"/>
      <c r="J33" s="221"/>
      <c r="K33" s="222" t="str">
        <f t="shared" si="2"/>
        <v/>
      </c>
      <c r="L33" s="225"/>
      <c r="M33" s="221" t="str">
        <f t="shared" ca="1" si="1"/>
        <v/>
      </c>
      <c r="N33" s="344"/>
      <c r="O33" s="346"/>
      <c r="P33" s="346"/>
      <c r="Q33" s="346"/>
      <c r="R33" s="346"/>
      <c r="S33" s="346"/>
    </row>
    <row r="34" spans="1:19" ht="15.75" outlineLevel="1" thickBot="1" x14ac:dyDescent="0.25">
      <c r="A34" s="227"/>
      <c r="B34" s="228"/>
      <c r="C34" s="228"/>
      <c r="D34" s="221"/>
      <c r="E34" s="221"/>
      <c r="F34" s="221"/>
      <c r="G34" s="221"/>
      <c r="H34" s="227"/>
      <c r="I34" s="222"/>
      <c r="J34" s="221"/>
      <c r="K34" s="222" t="str">
        <f t="shared" si="2"/>
        <v/>
      </c>
      <c r="L34" s="225"/>
      <c r="M34" s="221" t="str">
        <f t="shared" ca="1" si="1"/>
        <v/>
      </c>
      <c r="N34" s="344"/>
      <c r="O34" s="346"/>
      <c r="P34" s="346"/>
      <c r="Q34" s="346"/>
      <c r="R34" s="346"/>
      <c r="S34" s="346"/>
    </row>
    <row r="35" spans="1:19" ht="15.75" outlineLevel="1" thickBot="1" x14ac:dyDescent="0.25">
      <c r="A35" s="227"/>
      <c r="B35" s="228"/>
      <c r="C35" s="228"/>
      <c r="D35" s="221"/>
      <c r="E35" s="221"/>
      <c r="F35" s="221"/>
      <c r="G35" s="221"/>
      <c r="H35" s="227"/>
      <c r="I35" s="222"/>
      <c r="J35" s="221"/>
      <c r="K35" s="222" t="str">
        <f t="shared" si="2"/>
        <v/>
      </c>
      <c r="L35" s="225"/>
      <c r="M35" s="221" t="str">
        <f t="shared" ca="1" si="1"/>
        <v/>
      </c>
      <c r="N35" s="344"/>
      <c r="O35" s="346"/>
      <c r="P35" s="346"/>
      <c r="Q35" s="346"/>
      <c r="R35" s="346"/>
      <c r="S35" s="346"/>
    </row>
    <row r="36" spans="1:19" ht="15.75" outlineLevel="1" thickBot="1" x14ac:dyDescent="0.25">
      <c r="A36" s="227"/>
      <c r="B36" s="228"/>
      <c r="C36" s="228"/>
      <c r="D36" s="221"/>
      <c r="E36" s="221"/>
      <c r="F36" s="221"/>
      <c r="G36" s="221"/>
      <c r="H36" s="227"/>
      <c r="I36" s="222"/>
      <c r="J36" s="221"/>
      <c r="K36" s="222" t="str">
        <f t="shared" si="2"/>
        <v/>
      </c>
      <c r="L36" s="225"/>
      <c r="M36" s="221" t="str">
        <f t="shared" ca="1" si="1"/>
        <v/>
      </c>
      <c r="N36" s="344"/>
      <c r="O36" s="346"/>
      <c r="P36" s="346"/>
      <c r="Q36" s="346"/>
      <c r="R36" s="346"/>
      <c r="S36" s="346"/>
    </row>
    <row r="37" spans="1:19" ht="15.75" outlineLevel="1" thickBot="1" x14ac:dyDescent="0.25">
      <c r="A37" s="227"/>
      <c r="B37" s="228"/>
      <c r="C37" s="228"/>
      <c r="D37" s="221"/>
      <c r="E37" s="221"/>
      <c r="F37" s="221"/>
      <c r="G37" s="221"/>
      <c r="H37" s="227"/>
      <c r="I37" s="222"/>
      <c r="J37" s="221"/>
      <c r="K37" s="222" t="str">
        <f t="shared" si="2"/>
        <v/>
      </c>
      <c r="L37" s="225"/>
      <c r="M37" s="221" t="str">
        <f t="shared" ca="1" si="1"/>
        <v/>
      </c>
      <c r="N37" s="344"/>
      <c r="O37" s="346"/>
      <c r="P37" s="346"/>
      <c r="Q37" s="346"/>
      <c r="R37" s="346"/>
      <c r="S37" s="346"/>
    </row>
    <row r="38" spans="1:19" ht="15.75" outlineLevel="1" thickBot="1" x14ac:dyDescent="0.25">
      <c r="A38" s="227"/>
      <c r="B38" s="228"/>
      <c r="C38" s="228"/>
      <c r="D38" s="221"/>
      <c r="E38" s="221"/>
      <c r="F38" s="221"/>
      <c r="G38" s="221"/>
      <c r="H38" s="227"/>
      <c r="I38" s="222"/>
      <c r="J38" s="221"/>
      <c r="K38" s="222" t="str">
        <f t="shared" si="2"/>
        <v/>
      </c>
      <c r="L38" s="225"/>
      <c r="M38" s="221" t="str">
        <f t="shared" ca="1" si="1"/>
        <v/>
      </c>
      <c r="N38" s="344"/>
      <c r="O38" s="346"/>
      <c r="P38" s="346"/>
      <c r="Q38" s="346"/>
      <c r="R38" s="346"/>
      <c r="S38" s="346"/>
    </row>
    <row r="39" spans="1:19" ht="15.75" outlineLevel="1" thickBot="1" x14ac:dyDescent="0.25">
      <c r="A39" s="227"/>
      <c r="B39" s="228"/>
      <c r="C39" s="228"/>
      <c r="D39" s="221"/>
      <c r="E39" s="221"/>
      <c r="F39" s="221"/>
      <c r="G39" s="221"/>
      <c r="H39" s="227"/>
      <c r="I39" s="222"/>
      <c r="J39" s="221"/>
      <c r="K39" s="222" t="str">
        <f t="shared" si="2"/>
        <v/>
      </c>
      <c r="L39" s="225"/>
      <c r="M39" s="221" t="str">
        <f t="shared" ca="1" si="1"/>
        <v/>
      </c>
      <c r="N39" s="344"/>
      <c r="O39" s="346"/>
      <c r="P39" s="346"/>
      <c r="Q39" s="346"/>
      <c r="R39" s="346"/>
      <c r="S39" s="346"/>
    </row>
    <row r="40" spans="1:19" ht="20.25" customHeight="1" thickBot="1" x14ac:dyDescent="0.25">
      <c r="A40" s="223"/>
      <c r="B40" s="347"/>
      <c r="C40" s="347"/>
      <c r="D40" s="223"/>
      <c r="E40" s="223"/>
      <c r="F40" s="223"/>
      <c r="G40" s="223"/>
      <c r="H40" s="435"/>
      <c r="I40" s="436"/>
      <c r="J40" s="437"/>
      <c r="K40" s="355" t="s">
        <v>199</v>
      </c>
      <c r="L40" s="354">
        <f>SUM(L3:L39)</f>
        <v>8737.44</v>
      </c>
      <c r="M40" s="223" t="str">
        <f t="shared" ca="1" si="1"/>
        <v/>
      </c>
      <c r="N40" s="353"/>
      <c r="O40" s="226"/>
      <c r="P40" s="226"/>
      <c r="Q40" s="226"/>
      <c r="R40" s="226"/>
      <c r="S40" s="226"/>
    </row>
    <row r="41" spans="1:19" x14ac:dyDescent="0.2">
      <c r="A41" s="223"/>
      <c r="B41" s="347"/>
      <c r="C41" s="347"/>
      <c r="D41" s="223"/>
      <c r="E41" s="223"/>
      <c r="F41" s="223"/>
      <c r="G41" s="223"/>
      <c r="H41" s="223"/>
      <c r="I41" s="348"/>
      <c r="J41" s="223"/>
      <c r="K41" s="348" t="str">
        <f>IF(J41="","",DATE(YEAR(I41),MONTH(I41)+J41,DAY(I41)-1))</f>
        <v/>
      </c>
      <c r="L41" s="226"/>
      <c r="M41" s="223" t="str">
        <f t="shared" ca="1" si="1"/>
        <v/>
      </c>
      <c r="N41" s="223"/>
      <c r="O41" s="226"/>
      <c r="P41" s="226"/>
      <c r="Q41" s="226"/>
      <c r="R41" s="226"/>
      <c r="S41" s="226"/>
    </row>
    <row r="42" spans="1:19" x14ac:dyDescent="0.2">
      <c r="A42" s="223"/>
      <c r="B42" s="347"/>
      <c r="C42" s="347"/>
      <c r="D42" s="223"/>
      <c r="E42" s="223"/>
      <c r="F42" s="223"/>
      <c r="G42" s="223"/>
      <c r="H42" s="223"/>
      <c r="I42" s="348"/>
      <c r="J42" s="223"/>
      <c r="K42" s="351"/>
      <c r="L42" s="352"/>
      <c r="M42" s="223" t="str">
        <f t="shared" ca="1" si="1"/>
        <v/>
      </c>
      <c r="N42" s="223"/>
      <c r="O42" s="226"/>
      <c r="P42" s="226"/>
      <c r="Q42" s="226"/>
      <c r="R42" s="226"/>
      <c r="S42" s="226"/>
    </row>
  </sheetData>
  <sheetProtection autoFilter="0"/>
  <protectedRanges>
    <protectedRange sqref="A5:G42" name="Range18"/>
    <protectedRange sqref="A3:G3" name="Range18_3"/>
    <protectedRange sqref="A4:J4 H3:J3 H5:J42 M3:N42 L3:L39 L41:L42" name="Range18_2"/>
  </protectedRanges>
  <autoFilter ref="A2:S43">
    <filterColumn colId="13">
      <filters>
        <filter val="NO"/>
      </filters>
    </filterColumn>
    <sortState ref="A3:S42">
      <sortCondition ref="K2:K43"/>
    </sortState>
  </autoFilter>
  <dataConsolidate/>
  <mergeCells count="4">
    <mergeCell ref="O1:S1"/>
    <mergeCell ref="A1:G1"/>
    <mergeCell ref="H1:N1"/>
    <mergeCell ref="H40:J40"/>
  </mergeCells>
  <conditionalFormatting sqref="N3:N42">
    <cfRule type="cellIs" dxfId="93" priority="1" operator="equal">
      <formula>"YES"</formula>
    </cfRule>
    <cfRule type="expression" dxfId="92" priority="2">
      <formula>M3="Green"</formula>
    </cfRule>
    <cfRule type="expression" dxfId="91" priority="3">
      <formula>M3="Red"</formula>
    </cfRule>
  </conditionalFormatting>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'Project Managers &amp; FacOps Reps'!$A$1:$A$20</xm:f>
          </x14:formula1>
          <xm:sqref>F3:F4 E3:E26 E27:F42 F6:F26</xm:sqref>
        </x14:dataValidation>
        <x14:dataValidation type="list" allowBlank="1" showInputMessage="1" showErrorMessage="1">
          <x14:formula1>
            <xm:f>Sponsors!$A$1:$A$19</xm:f>
          </x14:formula1>
          <xm:sqref>G3:G42</xm:sqref>
        </x14:dataValidation>
        <x14:dataValidation type="list" allowBlank="1" showInputMessage="1" showErrorMessage="1">
          <x14:formula1>
            <xm:f>'Head Office Buildings'!$A$1:$A$96</xm:f>
          </x14:formula1>
          <xm:sqref>D3:D42</xm:sqref>
        </x14:dataValidation>
        <x14:dataValidation type="list" allowBlank="1" showInputMessage="1" showErrorMessage="1">
          <x14:formula1>
            <xm:f>'Rag Coding'!$D$1:$D$2</xm:f>
          </x14:formula1>
          <xm:sqref>N3:N42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70C0"/>
  </sheetPr>
  <dimension ref="A1:CA51"/>
  <sheetViews>
    <sheetView zoomScaleNormal="100" workbookViewId="0">
      <pane xSplit="7" ySplit="2" topLeftCell="H15" activePane="bottomRight" state="frozen"/>
      <selection pane="topRight" activeCell="G1" sqref="G1"/>
      <selection pane="bottomLeft" activeCell="A3" sqref="A3"/>
      <selection pane="bottomRight" activeCell="A32" sqref="A32:XFD32"/>
    </sheetView>
  </sheetViews>
  <sheetFormatPr defaultRowHeight="15" outlineLevelCol="1" x14ac:dyDescent="0.2"/>
  <cols>
    <col min="1" max="1" width="11.6640625" style="26" customWidth="1"/>
    <col min="2" max="2" width="8.109375" style="26" customWidth="1"/>
    <col min="3" max="3" width="9.6640625" style="26" customWidth="1"/>
    <col min="4" max="4" width="10" style="26" customWidth="1"/>
    <col min="5" max="5" width="8.88671875" style="26"/>
    <col min="6" max="6" width="7.77734375" style="26" customWidth="1"/>
    <col min="7" max="7" width="10" style="26" bestFit="1" customWidth="1"/>
    <col min="8" max="8" width="10" style="247" customWidth="1"/>
    <col min="9" max="10" width="10" style="26" customWidth="1"/>
    <col min="11" max="12" width="10" style="26" hidden="1" customWidth="1" outlineLevel="1"/>
    <col min="13" max="13" width="7.77734375" style="26" customWidth="1" collapsed="1"/>
    <col min="14" max="19" width="7.77734375" style="26" customWidth="1"/>
    <col min="20" max="22" width="8.88671875" style="26" hidden="1" customWidth="1" outlineLevel="1"/>
    <col min="23" max="23" width="5.77734375" style="26" customWidth="1" collapsed="1"/>
    <col min="24" max="30" width="7.77734375" style="26" customWidth="1"/>
    <col min="31" max="33" width="8.88671875" style="26" hidden="1" customWidth="1" outlineLevel="1"/>
    <col min="34" max="34" width="5.77734375" style="26" customWidth="1" collapsed="1"/>
    <col min="35" max="41" width="7.77734375" style="26" customWidth="1"/>
    <col min="42" max="44" width="8.88671875" style="26" hidden="1" customWidth="1" outlineLevel="1"/>
    <col min="45" max="45" width="5.77734375" style="26" customWidth="1" collapsed="1"/>
    <col min="46" max="49" width="7.77734375" style="26" customWidth="1"/>
    <col min="50" max="50" width="8.21875" style="26" customWidth="1"/>
    <col min="51" max="51" width="12.33203125" style="26" customWidth="1"/>
    <col min="52" max="53" width="7.77734375" style="26" customWidth="1"/>
    <col min="54" max="56" width="8.88671875" style="26" hidden="1" customWidth="1" outlineLevel="1"/>
    <col min="57" max="57" width="5.77734375" style="26" customWidth="1" collapsed="1"/>
    <col min="58" max="58" width="8.33203125" style="67" customWidth="1"/>
    <col min="59" max="59" width="8.33203125" style="68" customWidth="1"/>
    <col min="60" max="60" width="8.33203125" style="69" customWidth="1"/>
    <col min="61" max="61" width="10.44140625" style="26" hidden="1" customWidth="1" outlineLevel="1"/>
    <col min="62" max="62" width="7.77734375" style="26" hidden="1" customWidth="1" outlineLevel="1"/>
    <col min="63" max="64" width="8.88671875" style="26" hidden="1" customWidth="1" outlineLevel="1"/>
    <col min="65" max="65" width="5.77734375" style="26" customWidth="1" collapsed="1"/>
    <col min="66" max="66" width="28.77734375" style="26" customWidth="1"/>
    <col min="67" max="67" width="51.6640625" style="120" customWidth="1"/>
    <col min="68" max="68" width="17" style="26" customWidth="1"/>
    <col min="69" max="69" width="17.44140625" style="26" customWidth="1"/>
    <col min="70" max="78" width="8.88671875" style="26" customWidth="1" outlineLevel="1"/>
    <col min="79" max="16384" width="8.88671875" style="26"/>
  </cols>
  <sheetData>
    <row r="1" spans="1:79" ht="15" customHeight="1" x14ac:dyDescent="0.2">
      <c r="A1" s="413" t="s">
        <v>11</v>
      </c>
      <c r="B1" s="414"/>
      <c r="C1" s="414"/>
      <c r="D1" s="414"/>
      <c r="E1" s="414"/>
      <c r="F1" s="414"/>
      <c r="G1" s="414"/>
      <c r="H1" s="438" t="s">
        <v>339</v>
      </c>
      <c r="I1" s="439"/>
      <c r="J1" s="440"/>
      <c r="K1" s="160"/>
      <c r="L1" s="161"/>
      <c r="M1" s="441" t="s">
        <v>6</v>
      </c>
      <c r="N1" s="424"/>
      <c r="O1" s="424"/>
      <c r="P1" s="424"/>
      <c r="Q1" s="424"/>
      <c r="R1" s="424"/>
      <c r="S1" s="424"/>
      <c r="T1" s="424"/>
      <c r="U1" s="424"/>
      <c r="V1" s="424"/>
      <c r="W1" s="425"/>
      <c r="X1" s="426" t="s">
        <v>185</v>
      </c>
      <c r="Y1" s="427"/>
      <c r="Z1" s="427"/>
      <c r="AA1" s="427"/>
      <c r="AB1" s="427"/>
      <c r="AC1" s="427"/>
      <c r="AD1" s="427"/>
      <c r="AE1" s="427"/>
      <c r="AF1" s="427"/>
      <c r="AG1" s="427"/>
      <c r="AH1" s="428"/>
      <c r="AI1" s="442" t="s">
        <v>184</v>
      </c>
      <c r="AJ1" s="443"/>
      <c r="AK1" s="443"/>
      <c r="AL1" s="443"/>
      <c r="AM1" s="443"/>
      <c r="AN1" s="443"/>
      <c r="AO1" s="443"/>
      <c r="AP1" s="443"/>
      <c r="AQ1" s="443"/>
      <c r="AR1" s="443"/>
      <c r="AS1" s="444"/>
      <c r="AT1" s="445" t="s">
        <v>5</v>
      </c>
      <c r="AU1" s="446"/>
      <c r="AV1" s="446"/>
      <c r="AW1" s="446"/>
      <c r="AX1" s="446"/>
      <c r="AY1" s="446"/>
      <c r="AZ1" s="446"/>
      <c r="BA1" s="446"/>
      <c r="BB1" s="446"/>
      <c r="BC1" s="446"/>
      <c r="BD1" s="446"/>
      <c r="BE1" s="447"/>
      <c r="BF1" s="418" t="s">
        <v>7</v>
      </c>
      <c r="BG1" s="418"/>
      <c r="BH1" s="418"/>
      <c r="BI1" s="418"/>
      <c r="BJ1" s="418"/>
      <c r="BK1" s="418"/>
      <c r="BL1" s="418"/>
      <c r="BM1" s="418"/>
      <c r="BN1" s="419" t="s">
        <v>14</v>
      </c>
      <c r="BO1" s="420"/>
      <c r="BP1" s="412" t="s">
        <v>114</v>
      </c>
      <c r="BQ1" s="412"/>
      <c r="BR1" s="411" t="s">
        <v>192</v>
      </c>
      <c r="BS1" s="411"/>
      <c r="BT1" s="411"/>
      <c r="BU1" s="411"/>
      <c r="BV1" s="411"/>
      <c r="BW1" s="411"/>
      <c r="BX1" s="411"/>
      <c r="BY1" s="411"/>
      <c r="BZ1" s="411"/>
    </row>
    <row r="2" spans="1:79" ht="45" x14ac:dyDescent="0.2">
      <c r="A2" s="42" t="s">
        <v>8</v>
      </c>
      <c r="B2" s="43" t="s">
        <v>9</v>
      </c>
      <c r="C2" s="43" t="s">
        <v>10</v>
      </c>
      <c r="D2" s="43" t="s">
        <v>18</v>
      </c>
      <c r="E2" s="43" t="s">
        <v>20</v>
      </c>
      <c r="F2" s="43" t="s">
        <v>247</v>
      </c>
      <c r="G2" s="43" t="s">
        <v>19</v>
      </c>
      <c r="H2" s="245" t="s">
        <v>340</v>
      </c>
      <c r="I2" s="158" t="s">
        <v>341</v>
      </c>
      <c r="J2" s="159" t="s">
        <v>342</v>
      </c>
      <c r="K2" s="158"/>
      <c r="L2" s="159" t="s">
        <v>346</v>
      </c>
      <c r="M2" s="22" t="s">
        <v>22</v>
      </c>
      <c r="N2" s="22" t="s">
        <v>23</v>
      </c>
      <c r="O2" s="22" t="s">
        <v>1</v>
      </c>
      <c r="P2" s="22" t="s">
        <v>0</v>
      </c>
      <c r="Q2" s="22" t="s">
        <v>24</v>
      </c>
      <c r="R2" s="22" t="s">
        <v>113</v>
      </c>
      <c r="S2" s="22" t="s">
        <v>117</v>
      </c>
      <c r="T2" s="22" t="s">
        <v>23</v>
      </c>
      <c r="U2" s="22" t="s">
        <v>0</v>
      </c>
      <c r="V2" s="22" t="s">
        <v>24</v>
      </c>
      <c r="W2" s="41" t="s">
        <v>3</v>
      </c>
      <c r="X2" s="40" t="s">
        <v>22</v>
      </c>
      <c r="Y2" s="22" t="s">
        <v>23</v>
      </c>
      <c r="Z2" s="22" t="s">
        <v>1</v>
      </c>
      <c r="AA2" s="22" t="s">
        <v>0</v>
      </c>
      <c r="AB2" s="22" t="s">
        <v>24</v>
      </c>
      <c r="AC2" s="22" t="s">
        <v>245</v>
      </c>
      <c r="AD2" s="22" t="s">
        <v>12</v>
      </c>
      <c r="AE2" s="22" t="s">
        <v>23</v>
      </c>
      <c r="AF2" s="22" t="s">
        <v>0</v>
      </c>
      <c r="AG2" s="22" t="s">
        <v>24</v>
      </c>
      <c r="AH2" s="41" t="s">
        <v>3</v>
      </c>
      <c r="AI2" s="40" t="s">
        <v>22</v>
      </c>
      <c r="AJ2" s="22" t="s">
        <v>23</v>
      </c>
      <c r="AK2" s="22" t="s">
        <v>1</v>
      </c>
      <c r="AL2" s="22" t="s">
        <v>0</v>
      </c>
      <c r="AM2" s="22" t="s">
        <v>24</v>
      </c>
      <c r="AN2" s="22" t="s">
        <v>4</v>
      </c>
      <c r="AO2" s="22" t="s">
        <v>12</v>
      </c>
      <c r="AP2" s="22" t="s">
        <v>23</v>
      </c>
      <c r="AQ2" s="22" t="s">
        <v>0</v>
      </c>
      <c r="AR2" s="22" t="s">
        <v>24</v>
      </c>
      <c r="AS2" s="41" t="s">
        <v>3</v>
      </c>
      <c r="AT2" s="46" t="s">
        <v>22</v>
      </c>
      <c r="AU2" s="47" t="s">
        <v>23</v>
      </c>
      <c r="AV2" s="47" t="s">
        <v>1</v>
      </c>
      <c r="AW2" s="47" t="s">
        <v>0</v>
      </c>
      <c r="AX2" s="47" t="s">
        <v>335</v>
      </c>
      <c r="AY2" s="47" t="s">
        <v>2</v>
      </c>
      <c r="AZ2" s="47"/>
      <c r="BA2" s="47" t="s">
        <v>13</v>
      </c>
      <c r="BB2" s="47" t="s">
        <v>23</v>
      </c>
      <c r="BC2" s="47" t="s">
        <v>0</v>
      </c>
      <c r="BD2" s="47" t="s">
        <v>24</v>
      </c>
      <c r="BE2" s="30" t="s">
        <v>3</v>
      </c>
      <c r="BF2" s="48" t="s">
        <v>25</v>
      </c>
      <c r="BG2" s="49" t="s">
        <v>112</v>
      </c>
      <c r="BH2" s="50" t="s">
        <v>244</v>
      </c>
      <c r="BI2" s="15" t="s">
        <v>111</v>
      </c>
      <c r="BJ2" s="15" t="s">
        <v>325</v>
      </c>
      <c r="BK2" s="16"/>
      <c r="BL2" s="16"/>
      <c r="BM2" s="13" t="s">
        <v>3</v>
      </c>
      <c r="BN2" s="17" t="s">
        <v>15</v>
      </c>
      <c r="BO2" s="17" t="s">
        <v>16</v>
      </c>
      <c r="BP2" s="14" t="s">
        <v>17</v>
      </c>
      <c r="BQ2" s="14" t="s">
        <v>21</v>
      </c>
      <c r="BR2" s="38" t="s">
        <v>118</v>
      </c>
      <c r="BS2" s="38" t="s">
        <v>120</v>
      </c>
      <c r="BT2" s="38" t="s">
        <v>187</v>
      </c>
      <c r="BU2" s="38" t="s">
        <v>120</v>
      </c>
      <c r="BV2" s="38" t="s">
        <v>186</v>
      </c>
      <c r="BW2" s="38" t="s">
        <v>120</v>
      </c>
      <c r="BX2" s="38" t="s">
        <v>119</v>
      </c>
      <c r="BY2" s="38" t="s">
        <v>120</v>
      </c>
      <c r="BZ2" s="38" t="s">
        <v>29</v>
      </c>
      <c r="CA2" s="38" t="s">
        <v>574</v>
      </c>
    </row>
    <row r="3" spans="1:79" ht="45" customHeight="1" x14ac:dyDescent="0.2">
      <c r="A3" s="44" t="s">
        <v>292</v>
      </c>
      <c r="B3" s="21" t="s">
        <v>293</v>
      </c>
      <c r="C3" s="21" t="s">
        <v>324</v>
      </c>
      <c r="D3" s="20" t="s">
        <v>87</v>
      </c>
      <c r="E3" s="20" t="s">
        <v>109</v>
      </c>
      <c r="F3" s="100"/>
      <c r="G3" s="100" t="s">
        <v>99</v>
      </c>
      <c r="H3" s="162"/>
      <c r="I3" s="150" t="str">
        <f>IF(H3="","",DATE(YEAR(H3),MONTH(H3)+2,DAY(H3)))</f>
        <v/>
      </c>
      <c r="J3" s="155"/>
      <c r="K3" s="154" t="str">
        <f>IF(H3="","",IF(J3="","Board Date"&amp;CHAR(10)&amp;TEXT(I3,"dd/mm/yyyy"),"Completed"&amp;CHAR(10)&amp;TEXT(J3,"dd/mm/yyyy")))</f>
        <v/>
      </c>
      <c r="L3" s="54" t="str">
        <f ca="1">IF(AND(J3="",I3=""),"",IF(AND(J3="",I3&lt;TODAY()),"R","G"))</f>
        <v/>
      </c>
      <c r="M3" s="140"/>
      <c r="N3" s="112"/>
      <c r="O3" s="52"/>
      <c r="P3" s="113"/>
      <c r="Q3" s="112"/>
      <c r="R3" s="28"/>
      <c r="S3" s="28"/>
      <c r="T3" s="53" t="str">
        <f>IFERROR(IF(1-(N3-M3)/(O3-M3)&gt;0.9,"G",IF(1-(N3-M3)/(O3-M3)&gt;0.85,"A","R")),"")</f>
        <v/>
      </c>
      <c r="U3" s="53" t="str">
        <f>IF(P3="","",IF((O3-M3)/(P3-M3)&gt;0.9,"G",(IF((O3-M3)/(P3-M3)&gt;0.85,"A","R"))))</f>
        <v/>
      </c>
      <c r="V3" s="53" t="str">
        <f>IF(Q3="","",IF((O3-M3)/(Q3-M3)&gt;0.9,"G",(IF((O3-M3)/(Q3-M3)&gt;0.85,"A","R"))))</f>
        <v/>
      </c>
      <c r="W3" s="54" t="str">
        <f>IF(V3="",IF(U3="",T3,U3),V3)</f>
        <v/>
      </c>
      <c r="X3" s="51"/>
      <c r="Y3" s="112"/>
      <c r="Z3" s="52"/>
      <c r="AA3" s="112"/>
      <c r="AB3" s="112"/>
      <c r="AC3" s="52"/>
      <c r="AD3" s="52"/>
      <c r="AE3" s="53" t="str">
        <f>IFERROR(IF(1-(Y3-X3)/(Z3-X3)&gt;0.9,"G",IF(1-(Y3-X3)/(Z3-X3)&gt;0.85,"A","R")),"")</f>
        <v/>
      </c>
      <c r="AF3" s="53" t="str">
        <f>IF(AA3="","",IF((Z3-X3)/(AA3-X3)&gt;0.9,"G",(IF((Z3-X3)/(AA3-X3)&gt;0.85,"A","R"))))</f>
        <v/>
      </c>
      <c r="AG3" s="53" t="str">
        <f>IF(AB3="","",IF((Z3-X3)/(AB3-X3)&gt;0.9,"G",(IF((Z3-X3)/(AB3-X3)&gt;0.85,"A","R"))))</f>
        <v/>
      </c>
      <c r="AH3" s="54" t="str">
        <f>IF(AG3="",IF(AF3="",AE3,AF3),AG3)</f>
        <v/>
      </c>
      <c r="AI3" s="51"/>
      <c r="AJ3" s="112"/>
      <c r="AK3" s="52"/>
      <c r="AL3" s="112"/>
      <c r="AM3" s="112"/>
      <c r="AN3" s="52"/>
      <c r="AO3" s="52"/>
      <c r="AP3" s="53" t="str">
        <f>IFERROR(IF(1-(AJ3-AI3)/(AK3-AI3)&gt;0.9,"G",IF(1-(AJ3-AI3)/(AK3-AI3)&gt;0.85,"A","R")),"")</f>
        <v/>
      </c>
      <c r="AQ3" s="53" t="str">
        <f>IF(AL3="","",IF((AK3-AI3)/(AL3-AI3)&gt;0.9,"G",(IF((AK3-AI3)/(AL3-AI3)&gt;0.85,"A","R"))))</f>
        <v/>
      </c>
      <c r="AR3" s="53" t="str">
        <f>IF(AM3="","",IF((AK3-AI3)/(AM3-AI3)&gt;0.9,"G",(IF((AK3-AI3)/(AM3-AI3)&gt;0.85,"A","R"))))</f>
        <v/>
      </c>
      <c r="AS3" s="54" t="str">
        <f>IF(AR3="",IF(AQ3="",AP3,AQ3),AR3)</f>
        <v/>
      </c>
      <c r="AT3" s="55">
        <v>42573</v>
      </c>
      <c r="AU3" s="113">
        <v>42573</v>
      </c>
      <c r="AV3" s="56">
        <v>42689</v>
      </c>
      <c r="AW3" s="113">
        <v>42689</v>
      </c>
      <c r="AX3" s="113">
        <v>42689</v>
      </c>
      <c r="AY3" s="45">
        <f>IF(AX3="","",DATE(YEAR(AX3),MONTH(AX3)+3,DAY(AX3)))</f>
        <v>42781</v>
      </c>
      <c r="AZ3" s="45"/>
      <c r="BA3" s="45"/>
      <c r="BB3" s="57" t="str">
        <f>IFERROR(IF(1-(AU3-AT3)/(AV3-AT3)&gt;0.9,"G",IF(1-(AU3-AT3)/(AV3-AT3)&gt;0.85,"A","R")),"")</f>
        <v>G</v>
      </c>
      <c r="BC3" s="57" t="str">
        <f>IF(AW3="","",IF((AV3-AT3)/(AW3-AT3)&gt;0.9,"G",(IF((AV3-AT3)/(AW3-AT3)&gt;0.85,"A","R"))))</f>
        <v>G</v>
      </c>
      <c r="BD3" s="57" t="str">
        <f>IF(AX3="","",IF((AV3-AT3)/(AX3-AT3)&gt;0.9,"G",(IF((AV3-AT3)/(AX3-AT3)&gt;0.85,"A","R"))))</f>
        <v>G</v>
      </c>
      <c r="BE3" s="58" t="str">
        <f>IF(BD3="",IF(BC3="",BB3,BC3),BD3)</f>
        <v>G</v>
      </c>
      <c r="BF3" s="59">
        <v>70000</v>
      </c>
      <c r="BG3" s="60">
        <v>27000</v>
      </c>
      <c r="BH3" s="61" t="e">
        <f>VLOOKUP(A3,Finance!$A$3:$J$39,10,FALSE)</f>
        <v>#N/A</v>
      </c>
      <c r="BI3" s="62"/>
      <c r="BJ3" s="60"/>
      <c r="BK3" s="63">
        <f>(BG3-BF3)/BF3</f>
        <v>-0.61428571428571432</v>
      </c>
      <c r="BL3" s="63" t="e">
        <f>(BH3-BF3)/BF3</f>
        <v>#N/A</v>
      </c>
      <c r="BM3" s="64" t="e">
        <f>IF(BF3="","",IF(AND(BK3&lt;0.025,BL3&lt;0.025),"G",IF(OR(BK3&gt;0.05,BL3&gt;0.05),"R",IF(AND(BK3&gt;0.025,BL3&gt;0.025),"A","G"))))</f>
        <v>#N/A</v>
      </c>
      <c r="BN3" s="18"/>
      <c r="BO3" s="19" t="s">
        <v>499</v>
      </c>
      <c r="BP3" s="65" t="e">
        <f>IF(AND(BM3="",BE3="",AS3="",W3=""),"",IF(AND(BM3="G",BE3="G",AS3="G",W3="G"),"G",IF(OR(BM3="R",BE3="R",AS3="R",W3="R"),"R",VLOOKUP(CONCATENATE(W3,AS3,BE3,BM3),'Rag Coding'!A:B,2,FALSE))))</f>
        <v>#N/A</v>
      </c>
      <c r="BQ3" s="37"/>
      <c r="BR3" s="39" t="str">
        <f t="shared" ref="BR3:BR47" ca="1" si="0">IF(M3="","",IF(V3&lt;&gt;"","Completed ",IF(AND(U3&lt;&gt;"",P3&gt;TODAY()),"Forecast Completion on "&amp;DAY(P3)&amp;"-"&amp;MONTH(P3)&amp;"-"&amp;YEAR(P3)&amp;CHAR(10)&amp;IF(P3-O3&gt;0,(P3-O3)&amp;" day(s) late",(IF(P3-O3=0,"on time",(O3-P3)&amp;" day(s) early"))),IF(P3&lt;TODAY(),"Forecast Completion in the past, please update","Baseline Complete"))))</f>
        <v/>
      </c>
      <c r="BS3" s="39" t="str">
        <f t="shared" ref="BS3:BS47" ca="1" si="1">IF(BR3="Completed ",IF(Q3-O3&gt;0,Q3-O3&amp;" day(s) late",(IF(Q3-O3=0,"on time",O3-Q3&amp;" day(s) early"))),"")</f>
        <v/>
      </c>
      <c r="BT3" s="39" t="str">
        <f t="shared" ref="BT3:BT47" ca="1" si="2">IF(X3="","",IF(AG3&lt;&gt;"","Completed ",IF(AND(AF3&lt;&gt;"",AA3&gt;TODAY()),"Forecast Completion on "&amp;DAY(AA3)&amp;"-"&amp;MONTH(AA3)&amp;"-"&amp;YEAR(AA3)&amp;CHAR(10)&amp;IF(AA3-Z3&gt;0,(AA3-Z3)&amp;" day(s) late",(IF(AA3-Z3=0,"on time",(Z3-AA3)&amp;" day(s) early"))),IF(AA3&lt;TODAY(),"Forecast Completion in the past, please update","Baseline Complete"))))</f>
        <v/>
      </c>
      <c r="BU3" s="39" t="str">
        <f t="shared" ref="BU3:BU47" ca="1" si="3">IF(BT3="Completed ",IF(AB3-Z3&gt;0,AB3-Z3&amp;" day(s) late",(IF(AB3-Z3=0,"on time",Z3-AB3&amp;" day(s) early"))),"")</f>
        <v/>
      </c>
      <c r="BV3" s="39" t="str">
        <f t="shared" ref="BV3:BV47" ca="1" si="4">IF(AI3="","",IF(AR3&lt;&gt;"","Completed ",IF(AND(AQ3&lt;&gt;"",AL3&gt;TODAY()),"Forecast Completion on "&amp;DAY(AL3)&amp;"-"&amp;MONTH(AL3)&amp;"-"&amp;YEAR(AL3)&amp;CHAR(10)&amp;IF(AL3-AK3&gt;0,(AL3-AK3)&amp;" day(s) late",(IF(AL3-AK3=0,"on time",(AK3-AL3)&amp;" day(s) early"))),IF(AL3&lt;TODAY(),"Forecast Completion in the past, please update","Baseline Complete"))))</f>
        <v/>
      </c>
      <c r="BW3" s="39" t="str">
        <f t="shared" ref="BW3:BW47" ca="1" si="5">IF(BV3="Completed ",IF(AM3-AK3&gt;0,AM3-AK3&amp;" day(s) late",(IF(AM3-AK3=0,"on time",AK3-AM3&amp;" day(s) early"))),"")</f>
        <v/>
      </c>
      <c r="BX3" s="39" t="str">
        <f t="shared" ref="BX3:BX47" ca="1" si="6">IF(AT3="","",IF(BD3&lt;&gt;"","Completed ",IF(AND(BC3&lt;&gt;"",AW3&gt;TODAY()),"Forecast Completion on "&amp;DAY(AW3)&amp;"-"&amp;MONTH(AW3)&amp;"-"&amp;YEAR(AW3)&amp;CHAR(10)&amp;IF(AW3-AV3&gt;0,(AW3-AV3)&amp;" day(s) late",(IF(AW3-AV3=0,"on time",(AV3-AW3)&amp;" day(s) early"))),IF(AW3&lt;TODAY(),"Forecast Completion in the past, please update","Baseline Complete"))))</f>
        <v xml:space="preserve">Completed </v>
      </c>
      <c r="BY3" s="39" t="str">
        <f t="shared" ref="BY3:BY47" ca="1" si="7">IF(BX3="Completed ",IF(AX3-AV3&gt;0,AX3-AV3&amp;" day(s) late",(IF(AX3-AV3=0,"on time",AV3-AX3&amp;" day(s) early"))),"")</f>
        <v>on time</v>
      </c>
      <c r="BZ3" s="39" t="str">
        <f ca="1">IF(BX3="Completed ",IF(BG3-BF3&gt;0,"Over budget by £"&amp;(BG3-BF3),"Under budget by £"&amp;BF3-BG3),IF(BG3="","","Current Forecast Spend £"&amp;BG3))</f>
        <v>Under budget by £43000</v>
      </c>
      <c r="CA3" s="38"/>
    </row>
    <row r="4" spans="1:79" ht="56.25" customHeight="1" x14ac:dyDescent="0.2">
      <c r="A4" s="44" t="s">
        <v>124</v>
      </c>
      <c r="B4" s="21" t="s">
        <v>125</v>
      </c>
      <c r="C4" s="21" t="s">
        <v>126</v>
      </c>
      <c r="D4" s="20" t="s">
        <v>94</v>
      </c>
      <c r="E4" s="20" t="s">
        <v>249</v>
      </c>
      <c r="F4" s="100"/>
      <c r="G4" s="100" t="s">
        <v>99</v>
      </c>
      <c r="H4" s="162"/>
      <c r="I4" s="150" t="str">
        <f>IF(H4="","",DATE(YEAR(H4),MONTH(H4)+3,DAY(H4)))</f>
        <v/>
      </c>
      <c r="J4" s="155"/>
      <c r="K4" s="154" t="str">
        <f>IF(H4="","",IF(J4="","Board Date"&amp;CHAR(10)&amp;TEXT(I4,"dd/mm/yyyy"),"Completed"&amp;CHAR(10)&amp;TEXT(J4,"dd/mm/yyyy")))</f>
        <v/>
      </c>
      <c r="L4" s="54" t="str">
        <f ca="1">IF(AND(J4="",I4=""),"",IF(AND(J4="",I4&lt;TODAY()),"R","G"))</f>
        <v/>
      </c>
      <c r="M4" s="140"/>
      <c r="N4" s="112"/>
      <c r="O4" s="52"/>
      <c r="P4" s="113"/>
      <c r="Q4" s="112"/>
      <c r="R4" s="28"/>
      <c r="S4" s="28"/>
      <c r="T4" s="53" t="str">
        <f>IFERROR(IF(1-(N4-M4)/(O4-M4)&gt;0.9,"G",IF(1-(N4-M4)/(O4-M4)&gt;0.85,"A","R")),"")</f>
        <v/>
      </c>
      <c r="U4" s="53" t="str">
        <f>IF(P4="","",IF((O4-M4)/(P4-M4)&gt;0.9,"G",(IF((O4-M4)/(P4-M4)&gt;0.85,"A","R"))))</f>
        <v/>
      </c>
      <c r="V4" s="53" t="str">
        <f>IF(Q4="","",IF((O4-M4)/(Q4-M4)&gt;0.9,"G",(IF((O4-M4)/(Q4-M4)&gt;0.85,"A","R"))))</f>
        <v/>
      </c>
      <c r="W4" s="54" t="str">
        <f>IF(M4="N/A","B",IF(V4="",IF(U4="",T4,U4),V4))</f>
        <v/>
      </c>
      <c r="X4" s="51"/>
      <c r="Y4" s="112"/>
      <c r="Z4" s="52"/>
      <c r="AA4" s="112"/>
      <c r="AB4" s="112"/>
      <c r="AC4" s="52"/>
      <c r="AD4" s="52"/>
      <c r="AE4" s="53" t="str">
        <f>IFERROR(IF(1-(Y4-X4)/(Z4-X4)&gt;0.9,"G",IF(1-(Y4-X4)/(Z4-X4)&gt;0.85,"A","R")),"")</f>
        <v/>
      </c>
      <c r="AF4" s="53" t="str">
        <f>IF(AA4="","",IF((Z4-X4)/(AA4-X4)&gt;0.9,"G",(IF((Z4-X4)/(AA4-X4)&gt;0.85,"A","R"))))</f>
        <v/>
      </c>
      <c r="AG4" s="53" t="str">
        <f>IF(AB4="","",IF((Z4-X4)/(AB4-X4)&gt;0.9,"G",(IF((Z4-X4)/(AB4-X4)&gt;0.85,"A","R"))))</f>
        <v/>
      </c>
      <c r="AH4" s="54" t="str">
        <f>IF(AG4="",IF(AF4="",AE4,AF4),AG4)</f>
        <v/>
      </c>
      <c r="AI4" s="51"/>
      <c r="AJ4" s="112"/>
      <c r="AK4" s="52"/>
      <c r="AL4" s="112"/>
      <c r="AM4" s="112"/>
      <c r="AN4" s="52"/>
      <c r="AO4" s="52" t="s">
        <v>281</v>
      </c>
      <c r="AP4" s="53" t="str">
        <f>IFERROR(IF(1-(AJ4-AI4)/(AK4-AI4)&gt;0.9,"G",IF(1-(AJ4-AI4)/(AK4-AI4)&gt;0.85,"A","R")),"")</f>
        <v/>
      </c>
      <c r="AQ4" s="53" t="str">
        <f>IF(AL4="","",IF((AK4-AI4)/(AL4-AI4)&gt;0.9,"G",(IF((AK4-AI4)/(AL4-AI4)&gt;0.85,"A","R"))))</f>
        <v/>
      </c>
      <c r="AR4" s="53" t="str">
        <f>IF(AM4="","",IF((AK4-AI4)/(AM4-AI4)&gt;0.9,"G",(IF((AK4-AI4)/(AM4-AI4)&gt;0.85,"A","R"))))</f>
        <v/>
      </c>
      <c r="AS4" s="54" t="str">
        <f>IF(AR4="",IF(AQ4="",AP4,AQ4),AR4)</f>
        <v/>
      </c>
      <c r="AT4" s="55">
        <v>42513</v>
      </c>
      <c r="AU4" s="113">
        <v>42490</v>
      </c>
      <c r="AV4" s="56">
        <v>42611</v>
      </c>
      <c r="AW4" s="113">
        <v>42604</v>
      </c>
      <c r="AX4" s="113">
        <v>42604</v>
      </c>
      <c r="AY4" s="45">
        <f>IF(AX4="","",DATE(YEAR(AX4),MONTH(AX4)+3,DAY(AX4)))</f>
        <v>42696</v>
      </c>
      <c r="AZ4" s="45"/>
      <c r="BA4" s="45" t="s">
        <v>127</v>
      </c>
      <c r="BB4" s="57" t="str">
        <f>IFERROR(IF(1-(AU4-AT4)/(AV4-AT4)&gt;0.9,"G",IF(1-(AU4-AT4)/(AV4-AT4)&gt;0.85,"A","R")),"")</f>
        <v>G</v>
      </c>
      <c r="BC4" s="57" t="str">
        <f>IF(AW4="","",IF((AV4-AT4)/(AW4-AT4)&gt;0.9,"G",(IF((AV4-AT4)/(AW4-AT4)&gt;0.85,"A","R"))))</f>
        <v>G</v>
      </c>
      <c r="BD4" s="57" t="str">
        <f>IF(AX4="","",IF((AV4-AT4)/(AX4-AT4)&gt;0.9,"G",(IF((AV4-AT4)/(AX4-AT4)&gt;0.85,"A","R"))))</f>
        <v>G</v>
      </c>
      <c r="BE4" s="58" t="str">
        <f>IF(BD4="",IF(BC4="",BB4,BC4),BD4)</f>
        <v>G</v>
      </c>
      <c r="BF4" s="59">
        <v>114918</v>
      </c>
      <c r="BG4" s="60">
        <v>104215</v>
      </c>
      <c r="BH4" s="61" t="e">
        <f>VLOOKUP(A4,Finance!$A$3:$J$39,10,FALSE)</f>
        <v>#N/A</v>
      </c>
      <c r="BI4" s="62">
        <v>50433</v>
      </c>
      <c r="BJ4" s="60"/>
      <c r="BK4" s="63">
        <f>(BG4-BF4)/BF4</f>
        <v>-9.3135975217111325E-2</v>
      </c>
      <c r="BL4" s="63" t="e">
        <f>(BH4-BF4)/BF4</f>
        <v>#N/A</v>
      </c>
      <c r="BM4" s="64" t="e">
        <f>IF(BF4="","",IF(AND(BK4&lt;0.025,BL4&lt;0.025),"G",IF(OR(BK4&gt;0.05,BL4&gt;0.05),"R",IF(AND(BK4&gt;0.025,BL4&gt;0.025),"A","G"))))</f>
        <v>#N/A</v>
      </c>
      <c r="BN4" s="18" t="s">
        <v>476</v>
      </c>
      <c r="BO4" s="121" t="s">
        <v>477</v>
      </c>
      <c r="BP4" s="65" t="e">
        <f>IF(AND(BM4="",BE4="",AS4="",W4=""),"",IF(AND(BM4="G",BE4="G",AS4="G",W4="G"),"G",IF(OR(BM4="R",BE4="R",AS4="R",W4="R"),"R",VLOOKUP(CONCATENATE(W4,AS4,BE4,BM4),'Rag Coding'!A:B,2,FALSE))))</f>
        <v>#N/A</v>
      </c>
      <c r="BQ4" s="37"/>
      <c r="BR4" s="39" t="str">
        <f t="shared" ca="1" si="0"/>
        <v/>
      </c>
      <c r="BS4" s="39" t="str">
        <f t="shared" ca="1" si="1"/>
        <v/>
      </c>
      <c r="BT4" s="39" t="str">
        <f t="shared" ca="1" si="2"/>
        <v/>
      </c>
      <c r="BU4" s="39" t="str">
        <f t="shared" ca="1" si="3"/>
        <v/>
      </c>
      <c r="BV4" s="39" t="str">
        <f t="shared" ca="1" si="4"/>
        <v/>
      </c>
      <c r="BW4" s="39" t="str">
        <f t="shared" ca="1" si="5"/>
        <v/>
      </c>
      <c r="BX4" s="39" t="str">
        <f t="shared" ca="1" si="6"/>
        <v xml:space="preserve">Completed </v>
      </c>
      <c r="BY4" s="39" t="str">
        <f t="shared" ca="1" si="7"/>
        <v>7 day(s) early</v>
      </c>
      <c r="BZ4" s="39" t="str">
        <f ca="1">IF(BX4="Completed ",IF(BG4-BF4&gt;0,"Over budget by £"&amp;(BG4-BF4),"Under budget by £"&amp;BF4-BG4),IF(BG4="","","Current Forecast Spend £"&amp;BG4))</f>
        <v>Under budget by £10703</v>
      </c>
      <c r="CA4" s="38"/>
    </row>
    <row r="5" spans="1:79" s="66" customFormat="1" ht="123.75" customHeight="1" x14ac:dyDescent="0.2">
      <c r="A5" s="44" t="s">
        <v>161</v>
      </c>
      <c r="B5" s="21" t="s">
        <v>159</v>
      </c>
      <c r="C5" s="21" t="s">
        <v>162</v>
      </c>
      <c r="D5" s="20" t="s">
        <v>84</v>
      </c>
      <c r="E5" s="20" t="s">
        <v>102</v>
      </c>
      <c r="F5" s="100" t="s">
        <v>527</v>
      </c>
      <c r="G5" s="100" t="s">
        <v>99</v>
      </c>
      <c r="H5" s="246">
        <v>42620</v>
      </c>
      <c r="I5" s="149">
        <v>42650</v>
      </c>
      <c r="J5" s="155"/>
      <c r="K5" s="153"/>
      <c r="L5" s="54"/>
      <c r="M5" s="140"/>
      <c r="N5" s="112"/>
      <c r="O5" s="52"/>
      <c r="P5" s="112"/>
      <c r="Q5" s="112"/>
      <c r="R5" s="28"/>
      <c r="S5" s="28" t="s">
        <v>164</v>
      </c>
      <c r="T5" s="53"/>
      <c r="U5" s="53"/>
      <c r="V5" s="53"/>
      <c r="W5" s="54"/>
      <c r="X5" s="51"/>
      <c r="Y5" s="112"/>
      <c r="Z5" s="52" t="s">
        <v>538</v>
      </c>
      <c r="AA5" s="112"/>
      <c r="AB5" s="112"/>
      <c r="AC5" s="52"/>
      <c r="AD5" s="52"/>
      <c r="AE5" s="53"/>
      <c r="AF5" s="53"/>
      <c r="AG5" s="53"/>
      <c r="AH5" s="54" t="s">
        <v>538</v>
      </c>
      <c r="AI5" s="51"/>
      <c r="AJ5" s="112"/>
      <c r="AK5" s="52"/>
      <c r="AL5" s="112"/>
      <c r="AM5" s="112"/>
      <c r="AN5" s="52"/>
      <c r="AO5" s="52"/>
      <c r="AP5" s="53" t="s">
        <v>163</v>
      </c>
      <c r="AQ5" s="53" t="s">
        <v>28</v>
      </c>
      <c r="AR5" s="53">
        <v>140000</v>
      </c>
      <c r="AS5" s="54"/>
      <c r="AT5" s="55">
        <v>42632</v>
      </c>
      <c r="AU5" s="113">
        <v>42632</v>
      </c>
      <c r="AV5" s="56">
        <v>42704</v>
      </c>
      <c r="AW5" s="113">
        <v>42704</v>
      </c>
      <c r="AX5" s="113">
        <v>42685</v>
      </c>
      <c r="AY5" s="45">
        <v>42777</v>
      </c>
      <c r="AZ5" s="45"/>
      <c r="BA5" s="45" t="s">
        <v>163</v>
      </c>
      <c r="BB5" s="57" t="s">
        <v>28</v>
      </c>
      <c r="BC5" s="57" t="s">
        <v>535</v>
      </c>
      <c r="BD5" s="57" t="s">
        <v>538</v>
      </c>
      <c r="BE5" s="58" t="str">
        <f>IF(BD5="",IF(BC5="",BB5,BC5),BD5)</f>
        <v>Remove from Tracker sheet transfer to archive and stage gate 6 sheet</v>
      </c>
      <c r="BF5" s="59">
        <v>140000</v>
      </c>
      <c r="BG5" s="60">
        <v>125711.65</v>
      </c>
      <c r="BH5" s="61">
        <v>131096</v>
      </c>
      <c r="BI5" s="62">
        <v>140000</v>
      </c>
      <c r="BJ5" s="60"/>
      <c r="BK5" s="63">
        <v>-0.1020596428571429</v>
      </c>
      <c r="BL5" s="63">
        <v>-6.3600000000000004E-2</v>
      </c>
      <c r="BM5" s="64" t="s">
        <v>28</v>
      </c>
      <c r="BN5" s="18"/>
      <c r="BO5" s="29" t="s">
        <v>534</v>
      </c>
      <c r="BP5" s="65" t="s">
        <v>28</v>
      </c>
      <c r="BQ5" s="37"/>
      <c r="BR5" s="39"/>
      <c r="BS5" s="39"/>
      <c r="BT5" s="39"/>
      <c r="BU5" s="39"/>
      <c r="BV5" s="39"/>
      <c r="BW5" s="39"/>
      <c r="BX5" s="39"/>
      <c r="BY5" s="39"/>
      <c r="BZ5" s="39"/>
      <c r="CA5" s="38"/>
    </row>
    <row r="6" spans="1:79" ht="56.25" customHeight="1" x14ac:dyDescent="0.2">
      <c r="A6" s="44" t="s">
        <v>242</v>
      </c>
      <c r="B6" s="21" t="s">
        <v>243</v>
      </c>
      <c r="C6" s="21" t="s">
        <v>277</v>
      </c>
      <c r="D6" s="20" t="s">
        <v>216</v>
      </c>
      <c r="E6" s="20" t="s">
        <v>107</v>
      </c>
      <c r="F6" s="100"/>
      <c r="G6" s="100" t="s">
        <v>99</v>
      </c>
      <c r="H6" s="162">
        <v>42370</v>
      </c>
      <c r="I6" s="150">
        <v>42401</v>
      </c>
      <c r="J6" s="155"/>
      <c r="K6" s="154" t="s">
        <v>540</v>
      </c>
      <c r="L6" s="54" t="s">
        <v>541</v>
      </c>
      <c r="M6" s="140"/>
      <c r="N6" s="112"/>
      <c r="O6" s="52"/>
      <c r="P6" s="113"/>
      <c r="Q6" s="112"/>
      <c r="R6" s="28"/>
      <c r="S6" s="28"/>
      <c r="T6" s="53" t="s">
        <v>538</v>
      </c>
      <c r="U6" s="53" t="s">
        <v>538</v>
      </c>
      <c r="V6" s="53" t="s">
        <v>538</v>
      </c>
      <c r="W6" s="54" t="s">
        <v>538</v>
      </c>
      <c r="X6" s="51"/>
      <c r="Y6" s="112"/>
      <c r="Z6" s="52"/>
      <c r="AA6" s="112"/>
      <c r="AB6" s="112"/>
      <c r="AC6" s="52"/>
      <c r="AD6" s="52"/>
      <c r="AE6" s="53" t="s">
        <v>538</v>
      </c>
      <c r="AF6" s="53" t="s">
        <v>538</v>
      </c>
      <c r="AG6" s="53" t="s">
        <v>538</v>
      </c>
      <c r="AH6" s="54" t="s">
        <v>538</v>
      </c>
      <c r="AI6" s="51"/>
      <c r="AJ6" s="112"/>
      <c r="AK6" s="52"/>
      <c r="AL6" s="112"/>
      <c r="AM6" s="112"/>
      <c r="AN6" s="52"/>
      <c r="AO6" s="52"/>
      <c r="AP6" s="53" t="s">
        <v>538</v>
      </c>
      <c r="AQ6" s="53" t="s">
        <v>538</v>
      </c>
      <c r="AR6" s="53" t="s">
        <v>538</v>
      </c>
      <c r="AS6" s="54" t="s">
        <v>538</v>
      </c>
      <c r="AT6" s="55">
        <v>42315</v>
      </c>
      <c r="AU6" s="113">
        <v>42343</v>
      </c>
      <c r="AV6" s="56">
        <v>42552</v>
      </c>
      <c r="AW6" s="113">
        <v>42552</v>
      </c>
      <c r="AX6" s="113">
        <v>42552</v>
      </c>
      <c r="AY6" s="45">
        <v>42644</v>
      </c>
      <c r="AZ6" s="45"/>
      <c r="BA6" s="45"/>
      <c r="BB6" s="57" t="s">
        <v>30</v>
      </c>
      <c r="BC6" s="57" t="s">
        <v>28</v>
      </c>
      <c r="BD6" s="57" t="s">
        <v>28</v>
      </c>
      <c r="BE6" s="58" t="s">
        <v>28</v>
      </c>
      <c r="BF6" s="59">
        <v>136300</v>
      </c>
      <c r="BG6" s="60">
        <v>94253</v>
      </c>
      <c r="BH6" s="61">
        <v>47466</v>
      </c>
      <c r="BI6" s="62"/>
      <c r="BJ6" s="60"/>
      <c r="BK6" s="63">
        <v>-0.3084886280264123</v>
      </c>
      <c r="BL6" s="63">
        <v>-0.6517534849596478</v>
      </c>
      <c r="BM6" s="64" t="s">
        <v>28</v>
      </c>
      <c r="BN6" s="18"/>
      <c r="BO6" s="121"/>
      <c r="BP6" s="65" t="s">
        <v>28</v>
      </c>
      <c r="BQ6" s="37"/>
      <c r="BR6" s="39" t="s">
        <v>538</v>
      </c>
      <c r="BS6" s="39" t="s">
        <v>538</v>
      </c>
      <c r="BT6" s="39" t="s">
        <v>538</v>
      </c>
      <c r="BU6" s="39" t="s">
        <v>538</v>
      </c>
      <c r="BV6" s="39" t="s">
        <v>538</v>
      </c>
      <c r="BW6" s="39" t="s">
        <v>538</v>
      </c>
      <c r="BX6" s="39" t="s">
        <v>539</v>
      </c>
      <c r="BY6" s="39" t="s">
        <v>542</v>
      </c>
      <c r="BZ6" s="39" t="s">
        <v>543</v>
      </c>
      <c r="CA6" s="38"/>
    </row>
    <row r="7" spans="1:79" ht="78.75" customHeight="1" x14ac:dyDescent="0.2">
      <c r="A7" s="216" t="s">
        <v>304</v>
      </c>
      <c r="B7" s="308" t="s">
        <v>305</v>
      </c>
      <c r="C7" s="308" t="s">
        <v>333</v>
      </c>
      <c r="D7" s="307" t="s">
        <v>91</v>
      </c>
      <c r="E7" s="307" t="s">
        <v>105</v>
      </c>
      <c r="F7" s="100"/>
      <c r="G7" s="100" t="s">
        <v>100</v>
      </c>
      <c r="H7" s="219">
        <v>42370</v>
      </c>
      <c r="I7" s="334">
        <f t="shared" ref="I7" si="8">IF(H7="","",DATE(YEAR(H7),MONTH(H7)+1,DAY(H7)))</f>
        <v>42401</v>
      </c>
      <c r="J7" s="218"/>
      <c r="K7" s="333" t="str">
        <f t="shared" ref="K7" si="9">IF(H7="","",IF(J7="","Board Date"&amp;CHAR(10)&amp;TEXT(I7,"dd/mm/yyyy"),"Completed"&amp;CHAR(10)&amp;TEXT(J7,"dd/mm/yyyy")))</f>
        <v>Board Date
01/02/2016</v>
      </c>
      <c r="L7" s="317" t="str">
        <f t="shared" ref="L7" ca="1" si="10">IF(AND(J7="",I7=""),"",IF(AND(J7="",I7&lt;TODAY()),"R","G"))</f>
        <v>R</v>
      </c>
      <c r="M7" s="332"/>
      <c r="N7" s="330"/>
      <c r="O7" s="315"/>
      <c r="P7" s="331"/>
      <c r="Q7" s="330"/>
      <c r="R7" s="309"/>
      <c r="S7" s="309"/>
      <c r="T7" s="316" t="str">
        <f t="shared" ref="T7" si="11">IFERROR(IF(1-(N7-M7)/(O7-M7)&gt;0.9,"G",IF(1-(N7-M7)/(O7-M7)&gt;0.85,"A","R")),"")</f>
        <v/>
      </c>
      <c r="U7" s="316" t="str">
        <f t="shared" ref="U7" si="12">IF(P7="","",IF((O7-M7)/(P7-M7)&gt;0.9,"G",(IF((O7-M7)/(P7-M7)&gt;0.85,"A","R"))))</f>
        <v/>
      </c>
      <c r="V7" s="316" t="str">
        <f t="shared" ref="V7" si="13">IF(Q7="","",IF((O7-M7)/(Q7-M7)&gt;0.9,"G",(IF((O7-M7)/(Q7-M7)&gt;0.85,"A","R"))))</f>
        <v/>
      </c>
      <c r="W7" s="317" t="str">
        <f t="shared" ref="W7" si="14">IF(V7="",IF(U7="",T7,U7),V7)</f>
        <v/>
      </c>
      <c r="X7" s="314"/>
      <c r="Y7" s="330"/>
      <c r="Z7" s="315"/>
      <c r="AA7" s="330"/>
      <c r="AB7" s="330"/>
      <c r="AC7" s="315"/>
      <c r="AD7" s="315"/>
      <c r="AE7" s="316" t="str">
        <f t="shared" ref="AE7" si="15">IFERROR(IF(1-(Y7-X7)/(Z7-X7)&gt;0.9,"G",IF(1-(Y7-X7)/(Z7-X7)&gt;0.85,"A","R")),"")</f>
        <v/>
      </c>
      <c r="AF7" s="316" t="str">
        <f t="shared" ref="AF7" si="16">IF(AA7="","",IF((Z7-X7)/(AA7-X7)&gt;0.9,"G",(IF((Z7-X7)/(AA7-X7)&gt;0.85,"A","R"))))</f>
        <v/>
      </c>
      <c r="AG7" s="316" t="str">
        <f t="shared" ref="AG7" si="17">IF(AB7="","",IF((Z7-X7)/(AB7-X7)&gt;0.9,"G",(IF((Z7-X7)/(AB7-X7)&gt;0.85,"A","R"))))</f>
        <v/>
      </c>
      <c r="AH7" s="317" t="str">
        <f t="shared" ref="AH7" si="18">IF(AG7="",IF(AF7="",AE7,AF7),AG7)</f>
        <v/>
      </c>
      <c r="AI7" s="314"/>
      <c r="AJ7" s="330"/>
      <c r="AK7" s="315"/>
      <c r="AL7" s="330"/>
      <c r="AM7" s="330"/>
      <c r="AN7" s="315"/>
      <c r="AO7" s="315"/>
      <c r="AP7" s="316" t="str">
        <f t="shared" ref="AP7" si="19">IFERROR(IF(1-(AJ7-AI7)/(AK7-AI7)&gt;0.9,"G",IF(1-(AJ7-AI7)/(AK7-AI7)&gt;0.85,"A","R")),"")</f>
        <v/>
      </c>
      <c r="AQ7" s="316" t="str">
        <f t="shared" ref="AQ7" si="20">IF(AL7="","",IF((AK7-AI7)/(AL7-AI7)&gt;0.9,"G",(IF((AK7-AI7)/(AL7-AI7)&gt;0.85,"A","R"))))</f>
        <v/>
      </c>
      <c r="AR7" s="316" t="str">
        <f t="shared" ref="AR7" si="21">IF(AM7="","",IF((AK7-AI7)/(AM7-AI7)&gt;0.9,"G",(IF((AK7-AI7)/(AM7-AI7)&gt;0.85,"A","R"))))</f>
        <v/>
      </c>
      <c r="AS7" s="317" t="str">
        <f t="shared" ref="AS7" si="22">IF(AR7="",IF(AQ7="",AP7,AQ7),AR7)</f>
        <v/>
      </c>
      <c r="AT7" s="318"/>
      <c r="AU7" s="331"/>
      <c r="AV7" s="319">
        <v>42527</v>
      </c>
      <c r="AW7" s="331">
        <v>42527</v>
      </c>
      <c r="AX7" s="331">
        <v>42619</v>
      </c>
      <c r="AY7" s="313">
        <f t="shared" ref="AY7" si="23">IF(AX7="","",DATE(YEAR(AX7),MONTH(AX7)+3,DAY(AX7)))</f>
        <v>42710</v>
      </c>
      <c r="AZ7" s="313"/>
      <c r="BA7" s="313"/>
      <c r="BB7" s="320" t="str">
        <f t="shared" ref="BB7" si="24">IFERROR(IF(1-(AU7-AT7)/(AV7-AT7)&gt;0.9,"G",IF(1-(AU7-AT7)/(AV7-AT7)&gt;0.85,"A","R")),"")</f>
        <v>G</v>
      </c>
      <c r="BC7" s="320" t="str">
        <f t="shared" ref="BC7" si="25">IF(AW7="","",IF((AV7-AT7)/(AW7-AT7)&gt;0.9,"G",(IF((AV7-AT7)/(AW7-AT7)&gt;0.85,"A","R"))))</f>
        <v>G</v>
      </c>
      <c r="BD7" s="320" t="str">
        <f t="shared" ref="BD7" si="26">IF(AX7="","",IF((AV7-AT7)/(AX7-AT7)&gt;0.9,"G",(IF((AV7-AT7)/(AX7-AT7)&gt;0.85,"A","R"))))</f>
        <v>G</v>
      </c>
      <c r="BE7" s="321" t="str">
        <f t="shared" ref="BE7" si="27">IF(BD7="",IF(BC7="",BB7,BC7),BD7)</f>
        <v>G</v>
      </c>
      <c r="BF7" s="322"/>
      <c r="BG7" s="323"/>
      <c r="BH7" s="324" t="e">
        <f>VLOOKUP(A7,Finance!$A$3:$J$39,8,FALSE)</f>
        <v>#N/A</v>
      </c>
      <c r="BI7" s="325"/>
      <c r="BJ7" s="323"/>
      <c r="BK7" s="326" t="e">
        <f t="shared" ref="BK7" si="28">(BG7-BF7)/BF7</f>
        <v>#DIV/0!</v>
      </c>
      <c r="BL7" s="326" t="e">
        <f t="shared" ref="BL7" si="29">(BH7-BF7)/BF7</f>
        <v>#N/A</v>
      </c>
      <c r="BM7" s="327" t="str">
        <f t="shared" ref="BM7" si="30">IF(BF7="","",IF(AND(BK7&lt;0.025,BL7&lt;0.025),"G",IF(OR(BK7&gt;0.05,BL7&gt;0.05),"R",IF(AND(BK7&gt;0.025,BL7&gt;0.025),"A","G"))))</f>
        <v/>
      </c>
      <c r="BN7" s="305"/>
      <c r="BO7" s="306" t="s">
        <v>547</v>
      </c>
      <c r="BP7" s="328" t="str">
        <f>IF(AND(BM7="",BE7="",AS7="",W7=""),"",IF(AND(BM7="G",BE7="G",AS7="G",W7="G"),"G",IF(OR(BM7="R",BE7="R",AS7="R",W7="R"),"R",VLOOKUP(CONCATENATE(W7,AS7,BE7,BM7),'Rag Coding'!A:B,2,FALSE))))</f>
        <v>G</v>
      </c>
      <c r="BQ7" s="310" t="s">
        <v>537</v>
      </c>
      <c r="BR7" s="311" t="str">
        <f t="shared" ref="BR7" ca="1" si="31">IF(M7="","",IF(V7&lt;&gt;"","Completed ",IF(AND(U7&lt;&gt;"",P7&gt;TODAY()),"Forecast Completion on "&amp;DAY(P7)&amp;"-"&amp;MONTH(P7)&amp;"-"&amp;YEAR(P7)&amp;CHAR(10)&amp;IF(P7-O7&gt;0,(P7-O7)&amp;" day(s) late",(IF(P7-O7=0,"on time",(O7-P7)&amp;" day(s) early"))),IF(P7&lt;TODAY(),"Forecast Completion in the past, please update","Baseline Complete"))))</f>
        <v/>
      </c>
      <c r="BS7" s="311" t="str">
        <f t="shared" ref="BS7" ca="1" si="32">IF(BR7="Completed ",IF(Q7-O7&gt;0,Q7-O7&amp;" day(s) late",(IF(Q7-O7=0,"on time",O7-Q7&amp;" day(s) early"))),"")</f>
        <v/>
      </c>
      <c r="BT7" s="311" t="str">
        <f t="shared" ref="BT7" ca="1" si="33">IF(X7="","",IF(AG7&lt;&gt;"","Completed ",IF(AND(AF7&lt;&gt;"",AA7&gt;TODAY()),"Forecast Completion on "&amp;DAY(AA7)&amp;"-"&amp;MONTH(AA7)&amp;"-"&amp;YEAR(AA7)&amp;CHAR(10)&amp;IF(AA7-Z7&gt;0,(AA7-Z7)&amp;" day(s) late",(IF(AA7-Z7=0,"on time",(Z7-AA7)&amp;" day(s) early"))),IF(AA7&lt;TODAY(),"Forecast Completion in the past, please update","Baseline Complete"))))</f>
        <v/>
      </c>
      <c r="BU7" s="311" t="str">
        <f t="shared" ref="BU7" ca="1" si="34">IF(BT7="Completed ",IF(AB7-Z7&gt;0,AB7-Z7&amp;" day(s) late",(IF(AB7-Z7=0,"on time",Z7-AB7&amp;" day(s) early"))),"")</f>
        <v/>
      </c>
      <c r="BV7" s="311" t="str">
        <f t="shared" ref="BV7" ca="1" si="35">IF(AI7="","",IF(AR7&lt;&gt;"","Completed ",IF(AND(AQ7&lt;&gt;"",AL7&gt;TODAY()),"Forecast Completion on "&amp;DAY(AL7)&amp;"-"&amp;MONTH(AL7)&amp;"-"&amp;YEAR(AL7)&amp;CHAR(10)&amp;IF(AL7-AK7&gt;0,(AL7-AK7)&amp;" day(s) late",(IF(AL7-AK7=0,"on time",(AK7-AL7)&amp;" day(s) early"))),IF(AL7&lt;TODAY(),"Forecast Completion in the past, please update","Baseline Complete"))))</f>
        <v/>
      </c>
      <c r="BW7" s="311" t="str">
        <f t="shared" ref="BW7" ca="1" si="36">IF(BV7="Completed ",IF(AM7-AK7&gt;0,AM7-AK7&amp;" day(s) late",(IF(AM7-AK7=0,"on time",AK7-AM7&amp;" day(s) early"))),"")</f>
        <v/>
      </c>
      <c r="BX7" s="311" t="str">
        <f t="shared" ref="BX7" ca="1" si="37">IF(AT7="","",IF(BD7&lt;&gt;"","Completed ",IF(AND(BC7&lt;&gt;"",AW7&gt;TODAY()),"Forecast Completion on "&amp;DAY(AW7)&amp;"-"&amp;MONTH(AW7)&amp;"-"&amp;YEAR(AW7)&amp;CHAR(10)&amp;IF(AW7-AV7&gt;0,(AW7-AV7)&amp;" day(s) late",(IF(AW7-AV7=0,"on time",(AV7-AW7)&amp;" day(s) early"))),IF(AW7&lt;TODAY(),"Forecast Completion in the past, please update","Baseline Complete"))))</f>
        <v/>
      </c>
      <c r="BY7" s="311" t="str">
        <f t="shared" ref="BY7" ca="1" si="38">IF(BX7="Completed ",IF(AX7-AV7&gt;0,AX7-AV7&amp;" day(s) late",(IF(AX7-AV7=0,"on time",AV7-AX7&amp;" day(s) early"))),"")</f>
        <v/>
      </c>
      <c r="BZ7" s="311" t="str">
        <f t="shared" ref="BZ7" ca="1" si="39">IF(BX7="Completed ",IF(BG7-BF7&gt;0,"Over budget by £"&amp;(BG7-BF7),"Under budget by £"&amp;BF7-BG7),IF(BG7="","","Current Forecast Spend £"&amp;BG7))</f>
        <v/>
      </c>
      <c r="CA7" s="311" t="str">
        <f t="shared" ref="CA7" si="40">IF(COUNTA(AT7:AX7),"Stage Gate 5",IF(COUNTA(AI7:AM7),"Stage Gate 4", IF(COUNTA(X7:AB7),"Stage Gate 3",  IF(COUNTA(M7:Q7),"Stage Gate 2", "Stage Gate 1"))))</f>
        <v>Stage Gate 5</v>
      </c>
    </row>
    <row r="8" spans="1:79" ht="78.75" customHeight="1" x14ac:dyDescent="0.2">
      <c r="A8" s="216" t="s">
        <v>304</v>
      </c>
      <c r="B8" s="308" t="s">
        <v>307</v>
      </c>
      <c r="C8" s="308" t="s">
        <v>333</v>
      </c>
      <c r="D8" s="307" t="s">
        <v>91</v>
      </c>
      <c r="E8" s="307" t="s">
        <v>105</v>
      </c>
      <c r="F8" s="100"/>
      <c r="G8" s="100" t="s">
        <v>100</v>
      </c>
      <c r="H8" s="219">
        <v>42370</v>
      </c>
      <c r="I8" s="334">
        <f t="shared" ref="I8:I10" si="41">IF(H8="","",DATE(YEAR(H8),MONTH(H8)+1,DAY(H8)))</f>
        <v>42401</v>
      </c>
      <c r="J8" s="218"/>
      <c r="K8" s="333" t="str">
        <f t="shared" ref="K8:K10" si="42">IF(H8="","",IF(J8="","Board Date"&amp;CHAR(10)&amp;TEXT(I8,"dd/mm/yyyy"),"Completed"&amp;CHAR(10)&amp;TEXT(J8,"dd/mm/yyyy")))</f>
        <v>Board Date
01/02/2016</v>
      </c>
      <c r="L8" s="317" t="str">
        <f t="shared" ref="L8:L10" ca="1" si="43">IF(AND(J8="",I8=""),"",IF(AND(J8="",I8&lt;TODAY()),"R","G"))</f>
        <v>R</v>
      </c>
      <c r="M8" s="332"/>
      <c r="N8" s="330"/>
      <c r="O8" s="315"/>
      <c r="P8" s="331"/>
      <c r="Q8" s="330"/>
      <c r="R8" s="309"/>
      <c r="S8" s="309"/>
      <c r="T8" s="316" t="str">
        <f t="shared" ref="T8:T10" si="44">IFERROR(IF(1-(N8-M8)/(O8-M8)&gt;0.9,"G",IF(1-(N8-M8)/(O8-M8)&gt;0.85,"A","R")),"")</f>
        <v/>
      </c>
      <c r="U8" s="316" t="str">
        <f t="shared" ref="U8:U10" si="45">IF(P8="","",IF((O8-M8)/(P8-M8)&gt;0.9,"G",(IF((O8-M8)/(P8-M8)&gt;0.85,"A","R"))))</f>
        <v/>
      </c>
      <c r="V8" s="316" t="str">
        <f t="shared" ref="V8:V10" si="46">IF(Q8="","",IF((O8-M8)/(Q8-M8)&gt;0.9,"G",(IF((O8-M8)/(Q8-M8)&gt;0.85,"A","R"))))</f>
        <v/>
      </c>
      <c r="W8" s="317" t="str">
        <f t="shared" ref="W8:W10" si="47">IF(V8="",IF(U8="",T8,U8),V8)</f>
        <v/>
      </c>
      <c r="X8" s="314"/>
      <c r="Y8" s="330"/>
      <c r="Z8" s="315"/>
      <c r="AA8" s="330"/>
      <c r="AB8" s="330"/>
      <c r="AC8" s="315"/>
      <c r="AD8" s="315"/>
      <c r="AE8" s="316" t="str">
        <f t="shared" ref="AE8:AE10" si="48">IFERROR(IF(1-(Y8-X8)/(Z8-X8)&gt;0.9,"G",IF(1-(Y8-X8)/(Z8-X8)&gt;0.85,"A","R")),"")</f>
        <v/>
      </c>
      <c r="AF8" s="316" t="str">
        <f t="shared" ref="AF8:AF10" si="49">IF(AA8="","",IF((Z8-X8)/(AA8-X8)&gt;0.9,"G",(IF((Z8-X8)/(AA8-X8)&gt;0.85,"A","R"))))</f>
        <v/>
      </c>
      <c r="AG8" s="316" t="str">
        <f t="shared" ref="AG8:AG10" si="50">IF(AB8="","",IF((Z8-X8)/(AB8-X8)&gt;0.9,"G",(IF((Z8-X8)/(AB8-X8)&gt;0.85,"A","R"))))</f>
        <v/>
      </c>
      <c r="AH8" s="317" t="str">
        <f t="shared" ref="AH8:AH10" si="51">IF(AG8="",IF(AF8="",AE8,AF8),AG8)</f>
        <v/>
      </c>
      <c r="AI8" s="314"/>
      <c r="AJ8" s="330"/>
      <c r="AK8" s="315"/>
      <c r="AL8" s="330"/>
      <c r="AM8" s="330"/>
      <c r="AN8" s="315"/>
      <c r="AO8" s="315"/>
      <c r="AP8" s="316" t="str">
        <f t="shared" ref="AP8:AP10" si="52">IFERROR(IF(1-(AJ8-AI8)/(AK8-AI8)&gt;0.9,"G",IF(1-(AJ8-AI8)/(AK8-AI8)&gt;0.85,"A","R")),"")</f>
        <v/>
      </c>
      <c r="AQ8" s="316" t="str">
        <f t="shared" ref="AQ8:AQ10" si="53">IF(AL8="","",IF((AK8-AI8)/(AL8-AI8)&gt;0.9,"G",(IF((AK8-AI8)/(AL8-AI8)&gt;0.85,"A","R"))))</f>
        <v/>
      </c>
      <c r="AR8" s="316" t="str">
        <f t="shared" ref="AR8:AR10" si="54">IF(AM8="","",IF((AK8-AI8)/(AM8-AI8)&gt;0.9,"G",(IF((AK8-AI8)/(AM8-AI8)&gt;0.85,"A","R"))))</f>
        <v/>
      </c>
      <c r="AS8" s="317" t="str">
        <f t="shared" ref="AS8:AS10" si="55">IF(AR8="",IF(AQ8="",AP8,AQ8),AR8)</f>
        <v/>
      </c>
      <c r="AT8" s="318"/>
      <c r="AU8" s="331"/>
      <c r="AV8" s="319">
        <v>42527</v>
      </c>
      <c r="AW8" s="331">
        <v>42527</v>
      </c>
      <c r="AX8" s="331">
        <v>42619</v>
      </c>
      <c r="AY8" s="313">
        <f t="shared" ref="AY8:AY10" si="56">IF(AX8="","",DATE(YEAR(AX8),MONTH(AX8)+3,DAY(AX8)))</f>
        <v>42710</v>
      </c>
      <c r="AZ8" s="313"/>
      <c r="BA8" s="313"/>
      <c r="BB8" s="320" t="str">
        <f t="shared" ref="BB8:BB10" si="57">IFERROR(IF(1-(AU8-AT8)/(AV8-AT8)&gt;0.9,"G",IF(1-(AU8-AT8)/(AV8-AT8)&gt;0.85,"A","R")),"")</f>
        <v>G</v>
      </c>
      <c r="BC8" s="320" t="str">
        <f t="shared" ref="BC8:BC10" si="58">IF(AW8="","",IF((AV8-AT8)/(AW8-AT8)&gt;0.9,"G",(IF((AV8-AT8)/(AW8-AT8)&gt;0.85,"A","R"))))</f>
        <v>G</v>
      </c>
      <c r="BD8" s="320" t="str">
        <f t="shared" ref="BD8:BD10" si="59">IF(AX8="","",IF((AV8-AT8)/(AX8-AT8)&gt;0.9,"G",(IF((AV8-AT8)/(AX8-AT8)&gt;0.85,"A","R"))))</f>
        <v>G</v>
      </c>
      <c r="BE8" s="321" t="str">
        <f t="shared" ref="BE8:BE10" si="60">IF(BD8="",IF(BC8="",BB8,BC8),BD8)</f>
        <v>G</v>
      </c>
      <c r="BF8" s="322"/>
      <c r="BG8" s="323"/>
      <c r="BH8" s="324" t="e">
        <f>VLOOKUP(A8,Finance!$A$3:$J$39,8,FALSE)</f>
        <v>#N/A</v>
      </c>
      <c r="BI8" s="325"/>
      <c r="BJ8" s="323"/>
      <c r="BK8" s="326" t="e">
        <f t="shared" ref="BK8:BK10" si="61">(BG8-BF8)/BF8</f>
        <v>#DIV/0!</v>
      </c>
      <c r="BL8" s="326" t="e">
        <f t="shared" ref="BL8:BL10" si="62">(BH8-BF8)/BF8</f>
        <v>#N/A</v>
      </c>
      <c r="BM8" s="327" t="str">
        <f t="shared" ref="BM8:BM10" si="63">IF(BF8="","",IF(AND(BK8&lt;0.025,BL8&lt;0.025),"G",IF(OR(BK8&gt;0.05,BL8&gt;0.05),"R",IF(AND(BK8&gt;0.025,BL8&gt;0.025),"A","G"))))</f>
        <v/>
      </c>
      <c r="BN8" s="305"/>
      <c r="BO8" s="306" t="s">
        <v>546</v>
      </c>
      <c r="BP8" s="328" t="str">
        <f>IF(AND(BM8="",BE8="",AS8="",W8=""),"",IF(AND(BM8="G",BE8="G",AS8="G",W8="G"),"G",IF(OR(BM8="R",BE8="R",AS8="R",W8="R"),"R",VLOOKUP(CONCATENATE(W8,AS8,BE8,BM8),'Rag Coding'!A:B,2,FALSE))))</f>
        <v>G</v>
      </c>
      <c r="BQ8" s="310" t="s">
        <v>537</v>
      </c>
      <c r="BR8" s="311" t="str">
        <f t="shared" ref="BR8:BR10" ca="1" si="64">IF(M8="","",IF(V8&lt;&gt;"","Completed ",IF(AND(U8&lt;&gt;"",P8&gt;TODAY()),"Forecast Completion on "&amp;DAY(P8)&amp;"-"&amp;MONTH(P8)&amp;"-"&amp;YEAR(P8)&amp;CHAR(10)&amp;IF(P8-O8&gt;0,(P8-O8)&amp;" day(s) late",(IF(P8-O8=0,"on time",(O8-P8)&amp;" day(s) early"))),IF(P8&lt;TODAY(),"Forecast Completion in the past, please update","Baseline Complete"))))</f>
        <v/>
      </c>
      <c r="BS8" s="311" t="str">
        <f t="shared" ref="BS8:BS10" ca="1" si="65">IF(BR8="Completed ",IF(Q8-O8&gt;0,Q8-O8&amp;" day(s) late",(IF(Q8-O8=0,"on time",O8-Q8&amp;" day(s) early"))),"")</f>
        <v/>
      </c>
      <c r="BT8" s="311" t="str">
        <f t="shared" ref="BT8:BT10" ca="1" si="66">IF(X8="","",IF(AG8&lt;&gt;"","Completed ",IF(AND(AF8&lt;&gt;"",AA8&gt;TODAY()),"Forecast Completion on "&amp;DAY(AA8)&amp;"-"&amp;MONTH(AA8)&amp;"-"&amp;YEAR(AA8)&amp;CHAR(10)&amp;IF(AA8-Z8&gt;0,(AA8-Z8)&amp;" day(s) late",(IF(AA8-Z8=0,"on time",(Z8-AA8)&amp;" day(s) early"))),IF(AA8&lt;TODAY(),"Forecast Completion in the past, please update","Baseline Complete"))))</f>
        <v/>
      </c>
      <c r="BU8" s="311" t="str">
        <f t="shared" ref="BU8:BU10" ca="1" si="67">IF(BT8="Completed ",IF(AB8-Z8&gt;0,AB8-Z8&amp;" day(s) late",(IF(AB8-Z8=0,"on time",Z8-AB8&amp;" day(s) early"))),"")</f>
        <v/>
      </c>
      <c r="BV8" s="311" t="str">
        <f t="shared" ref="BV8:BV10" ca="1" si="68">IF(AI8="","",IF(AR8&lt;&gt;"","Completed ",IF(AND(AQ8&lt;&gt;"",AL8&gt;TODAY()),"Forecast Completion on "&amp;DAY(AL8)&amp;"-"&amp;MONTH(AL8)&amp;"-"&amp;YEAR(AL8)&amp;CHAR(10)&amp;IF(AL8-AK8&gt;0,(AL8-AK8)&amp;" day(s) late",(IF(AL8-AK8=0,"on time",(AK8-AL8)&amp;" day(s) early"))),IF(AL8&lt;TODAY(),"Forecast Completion in the past, please update","Baseline Complete"))))</f>
        <v/>
      </c>
      <c r="BW8" s="311" t="str">
        <f t="shared" ref="BW8:BW10" ca="1" si="69">IF(BV8="Completed ",IF(AM8-AK8&gt;0,AM8-AK8&amp;" day(s) late",(IF(AM8-AK8=0,"on time",AK8-AM8&amp;" day(s) early"))),"")</f>
        <v/>
      </c>
      <c r="BX8" s="311" t="str">
        <f t="shared" ref="BX8:BX10" ca="1" si="70">IF(AT8="","",IF(BD8&lt;&gt;"","Completed ",IF(AND(BC8&lt;&gt;"",AW8&gt;TODAY()),"Forecast Completion on "&amp;DAY(AW8)&amp;"-"&amp;MONTH(AW8)&amp;"-"&amp;YEAR(AW8)&amp;CHAR(10)&amp;IF(AW8-AV8&gt;0,(AW8-AV8)&amp;" day(s) late",(IF(AW8-AV8=0,"on time",(AV8-AW8)&amp;" day(s) early"))),IF(AW8&lt;TODAY(),"Forecast Completion in the past, please update","Baseline Complete"))))</f>
        <v/>
      </c>
      <c r="BY8" s="311" t="str">
        <f t="shared" ref="BY8:BY10" ca="1" si="71">IF(BX8="Completed ",IF(AX8-AV8&gt;0,AX8-AV8&amp;" day(s) late",(IF(AX8-AV8=0,"on time",AV8-AX8&amp;" day(s) early"))),"")</f>
        <v/>
      </c>
      <c r="BZ8" s="311" t="str">
        <f t="shared" ref="BZ8:BZ10" ca="1" si="72">IF(BX8="Completed ",IF(BG8-BF8&gt;0,"Over budget by £"&amp;(BG8-BF8),"Under budget by £"&amp;BF8-BG8),IF(BG8="","","Current Forecast Spend £"&amp;BG8))</f>
        <v/>
      </c>
      <c r="CA8" s="311" t="str">
        <f t="shared" ref="CA8:CA10" si="73">IF(COUNTA(AT8:AX8),"Stage Gate 5",IF(COUNTA(AI8:AM8),"Stage Gate 4", IF(COUNTA(X8:AB8),"Stage Gate 3",  IF(COUNTA(M8:Q8),"Stage Gate 2", "Stage Gate 1"))))</f>
        <v>Stage Gate 5</v>
      </c>
    </row>
    <row r="9" spans="1:79" ht="202.5" customHeight="1" x14ac:dyDescent="0.2">
      <c r="A9" s="216" t="s">
        <v>298</v>
      </c>
      <c r="B9" s="308" t="s">
        <v>299</v>
      </c>
      <c r="C9" s="308" t="s">
        <v>321</v>
      </c>
      <c r="D9" s="307" t="s">
        <v>93</v>
      </c>
      <c r="E9" s="307" t="s">
        <v>103</v>
      </c>
      <c r="F9" s="100"/>
      <c r="G9" s="100" t="s">
        <v>100</v>
      </c>
      <c r="H9" s="219">
        <v>42370</v>
      </c>
      <c r="I9" s="334">
        <f t="shared" si="41"/>
        <v>42401</v>
      </c>
      <c r="J9" s="218"/>
      <c r="K9" s="333" t="str">
        <f t="shared" si="42"/>
        <v>Board Date
01/02/2016</v>
      </c>
      <c r="L9" s="317" t="str">
        <f t="shared" ca="1" si="43"/>
        <v>R</v>
      </c>
      <c r="M9" s="332"/>
      <c r="N9" s="330"/>
      <c r="O9" s="315"/>
      <c r="P9" s="331"/>
      <c r="Q9" s="330"/>
      <c r="R9" s="309"/>
      <c r="S9" s="309"/>
      <c r="T9" s="316" t="str">
        <f t="shared" si="44"/>
        <v/>
      </c>
      <c r="U9" s="316" t="str">
        <f t="shared" si="45"/>
        <v/>
      </c>
      <c r="V9" s="316" t="str">
        <f t="shared" si="46"/>
        <v/>
      </c>
      <c r="W9" s="317" t="str">
        <f t="shared" si="47"/>
        <v/>
      </c>
      <c r="X9" s="314"/>
      <c r="Y9" s="330"/>
      <c r="Z9" s="315"/>
      <c r="AA9" s="330"/>
      <c r="AB9" s="330"/>
      <c r="AC9" s="315"/>
      <c r="AD9" s="315"/>
      <c r="AE9" s="316" t="str">
        <f t="shared" si="48"/>
        <v/>
      </c>
      <c r="AF9" s="316" t="str">
        <f t="shared" si="49"/>
        <v/>
      </c>
      <c r="AG9" s="316" t="str">
        <f t="shared" si="50"/>
        <v/>
      </c>
      <c r="AH9" s="317" t="str">
        <f t="shared" si="51"/>
        <v/>
      </c>
      <c r="AI9" s="314"/>
      <c r="AJ9" s="330"/>
      <c r="AK9" s="315"/>
      <c r="AL9" s="330"/>
      <c r="AM9" s="330"/>
      <c r="AN9" s="315"/>
      <c r="AO9" s="315"/>
      <c r="AP9" s="316" t="str">
        <f t="shared" si="52"/>
        <v/>
      </c>
      <c r="AQ9" s="316" t="str">
        <f t="shared" si="53"/>
        <v/>
      </c>
      <c r="AR9" s="316" t="str">
        <f t="shared" si="54"/>
        <v/>
      </c>
      <c r="AS9" s="317" t="str">
        <f t="shared" si="55"/>
        <v/>
      </c>
      <c r="AT9" s="318">
        <v>42401</v>
      </c>
      <c r="AU9" s="331">
        <v>42401</v>
      </c>
      <c r="AV9" s="319">
        <v>42422</v>
      </c>
      <c r="AW9" s="331">
        <v>42440</v>
      </c>
      <c r="AX9" s="331">
        <v>42440</v>
      </c>
      <c r="AY9" s="313">
        <f t="shared" si="56"/>
        <v>42532</v>
      </c>
      <c r="AZ9" s="313"/>
      <c r="BA9" s="313"/>
      <c r="BB9" s="320" t="str">
        <f t="shared" si="57"/>
        <v>G</v>
      </c>
      <c r="BC9" s="320" t="str">
        <f t="shared" si="58"/>
        <v>R</v>
      </c>
      <c r="BD9" s="320" t="str">
        <f t="shared" si="59"/>
        <v>R</v>
      </c>
      <c r="BE9" s="321" t="str">
        <f t="shared" si="60"/>
        <v>R</v>
      </c>
      <c r="BF9" s="322">
        <v>44000</v>
      </c>
      <c r="BG9" s="323">
        <v>37400</v>
      </c>
      <c r="BH9" s="324" t="e">
        <f>VLOOKUP(A9,Finance!$A$3:$J$39,8,FALSE)</f>
        <v>#N/A</v>
      </c>
      <c r="BI9" s="325">
        <v>25000</v>
      </c>
      <c r="BJ9" s="323"/>
      <c r="BK9" s="326">
        <f t="shared" si="61"/>
        <v>-0.15</v>
      </c>
      <c r="BL9" s="326" t="e">
        <f t="shared" si="62"/>
        <v>#N/A</v>
      </c>
      <c r="BM9" s="327" t="e">
        <f t="shared" si="63"/>
        <v>#N/A</v>
      </c>
      <c r="BN9" s="305" t="s">
        <v>323</v>
      </c>
      <c r="BO9" s="306" t="s">
        <v>503</v>
      </c>
      <c r="BP9" s="328" t="e">
        <f>IF(AND(BM9="",BE9="",AS9="",W9=""),"",IF(AND(BM9="G",BE9="G",AS9="G",W9="G"),"G",IF(OR(BM9="R",BE9="R",AS9="R",W9="R"),"R",VLOOKUP(CONCATENATE(W9,AS9,BE9,BM9),'Rag Coding'!A:B,2,FALSE))))</f>
        <v>#N/A</v>
      </c>
      <c r="BQ9" s="310" t="s">
        <v>536</v>
      </c>
      <c r="BR9" s="311" t="str">
        <f t="shared" ca="1" si="64"/>
        <v/>
      </c>
      <c r="BS9" s="311" t="str">
        <f t="shared" ca="1" si="65"/>
        <v/>
      </c>
      <c r="BT9" s="311" t="str">
        <f t="shared" ca="1" si="66"/>
        <v/>
      </c>
      <c r="BU9" s="311" t="str">
        <f t="shared" ca="1" si="67"/>
        <v/>
      </c>
      <c r="BV9" s="311" t="str">
        <f t="shared" ca="1" si="68"/>
        <v/>
      </c>
      <c r="BW9" s="311" t="str">
        <f t="shared" ca="1" si="69"/>
        <v/>
      </c>
      <c r="BX9" s="311" t="str">
        <f t="shared" ca="1" si="70"/>
        <v xml:space="preserve">Completed </v>
      </c>
      <c r="BY9" s="311" t="str">
        <f t="shared" ca="1" si="71"/>
        <v>18 day(s) late</v>
      </c>
      <c r="BZ9" s="311" t="str">
        <f t="shared" ca="1" si="72"/>
        <v>Under budget by £6600</v>
      </c>
      <c r="CA9" s="311" t="str">
        <f t="shared" si="73"/>
        <v>Stage Gate 5</v>
      </c>
    </row>
    <row r="10" spans="1:79" ht="101.25" customHeight="1" x14ac:dyDescent="0.2">
      <c r="A10" s="216" t="s">
        <v>182</v>
      </c>
      <c r="B10" s="308"/>
      <c r="C10" s="308" t="s">
        <v>183</v>
      </c>
      <c r="D10" s="307" t="s">
        <v>331</v>
      </c>
      <c r="E10" s="307" t="s">
        <v>105</v>
      </c>
      <c r="F10" s="100"/>
      <c r="G10" s="100" t="s">
        <v>177</v>
      </c>
      <c r="H10" s="219">
        <v>42005</v>
      </c>
      <c r="I10" s="334">
        <f t="shared" si="41"/>
        <v>42036</v>
      </c>
      <c r="J10" s="218"/>
      <c r="K10" s="333" t="str">
        <f t="shared" si="42"/>
        <v>Board Date
01/02/2015</v>
      </c>
      <c r="L10" s="317" t="str">
        <f t="shared" ca="1" si="43"/>
        <v>R</v>
      </c>
      <c r="M10" s="332"/>
      <c r="N10" s="330"/>
      <c r="O10" s="315"/>
      <c r="P10" s="331"/>
      <c r="Q10" s="330"/>
      <c r="R10" s="309"/>
      <c r="S10" s="309"/>
      <c r="T10" s="316" t="str">
        <f t="shared" si="44"/>
        <v/>
      </c>
      <c r="U10" s="316" t="str">
        <f t="shared" si="45"/>
        <v/>
      </c>
      <c r="V10" s="316" t="str">
        <f t="shared" si="46"/>
        <v/>
      </c>
      <c r="W10" s="317" t="str">
        <f t="shared" si="47"/>
        <v/>
      </c>
      <c r="X10" s="314"/>
      <c r="Y10" s="330"/>
      <c r="Z10" s="315"/>
      <c r="AA10" s="330"/>
      <c r="AB10" s="330"/>
      <c r="AC10" s="315"/>
      <c r="AD10" s="315"/>
      <c r="AE10" s="316" t="str">
        <f t="shared" si="48"/>
        <v/>
      </c>
      <c r="AF10" s="316" t="str">
        <f t="shared" si="49"/>
        <v/>
      </c>
      <c r="AG10" s="316" t="str">
        <f t="shared" si="50"/>
        <v/>
      </c>
      <c r="AH10" s="317" t="str">
        <f t="shared" si="51"/>
        <v/>
      </c>
      <c r="AI10" s="314"/>
      <c r="AJ10" s="330"/>
      <c r="AK10" s="315"/>
      <c r="AL10" s="330"/>
      <c r="AM10" s="330"/>
      <c r="AN10" s="315"/>
      <c r="AO10" s="315"/>
      <c r="AP10" s="316" t="str">
        <f t="shared" si="52"/>
        <v/>
      </c>
      <c r="AQ10" s="316" t="str">
        <f t="shared" si="53"/>
        <v/>
      </c>
      <c r="AR10" s="316" t="str">
        <f t="shared" si="54"/>
        <v/>
      </c>
      <c r="AS10" s="317" t="str">
        <f t="shared" si="55"/>
        <v/>
      </c>
      <c r="AT10" s="318"/>
      <c r="AU10" s="331"/>
      <c r="AV10" s="319">
        <v>42282</v>
      </c>
      <c r="AW10" s="331">
        <v>42291</v>
      </c>
      <c r="AX10" s="331">
        <v>42291</v>
      </c>
      <c r="AY10" s="313">
        <f t="shared" si="56"/>
        <v>42383</v>
      </c>
      <c r="AZ10" s="313"/>
      <c r="BA10" s="313"/>
      <c r="BB10" s="320" t="str">
        <f t="shared" si="57"/>
        <v>G</v>
      </c>
      <c r="BC10" s="320" t="str">
        <f t="shared" si="58"/>
        <v>G</v>
      </c>
      <c r="BD10" s="320" t="str">
        <f t="shared" si="59"/>
        <v>G</v>
      </c>
      <c r="BE10" s="321" t="str">
        <f t="shared" si="60"/>
        <v>G</v>
      </c>
      <c r="BF10" s="322">
        <v>10000</v>
      </c>
      <c r="BG10" s="323">
        <v>10000</v>
      </c>
      <c r="BH10" s="324" t="e">
        <f>VLOOKUP(A10,Finance!$A$3:$J$39,8,FALSE)</f>
        <v>#N/A</v>
      </c>
      <c r="BI10" s="325"/>
      <c r="BJ10" s="323"/>
      <c r="BK10" s="326">
        <f t="shared" si="61"/>
        <v>0</v>
      </c>
      <c r="BL10" s="326" t="e">
        <f t="shared" si="62"/>
        <v>#N/A</v>
      </c>
      <c r="BM10" s="327" t="e">
        <f t="shared" si="63"/>
        <v>#N/A</v>
      </c>
      <c r="BN10" s="305"/>
      <c r="BO10" s="306" t="s">
        <v>545</v>
      </c>
      <c r="BP10" s="328" t="e">
        <f>IF(AND(BM10="",BE10="",AS10="",W10=""),"",IF(AND(BM10="G",BE10="G",AS10="G",W10="G"),"G",IF(OR(BM10="R",BE10="R",AS10="R",W10="R"),"R",VLOOKUP(CONCATENATE(W10,AS10,BE10,BM10),'Rag Coding'!A:B,2,FALSE))))</f>
        <v>#N/A</v>
      </c>
      <c r="BQ10" s="310"/>
      <c r="BR10" s="311" t="str">
        <f t="shared" ca="1" si="64"/>
        <v/>
      </c>
      <c r="BS10" s="311" t="str">
        <f t="shared" ca="1" si="65"/>
        <v/>
      </c>
      <c r="BT10" s="311" t="str">
        <f t="shared" ca="1" si="66"/>
        <v/>
      </c>
      <c r="BU10" s="311" t="str">
        <f t="shared" ca="1" si="67"/>
        <v/>
      </c>
      <c r="BV10" s="311" t="str">
        <f t="shared" ca="1" si="68"/>
        <v/>
      </c>
      <c r="BW10" s="311" t="str">
        <f t="shared" ca="1" si="69"/>
        <v/>
      </c>
      <c r="BX10" s="311" t="str">
        <f t="shared" ca="1" si="70"/>
        <v/>
      </c>
      <c r="BY10" s="311" t="str">
        <f t="shared" ca="1" si="71"/>
        <v/>
      </c>
      <c r="BZ10" s="311" t="str">
        <f t="shared" ca="1" si="72"/>
        <v>Current Forecast Spend £10000</v>
      </c>
      <c r="CA10" s="311" t="str">
        <f t="shared" si="73"/>
        <v>Stage Gate 5</v>
      </c>
    </row>
    <row r="11" spans="1:79" ht="67.5" x14ac:dyDescent="0.2">
      <c r="A11" s="312" t="s">
        <v>158</v>
      </c>
      <c r="B11" s="308" t="s">
        <v>159</v>
      </c>
      <c r="C11" s="308" t="s">
        <v>160</v>
      </c>
      <c r="D11" s="307" t="s">
        <v>89</v>
      </c>
      <c r="E11" s="307" t="s">
        <v>101</v>
      </c>
      <c r="F11" s="307" t="s">
        <v>531</v>
      </c>
      <c r="G11" s="260" t="s">
        <v>99</v>
      </c>
      <c r="H11" s="262">
        <v>42571</v>
      </c>
      <c r="I11" s="335">
        <v>42602</v>
      </c>
      <c r="J11" s="336"/>
      <c r="K11" s="333" t="s">
        <v>611</v>
      </c>
      <c r="L11" s="317" t="s">
        <v>541</v>
      </c>
      <c r="M11" s="332"/>
      <c r="N11" s="330"/>
      <c r="O11" s="315"/>
      <c r="P11" s="331"/>
      <c r="Q11" s="330"/>
      <c r="R11" s="309"/>
      <c r="S11" s="309" t="s">
        <v>165</v>
      </c>
      <c r="T11" s="316" t="s">
        <v>538</v>
      </c>
      <c r="U11" s="316" t="s">
        <v>538</v>
      </c>
      <c r="V11" s="316" t="s">
        <v>538</v>
      </c>
      <c r="W11" s="317" t="s">
        <v>538</v>
      </c>
      <c r="X11" s="314"/>
      <c r="Y11" s="330"/>
      <c r="Z11" s="315"/>
      <c r="AA11" s="330"/>
      <c r="AB11" s="330"/>
      <c r="AC11" s="315"/>
      <c r="AD11" s="315"/>
      <c r="AE11" s="316" t="s">
        <v>538</v>
      </c>
      <c r="AF11" s="316" t="s">
        <v>538</v>
      </c>
      <c r="AG11" s="316" t="s">
        <v>538</v>
      </c>
      <c r="AH11" s="317" t="s">
        <v>538</v>
      </c>
      <c r="AI11" s="314"/>
      <c r="AJ11" s="330"/>
      <c r="AK11" s="315"/>
      <c r="AL11" s="330"/>
      <c r="AM11" s="330"/>
      <c r="AN11" s="315"/>
      <c r="AO11" s="315"/>
      <c r="AP11" s="316" t="s">
        <v>538</v>
      </c>
      <c r="AQ11" s="316" t="s">
        <v>538</v>
      </c>
      <c r="AR11" s="316" t="s">
        <v>538</v>
      </c>
      <c r="AS11" s="317" t="s">
        <v>538</v>
      </c>
      <c r="AT11" s="318">
        <v>42583</v>
      </c>
      <c r="AU11" s="331">
        <v>42583</v>
      </c>
      <c r="AV11" s="319">
        <v>42705</v>
      </c>
      <c r="AW11" s="331">
        <v>42705</v>
      </c>
      <c r="AX11" s="331">
        <v>42705</v>
      </c>
      <c r="AY11" s="313">
        <v>42795</v>
      </c>
      <c r="AZ11" s="313"/>
      <c r="BA11" s="313" t="s">
        <v>165</v>
      </c>
      <c r="BB11" s="320" t="s">
        <v>28</v>
      </c>
      <c r="BC11" s="320" t="s">
        <v>28</v>
      </c>
      <c r="BD11" s="320" t="s">
        <v>28</v>
      </c>
      <c r="BE11" s="321" t="s">
        <v>28</v>
      </c>
      <c r="BF11" s="322">
        <v>175000</v>
      </c>
      <c r="BG11" s="323">
        <v>165539</v>
      </c>
      <c r="BH11" s="324">
        <v>126281</v>
      </c>
      <c r="BI11" s="325"/>
      <c r="BJ11" s="323"/>
      <c r="BK11" s="326">
        <v>-5.4062857142857142E-2</v>
      </c>
      <c r="BL11" s="326">
        <v>-0.27839428571428571</v>
      </c>
      <c r="BM11" s="327" t="s">
        <v>28</v>
      </c>
      <c r="BN11" s="305" t="s">
        <v>282</v>
      </c>
      <c r="BO11" s="306" t="s">
        <v>577</v>
      </c>
      <c r="BP11" s="328" t="s">
        <v>28</v>
      </c>
      <c r="BQ11" s="310" t="s">
        <v>605</v>
      </c>
      <c r="BR11" s="311" t="s">
        <v>538</v>
      </c>
      <c r="BS11" s="311" t="s">
        <v>538</v>
      </c>
      <c r="BT11" s="311" t="s">
        <v>538</v>
      </c>
      <c r="BU11" s="311" t="s">
        <v>538</v>
      </c>
      <c r="BV11" s="311" t="s">
        <v>538</v>
      </c>
      <c r="BW11" s="311" t="s">
        <v>538</v>
      </c>
      <c r="BX11" s="311" t="s">
        <v>539</v>
      </c>
      <c r="BY11" s="311" t="s">
        <v>542</v>
      </c>
      <c r="BZ11" s="311" t="s">
        <v>612</v>
      </c>
      <c r="CA11" s="38" t="s">
        <v>526</v>
      </c>
    </row>
    <row r="12" spans="1:79" ht="56.25" customHeight="1" x14ac:dyDescent="0.2">
      <c r="A12" s="44" t="s">
        <v>141</v>
      </c>
      <c r="B12" s="21" t="s">
        <v>142</v>
      </c>
      <c r="C12" s="21" t="s">
        <v>143</v>
      </c>
      <c r="D12" s="20" t="s">
        <v>92</v>
      </c>
      <c r="E12" s="20" t="s">
        <v>249</v>
      </c>
      <c r="F12" s="100" t="s">
        <v>529</v>
      </c>
      <c r="G12" s="100" t="s">
        <v>99</v>
      </c>
      <c r="H12" s="162">
        <v>42262</v>
      </c>
      <c r="I12" s="150">
        <v>42292</v>
      </c>
      <c r="J12" s="155"/>
      <c r="K12" s="154"/>
      <c r="L12" s="54"/>
      <c r="M12" s="140"/>
      <c r="N12" s="112"/>
      <c r="O12" s="52"/>
      <c r="P12" s="113"/>
      <c r="Q12" s="112" t="s">
        <v>147</v>
      </c>
      <c r="R12" s="28" t="s">
        <v>538</v>
      </c>
      <c r="S12" s="28"/>
      <c r="T12" s="53"/>
      <c r="U12" s="53"/>
      <c r="V12" s="53"/>
      <c r="W12" s="54"/>
      <c r="X12" s="51"/>
      <c r="Y12" s="112"/>
      <c r="Z12" s="52" t="s">
        <v>538</v>
      </c>
      <c r="AA12" s="112"/>
      <c r="AB12" s="112"/>
      <c r="AC12" s="52"/>
      <c r="AD12" s="52"/>
      <c r="AE12" s="53"/>
      <c r="AF12" s="53"/>
      <c r="AG12" s="53" t="s">
        <v>147</v>
      </c>
      <c r="AH12" s="54" t="s">
        <v>538</v>
      </c>
      <c r="AI12" s="51">
        <v>42573</v>
      </c>
      <c r="AJ12" s="112">
        <v>42573</v>
      </c>
      <c r="AK12" s="52">
        <v>42720</v>
      </c>
      <c r="AL12" s="112">
        <v>42720</v>
      </c>
      <c r="AM12" s="112">
        <v>42720</v>
      </c>
      <c r="AN12" s="52">
        <v>42810</v>
      </c>
      <c r="AO12" s="52"/>
      <c r="AP12" s="53" t="s">
        <v>132</v>
      </c>
      <c r="AQ12" s="53" t="s">
        <v>28</v>
      </c>
      <c r="AR12" s="53">
        <v>131343</v>
      </c>
      <c r="AS12" s="54">
        <v>112874</v>
      </c>
      <c r="AT12" s="55">
        <v>97761.44</v>
      </c>
      <c r="AU12" s="113">
        <v>81430</v>
      </c>
      <c r="AV12" s="56">
        <v>113674</v>
      </c>
      <c r="AW12" s="113">
        <v>-0.14061655360392256</v>
      </c>
      <c r="AX12" s="113">
        <v>-0.25567833839641241</v>
      </c>
      <c r="AY12" s="45" t="s">
        <v>28</v>
      </c>
      <c r="AZ12" s="45" t="s">
        <v>282</v>
      </c>
      <c r="BA12" s="45" t="s">
        <v>607</v>
      </c>
      <c r="BB12" s="57" t="s">
        <v>28</v>
      </c>
      <c r="BC12" s="57" t="s">
        <v>576</v>
      </c>
      <c r="BD12" s="57"/>
      <c r="BE12" s="58"/>
      <c r="BF12" s="59"/>
      <c r="BG12" s="60"/>
      <c r="BH12" s="61"/>
      <c r="BI12" s="62"/>
      <c r="BJ12" s="60"/>
      <c r="BK12" s="63"/>
      <c r="BL12" s="63"/>
      <c r="BM12" s="64"/>
      <c r="BN12" s="18"/>
      <c r="BO12" s="19"/>
      <c r="BP12" s="65"/>
      <c r="BQ12" s="37"/>
      <c r="BR12" s="39"/>
      <c r="BS12" s="39"/>
      <c r="BT12" s="39"/>
      <c r="BU12" s="39"/>
      <c r="BV12" s="39"/>
      <c r="BW12" s="39"/>
      <c r="BX12" s="39"/>
      <c r="BY12" s="39"/>
      <c r="BZ12" s="39"/>
      <c r="CA12" s="38"/>
    </row>
    <row r="13" spans="1:79" ht="56.25" customHeight="1" x14ac:dyDescent="0.2">
      <c r="A13" s="44" t="s">
        <v>141</v>
      </c>
      <c r="B13" s="21" t="s">
        <v>142</v>
      </c>
      <c r="C13" s="21" t="s">
        <v>143</v>
      </c>
      <c r="D13" s="20" t="s">
        <v>92</v>
      </c>
      <c r="E13" s="20" t="s">
        <v>249</v>
      </c>
      <c r="F13" s="100" t="s">
        <v>529</v>
      </c>
      <c r="G13" s="100" t="s">
        <v>99</v>
      </c>
      <c r="H13" s="162">
        <v>42262</v>
      </c>
      <c r="I13" s="150">
        <v>42292</v>
      </c>
      <c r="J13" s="155"/>
      <c r="K13" s="154"/>
      <c r="L13" s="54"/>
      <c r="M13" s="140"/>
      <c r="N13" s="112"/>
      <c r="O13" s="52"/>
      <c r="P13" s="113"/>
      <c r="Q13" s="112" t="s">
        <v>147</v>
      </c>
      <c r="R13" s="28" t="s">
        <v>538</v>
      </c>
      <c r="S13" s="28"/>
      <c r="T13" s="53"/>
      <c r="U13" s="53"/>
      <c r="V13" s="53"/>
      <c r="W13" s="54"/>
      <c r="X13" s="51"/>
      <c r="Y13" s="112"/>
      <c r="Z13" s="52" t="s">
        <v>538</v>
      </c>
      <c r="AA13" s="113"/>
      <c r="AB13" s="112"/>
      <c r="AC13" s="52"/>
      <c r="AD13" s="52"/>
      <c r="AE13" s="53"/>
      <c r="AF13" s="53"/>
      <c r="AG13" s="53" t="s">
        <v>147</v>
      </c>
      <c r="AH13" s="54" t="s">
        <v>538</v>
      </c>
      <c r="AI13" s="51">
        <v>42573</v>
      </c>
      <c r="AJ13" s="112">
        <v>42573</v>
      </c>
      <c r="AK13" s="52">
        <v>42720</v>
      </c>
      <c r="AL13" s="113">
        <v>42720</v>
      </c>
      <c r="AM13" s="112">
        <v>42720</v>
      </c>
      <c r="AN13" s="52">
        <v>42810</v>
      </c>
      <c r="AO13" s="52"/>
      <c r="AP13" s="53" t="s">
        <v>132</v>
      </c>
      <c r="AQ13" s="53" t="s">
        <v>28</v>
      </c>
      <c r="AR13" s="53">
        <v>131343</v>
      </c>
      <c r="AS13" s="54">
        <v>112874</v>
      </c>
      <c r="AT13" s="55">
        <v>97761.44</v>
      </c>
      <c r="AU13" s="113">
        <v>81430</v>
      </c>
      <c r="AV13" s="56">
        <v>113674</v>
      </c>
      <c r="AW13" s="113">
        <v>-0.14061655360392256</v>
      </c>
      <c r="AX13" s="113">
        <v>-0.25567833839641241</v>
      </c>
      <c r="AY13" s="45" t="s">
        <v>28</v>
      </c>
      <c r="AZ13" s="45" t="s">
        <v>282</v>
      </c>
      <c r="BA13" s="45" t="s">
        <v>607</v>
      </c>
      <c r="BB13" s="57" t="s">
        <v>28</v>
      </c>
      <c r="BC13" s="57" t="s">
        <v>610</v>
      </c>
      <c r="BD13" s="57"/>
      <c r="BE13" s="58"/>
      <c r="BF13" s="59"/>
      <c r="BG13" s="60"/>
      <c r="BH13" s="61"/>
      <c r="BI13" s="62"/>
      <c r="BJ13" s="60"/>
      <c r="BK13" s="63"/>
      <c r="BL13" s="63"/>
      <c r="BM13" s="64"/>
      <c r="BN13" s="122"/>
      <c r="BO13" s="121"/>
      <c r="BP13" s="65"/>
      <c r="BQ13" s="37"/>
      <c r="BR13" s="39"/>
      <c r="BS13" s="39"/>
      <c r="BT13" s="39"/>
      <c r="BU13" s="39"/>
      <c r="BV13" s="39"/>
      <c r="BW13" s="39"/>
      <c r="BX13" s="39"/>
      <c r="BY13" s="39"/>
      <c r="BZ13" s="39"/>
      <c r="CA13" s="38"/>
    </row>
    <row r="14" spans="1:79" ht="180" x14ac:dyDescent="0.2">
      <c r="A14" s="44" t="s">
        <v>141</v>
      </c>
      <c r="B14" s="21" t="s">
        <v>142</v>
      </c>
      <c r="C14" s="21" t="s">
        <v>143</v>
      </c>
      <c r="D14" s="20" t="s">
        <v>92</v>
      </c>
      <c r="E14" s="20" t="s">
        <v>249</v>
      </c>
      <c r="F14" s="100" t="s">
        <v>529</v>
      </c>
      <c r="G14" s="100" t="s">
        <v>99</v>
      </c>
      <c r="H14" s="162">
        <v>42262</v>
      </c>
      <c r="I14" s="150">
        <v>42292</v>
      </c>
      <c r="J14" s="155"/>
      <c r="K14" s="154"/>
      <c r="L14" s="54"/>
      <c r="M14" s="140"/>
      <c r="N14" s="112"/>
      <c r="O14" s="52"/>
      <c r="P14" s="113"/>
      <c r="Q14" s="112" t="s">
        <v>147</v>
      </c>
      <c r="R14" s="28" t="s">
        <v>538</v>
      </c>
      <c r="S14" s="28"/>
      <c r="T14" s="53"/>
      <c r="U14" s="53"/>
      <c r="V14" s="53"/>
      <c r="W14" s="54"/>
      <c r="X14" s="51"/>
      <c r="Y14" s="112"/>
      <c r="Z14" s="52" t="s">
        <v>538</v>
      </c>
      <c r="AA14" s="112"/>
      <c r="AB14" s="112"/>
      <c r="AC14" s="52"/>
      <c r="AD14" s="52"/>
      <c r="AE14" s="53"/>
      <c r="AF14" s="53"/>
      <c r="AG14" s="53" t="s">
        <v>147</v>
      </c>
      <c r="AH14" s="54" t="s">
        <v>538</v>
      </c>
      <c r="AI14" s="51">
        <v>42573</v>
      </c>
      <c r="AJ14" s="112">
        <v>42573</v>
      </c>
      <c r="AK14" s="52">
        <v>42720</v>
      </c>
      <c r="AL14" s="112">
        <v>42720</v>
      </c>
      <c r="AM14" s="112">
        <v>42720</v>
      </c>
      <c r="AN14" s="52">
        <v>42810</v>
      </c>
      <c r="AO14" s="52"/>
      <c r="AP14" s="53" t="s">
        <v>132</v>
      </c>
      <c r="AQ14" s="53" t="s">
        <v>28</v>
      </c>
      <c r="AR14" s="53">
        <v>131343</v>
      </c>
      <c r="AS14" s="54">
        <v>112874</v>
      </c>
      <c r="AT14" s="55">
        <v>97761.44</v>
      </c>
      <c r="AU14" s="113">
        <v>81430</v>
      </c>
      <c r="AV14" s="56">
        <v>113674</v>
      </c>
      <c r="AW14" s="113">
        <v>-0.14061655360392256</v>
      </c>
      <c r="AX14" s="113">
        <v>-0.25567833839641241</v>
      </c>
      <c r="AY14" s="45" t="s">
        <v>28</v>
      </c>
      <c r="AZ14" s="45" t="s">
        <v>282</v>
      </c>
      <c r="BA14" s="45" t="s">
        <v>607</v>
      </c>
      <c r="BB14" s="57" t="s">
        <v>28</v>
      </c>
      <c r="BC14" s="57" t="s">
        <v>613</v>
      </c>
      <c r="BD14" s="57"/>
      <c r="BE14" s="58"/>
      <c r="BF14" s="59"/>
      <c r="BG14" s="60"/>
      <c r="BH14" s="61"/>
      <c r="BI14" s="62"/>
      <c r="BJ14" s="60"/>
      <c r="BK14" s="63"/>
      <c r="BL14" s="63"/>
      <c r="BM14" s="64"/>
      <c r="BN14" s="122"/>
      <c r="BO14" s="121"/>
      <c r="BP14" s="65"/>
      <c r="BQ14" s="37"/>
      <c r="BR14" s="39"/>
      <c r="BS14" s="39"/>
      <c r="BT14" s="39"/>
      <c r="BU14" s="39"/>
      <c r="BV14" s="39"/>
      <c r="BW14" s="39"/>
      <c r="BX14" s="39"/>
      <c r="BY14" s="39"/>
      <c r="BZ14" s="39"/>
      <c r="CA14" s="38"/>
    </row>
    <row r="15" spans="1:79" ht="135" customHeight="1" x14ac:dyDescent="0.2">
      <c r="A15" s="44" t="s">
        <v>141</v>
      </c>
      <c r="B15" s="21" t="s">
        <v>142</v>
      </c>
      <c r="C15" s="21" t="s">
        <v>143</v>
      </c>
      <c r="D15" s="20" t="s">
        <v>92</v>
      </c>
      <c r="E15" s="20" t="s">
        <v>249</v>
      </c>
      <c r="F15" s="100" t="s">
        <v>529</v>
      </c>
      <c r="G15" s="100" t="s">
        <v>99</v>
      </c>
      <c r="H15" s="162">
        <v>42262</v>
      </c>
      <c r="I15" s="150">
        <v>42292</v>
      </c>
      <c r="J15" s="155"/>
      <c r="K15" s="154" t="s">
        <v>615</v>
      </c>
      <c r="L15" s="54" t="s">
        <v>541</v>
      </c>
      <c r="M15" s="140"/>
      <c r="N15" s="112"/>
      <c r="O15" s="52"/>
      <c r="P15" s="113"/>
      <c r="Q15" s="112"/>
      <c r="R15" s="28"/>
      <c r="S15" s="28" t="s">
        <v>147</v>
      </c>
      <c r="T15" s="53" t="s">
        <v>538</v>
      </c>
      <c r="U15" s="53" t="s">
        <v>538</v>
      </c>
      <c r="V15" s="53" t="s">
        <v>538</v>
      </c>
      <c r="W15" s="54" t="s">
        <v>538</v>
      </c>
      <c r="X15" s="51"/>
      <c r="Y15" s="112"/>
      <c r="Z15" s="52"/>
      <c r="AA15" s="112"/>
      <c r="AB15" s="112"/>
      <c r="AC15" s="52"/>
      <c r="AD15" s="52"/>
      <c r="AE15" s="53" t="s">
        <v>538</v>
      </c>
      <c r="AF15" s="53" t="s">
        <v>538</v>
      </c>
      <c r="AG15" s="53" t="s">
        <v>538</v>
      </c>
      <c r="AH15" s="54" t="s">
        <v>538</v>
      </c>
      <c r="AI15" s="51"/>
      <c r="AJ15" s="112"/>
      <c r="AK15" s="52"/>
      <c r="AL15" s="112"/>
      <c r="AM15" s="112"/>
      <c r="AN15" s="52"/>
      <c r="AO15" s="52" t="s">
        <v>147</v>
      </c>
      <c r="AP15" s="53" t="s">
        <v>538</v>
      </c>
      <c r="AQ15" s="53" t="s">
        <v>538</v>
      </c>
      <c r="AR15" s="53" t="s">
        <v>538</v>
      </c>
      <c r="AS15" s="54" t="s">
        <v>538</v>
      </c>
      <c r="AT15" s="55">
        <v>42573</v>
      </c>
      <c r="AU15" s="113">
        <v>42573</v>
      </c>
      <c r="AV15" s="56">
        <v>42720</v>
      </c>
      <c r="AW15" s="113">
        <v>42720</v>
      </c>
      <c r="AX15" s="113">
        <v>42720</v>
      </c>
      <c r="AY15" s="45">
        <v>42810</v>
      </c>
      <c r="AZ15" s="45"/>
      <c r="BA15" s="45" t="s">
        <v>132</v>
      </c>
      <c r="BB15" s="57" t="s">
        <v>28</v>
      </c>
      <c r="BC15" s="57" t="s">
        <v>28</v>
      </c>
      <c r="BD15" s="57" t="s">
        <v>28</v>
      </c>
      <c r="BE15" s="58" t="s">
        <v>28</v>
      </c>
      <c r="BF15" s="59">
        <v>131343</v>
      </c>
      <c r="BG15" s="60">
        <v>112874</v>
      </c>
      <c r="BH15" s="61">
        <v>97761.44</v>
      </c>
      <c r="BI15" s="62">
        <v>81430</v>
      </c>
      <c r="BJ15" s="60">
        <v>113674</v>
      </c>
      <c r="BK15" s="63">
        <v>-0.14061655360392256</v>
      </c>
      <c r="BL15" s="63">
        <v>-0.25567833839641241</v>
      </c>
      <c r="BM15" s="64" t="s">
        <v>28</v>
      </c>
      <c r="BN15" s="18" t="s">
        <v>282</v>
      </c>
      <c r="BO15" s="121" t="s">
        <v>607</v>
      </c>
      <c r="BP15" s="65" t="s">
        <v>28</v>
      </c>
      <c r="BQ15" s="37" t="s">
        <v>606</v>
      </c>
      <c r="BR15" s="39" t="s">
        <v>538</v>
      </c>
      <c r="BS15" s="39" t="s">
        <v>538</v>
      </c>
      <c r="BT15" s="39" t="s">
        <v>538</v>
      </c>
      <c r="BU15" s="39" t="s">
        <v>538</v>
      </c>
      <c r="BV15" s="39" t="s">
        <v>538</v>
      </c>
      <c r="BW15" s="39" t="s">
        <v>538</v>
      </c>
      <c r="BX15" s="39" t="s">
        <v>539</v>
      </c>
      <c r="BY15" s="39" t="s">
        <v>542</v>
      </c>
      <c r="BZ15" s="39" t="s">
        <v>616</v>
      </c>
      <c r="CA15" s="38" t="s">
        <v>526</v>
      </c>
    </row>
    <row r="16" spans="1:79" ht="90" customHeight="1" x14ac:dyDescent="0.2">
      <c r="A16" s="44" t="s">
        <v>497</v>
      </c>
      <c r="B16" s="21" t="s">
        <v>170</v>
      </c>
      <c r="C16" s="21" t="s">
        <v>171</v>
      </c>
      <c r="D16" s="20" t="s">
        <v>86</v>
      </c>
      <c r="E16" s="20" t="s">
        <v>106</v>
      </c>
      <c r="F16" s="100"/>
      <c r="G16" s="100" t="s">
        <v>100</v>
      </c>
      <c r="H16" s="162">
        <v>42569</v>
      </c>
      <c r="I16" s="150">
        <v>42600</v>
      </c>
      <c r="J16" s="155"/>
      <c r="K16" s="154" t="s">
        <v>641</v>
      </c>
      <c r="L16" s="54" t="s">
        <v>541</v>
      </c>
      <c r="M16" s="140"/>
      <c r="N16" s="112"/>
      <c r="O16" s="52"/>
      <c r="P16" s="113"/>
      <c r="Q16" s="112"/>
      <c r="R16" s="28"/>
      <c r="S16" s="28" t="s">
        <v>172</v>
      </c>
      <c r="T16" s="53" t="s">
        <v>538</v>
      </c>
      <c r="U16" s="53" t="s">
        <v>538</v>
      </c>
      <c r="V16" s="53" t="s">
        <v>538</v>
      </c>
      <c r="W16" s="54" t="s">
        <v>538</v>
      </c>
      <c r="X16" s="51"/>
      <c r="Y16" s="112"/>
      <c r="Z16" s="52"/>
      <c r="AA16" s="112"/>
      <c r="AB16" s="112"/>
      <c r="AC16" s="52"/>
      <c r="AD16" s="52"/>
      <c r="AE16" s="53" t="s">
        <v>538</v>
      </c>
      <c r="AF16" s="53" t="s">
        <v>538</v>
      </c>
      <c r="AG16" s="53" t="s">
        <v>538</v>
      </c>
      <c r="AH16" s="54" t="s">
        <v>538</v>
      </c>
      <c r="AI16" s="51"/>
      <c r="AJ16" s="112"/>
      <c r="AK16" s="52"/>
      <c r="AL16" s="112"/>
      <c r="AM16" s="112"/>
      <c r="AN16" s="52"/>
      <c r="AO16" s="52"/>
      <c r="AP16" s="53" t="s">
        <v>538</v>
      </c>
      <c r="AQ16" s="53" t="s">
        <v>538</v>
      </c>
      <c r="AR16" s="53" t="s">
        <v>538</v>
      </c>
      <c r="AS16" s="54" t="s">
        <v>538</v>
      </c>
      <c r="AT16" s="55">
        <v>42606</v>
      </c>
      <c r="AU16" s="113">
        <v>42646</v>
      </c>
      <c r="AV16" s="56">
        <v>42683</v>
      </c>
      <c r="AW16" s="113">
        <v>42692</v>
      </c>
      <c r="AX16" s="113">
        <v>42692</v>
      </c>
      <c r="AY16" s="45">
        <v>42784</v>
      </c>
      <c r="AZ16" s="45"/>
      <c r="BA16" s="45"/>
      <c r="BB16" s="57" t="s">
        <v>541</v>
      </c>
      <c r="BC16" s="57" t="s">
        <v>30</v>
      </c>
      <c r="BD16" s="57" t="s">
        <v>30</v>
      </c>
      <c r="BE16" s="58" t="s">
        <v>30</v>
      </c>
      <c r="BF16" s="59">
        <v>174000</v>
      </c>
      <c r="BG16" s="60">
        <v>107304</v>
      </c>
      <c r="BH16" s="61" t="e">
        <v>#N/A</v>
      </c>
      <c r="BI16" s="62">
        <v>174000</v>
      </c>
      <c r="BJ16" s="60">
        <v>107304</v>
      </c>
      <c r="BK16" s="63">
        <v>-0.38331034482758619</v>
      </c>
      <c r="BL16" s="63" t="e">
        <v>#N/A</v>
      </c>
      <c r="BM16" s="64" t="e">
        <v>#N/A</v>
      </c>
      <c r="BN16" s="18" t="s">
        <v>498</v>
      </c>
      <c r="BO16" s="121" t="s">
        <v>634</v>
      </c>
      <c r="BP16" s="65" t="e">
        <v>#N/A</v>
      </c>
      <c r="BQ16" s="37" t="e">
        <v>#REF!</v>
      </c>
      <c r="BR16" s="39" t="s">
        <v>538</v>
      </c>
      <c r="BS16" s="39" t="s">
        <v>538</v>
      </c>
      <c r="BT16" s="39" t="s">
        <v>538</v>
      </c>
      <c r="BU16" s="39" t="s">
        <v>538</v>
      </c>
      <c r="BV16" s="39" t="s">
        <v>538</v>
      </c>
      <c r="BW16" s="39" t="s">
        <v>538</v>
      </c>
      <c r="BX16" s="39" t="s">
        <v>539</v>
      </c>
      <c r="BY16" s="39" t="s">
        <v>642</v>
      </c>
      <c r="BZ16" s="39" t="s">
        <v>643</v>
      </c>
      <c r="CA16" s="38" t="s">
        <v>526</v>
      </c>
    </row>
    <row r="17" spans="1:79" ht="67.5" customHeight="1" x14ac:dyDescent="0.2">
      <c r="A17" s="44" t="s">
        <v>296</v>
      </c>
      <c r="B17" s="21" t="s">
        <v>329</v>
      </c>
      <c r="C17" s="21" t="s">
        <v>330</v>
      </c>
      <c r="D17" s="20" t="s">
        <v>93</v>
      </c>
      <c r="E17" s="20" t="s">
        <v>105</v>
      </c>
      <c r="F17" s="100"/>
      <c r="G17" s="100" t="s">
        <v>100</v>
      </c>
      <c r="H17" s="162">
        <v>42370</v>
      </c>
      <c r="I17" s="150">
        <v>42401</v>
      </c>
      <c r="J17" s="155"/>
      <c r="K17" s="154" t="s">
        <v>540</v>
      </c>
      <c r="L17" s="54" t="s">
        <v>541</v>
      </c>
      <c r="M17" s="140"/>
      <c r="N17" s="112"/>
      <c r="O17" s="52"/>
      <c r="P17" s="113"/>
      <c r="Q17" s="112"/>
      <c r="R17" s="28"/>
      <c r="S17" s="28"/>
      <c r="T17" s="53" t="s">
        <v>538</v>
      </c>
      <c r="U17" s="53" t="s">
        <v>538</v>
      </c>
      <c r="V17" s="53" t="s">
        <v>538</v>
      </c>
      <c r="W17" s="54" t="s">
        <v>538</v>
      </c>
      <c r="X17" s="51"/>
      <c r="Y17" s="112"/>
      <c r="Z17" s="52"/>
      <c r="AA17" s="112"/>
      <c r="AB17" s="112"/>
      <c r="AC17" s="52"/>
      <c r="AD17" s="52"/>
      <c r="AE17" s="53" t="s">
        <v>538</v>
      </c>
      <c r="AF17" s="53" t="s">
        <v>538</v>
      </c>
      <c r="AG17" s="53" t="s">
        <v>538</v>
      </c>
      <c r="AH17" s="54" t="s">
        <v>538</v>
      </c>
      <c r="AI17" s="51"/>
      <c r="AJ17" s="112"/>
      <c r="AK17" s="52"/>
      <c r="AL17" s="112"/>
      <c r="AM17" s="112"/>
      <c r="AN17" s="52"/>
      <c r="AO17" s="52"/>
      <c r="AP17" s="53" t="s">
        <v>538</v>
      </c>
      <c r="AQ17" s="53" t="s">
        <v>538</v>
      </c>
      <c r="AR17" s="53" t="s">
        <v>538</v>
      </c>
      <c r="AS17" s="54" t="s">
        <v>538</v>
      </c>
      <c r="AT17" s="55">
        <v>42401</v>
      </c>
      <c r="AU17" s="113">
        <v>42401</v>
      </c>
      <c r="AV17" s="56">
        <v>42415</v>
      </c>
      <c r="AW17" s="113">
        <v>42415</v>
      </c>
      <c r="AX17" s="113">
        <v>42415</v>
      </c>
      <c r="AY17" s="45">
        <v>42505</v>
      </c>
      <c r="AZ17" s="45"/>
      <c r="BA17" s="45"/>
      <c r="BB17" s="57" t="s">
        <v>28</v>
      </c>
      <c r="BC17" s="57" t="s">
        <v>28</v>
      </c>
      <c r="BD17" s="57" t="s">
        <v>28</v>
      </c>
      <c r="BE17" s="58" t="s">
        <v>28</v>
      </c>
      <c r="BF17" s="59">
        <v>42444</v>
      </c>
      <c r="BG17" s="60">
        <v>42444</v>
      </c>
      <c r="BH17" s="61" t="e">
        <v>#N/A</v>
      </c>
      <c r="BI17" s="62"/>
      <c r="BJ17" s="60"/>
      <c r="BK17" s="63">
        <v>0</v>
      </c>
      <c r="BL17" s="63" t="e">
        <v>#N/A</v>
      </c>
      <c r="BM17" s="64" t="e">
        <v>#N/A</v>
      </c>
      <c r="BN17" s="18"/>
      <c r="BO17" s="121" t="s">
        <v>598</v>
      </c>
      <c r="BP17" s="65" t="e">
        <v>#N/A</v>
      </c>
      <c r="BQ17" s="37" t="e">
        <v>#REF!</v>
      </c>
      <c r="BR17" s="39" t="s">
        <v>538</v>
      </c>
      <c r="BS17" s="39" t="s">
        <v>538</v>
      </c>
      <c r="BT17" s="39" t="s">
        <v>538</v>
      </c>
      <c r="BU17" s="39" t="s">
        <v>538</v>
      </c>
      <c r="BV17" s="39" t="s">
        <v>538</v>
      </c>
      <c r="BW17" s="39" t="s">
        <v>538</v>
      </c>
      <c r="BX17" s="39" t="s">
        <v>539</v>
      </c>
      <c r="BY17" s="39" t="s">
        <v>542</v>
      </c>
      <c r="BZ17" s="39" t="s">
        <v>644</v>
      </c>
      <c r="CA17" s="38" t="s">
        <v>526</v>
      </c>
    </row>
    <row r="18" spans="1:79" ht="78.75" customHeight="1" x14ac:dyDescent="0.2">
      <c r="A18" s="44" t="s">
        <v>173</v>
      </c>
      <c r="B18" s="21" t="s">
        <v>174</v>
      </c>
      <c r="C18" s="21" t="s">
        <v>175</v>
      </c>
      <c r="D18" s="20" t="s">
        <v>84</v>
      </c>
      <c r="E18" s="20" t="s">
        <v>106</v>
      </c>
      <c r="F18" s="100"/>
      <c r="G18" s="100" t="s">
        <v>100</v>
      </c>
      <c r="H18" s="162">
        <v>42611</v>
      </c>
      <c r="I18" s="150">
        <v>42642</v>
      </c>
      <c r="J18" s="155"/>
      <c r="K18" s="154" t="s">
        <v>645</v>
      </c>
      <c r="L18" s="54" t="s">
        <v>541</v>
      </c>
      <c r="M18" s="140"/>
      <c r="N18" s="112"/>
      <c r="O18" s="52"/>
      <c r="P18" s="113"/>
      <c r="Q18" s="112"/>
      <c r="R18" s="28"/>
      <c r="S18" s="28"/>
      <c r="T18" s="53" t="s">
        <v>538</v>
      </c>
      <c r="U18" s="53" t="s">
        <v>538</v>
      </c>
      <c r="V18" s="53" t="s">
        <v>538</v>
      </c>
      <c r="W18" s="54" t="s">
        <v>538</v>
      </c>
      <c r="X18" s="51"/>
      <c r="Y18" s="112"/>
      <c r="Z18" s="52"/>
      <c r="AA18" s="112"/>
      <c r="AB18" s="112"/>
      <c r="AC18" s="52"/>
      <c r="AD18" s="52"/>
      <c r="AE18" s="53" t="s">
        <v>538</v>
      </c>
      <c r="AF18" s="53" t="s">
        <v>538</v>
      </c>
      <c r="AG18" s="53" t="s">
        <v>538</v>
      </c>
      <c r="AH18" s="54" t="s">
        <v>538</v>
      </c>
      <c r="AI18" s="51"/>
      <c r="AJ18" s="111"/>
      <c r="AK18" s="52"/>
      <c r="AL18" s="112"/>
      <c r="AM18" s="112"/>
      <c r="AN18" s="52"/>
      <c r="AO18" s="52"/>
      <c r="AP18" s="53" t="s">
        <v>538</v>
      </c>
      <c r="AQ18" s="53" t="s">
        <v>538</v>
      </c>
      <c r="AR18" s="53" t="s">
        <v>538</v>
      </c>
      <c r="AS18" s="54" t="s">
        <v>538</v>
      </c>
      <c r="AT18" s="55">
        <v>42671</v>
      </c>
      <c r="AU18" s="113">
        <v>42675</v>
      </c>
      <c r="AV18" s="56">
        <v>42727</v>
      </c>
      <c r="AW18" s="113">
        <v>42727</v>
      </c>
      <c r="AX18" s="113">
        <v>42724</v>
      </c>
      <c r="AY18" s="45">
        <v>42814</v>
      </c>
      <c r="AZ18" s="45"/>
      <c r="BA18" s="45"/>
      <c r="BB18" s="57" t="s">
        <v>28</v>
      </c>
      <c r="BC18" s="57" t="s">
        <v>28</v>
      </c>
      <c r="BD18" s="57" t="s">
        <v>28</v>
      </c>
      <c r="BE18" s="58" t="s">
        <v>28</v>
      </c>
      <c r="BF18" s="59">
        <v>1333000</v>
      </c>
      <c r="BG18" s="60">
        <v>1120409</v>
      </c>
      <c r="BH18" s="61" t="e">
        <v>#N/A</v>
      </c>
      <c r="BI18" s="62">
        <v>1333000</v>
      </c>
      <c r="BJ18" s="60">
        <v>1120409</v>
      </c>
      <c r="BK18" s="63">
        <v>-0.15948312078019505</v>
      </c>
      <c r="BL18" s="63" t="e">
        <v>#N/A</v>
      </c>
      <c r="BM18" s="64" t="e">
        <v>#N/A</v>
      </c>
      <c r="BN18" s="122" t="s">
        <v>317</v>
      </c>
      <c r="BO18" s="121" t="s">
        <v>634</v>
      </c>
      <c r="BP18" s="65" t="e">
        <v>#N/A</v>
      </c>
      <c r="BQ18" s="37" t="e">
        <v>#REF!</v>
      </c>
      <c r="BR18" s="39" t="s">
        <v>538</v>
      </c>
      <c r="BS18" s="39" t="s">
        <v>538</v>
      </c>
      <c r="BT18" s="39" t="s">
        <v>538</v>
      </c>
      <c r="BU18" s="39" t="s">
        <v>538</v>
      </c>
      <c r="BV18" s="39" t="s">
        <v>538</v>
      </c>
      <c r="BW18" s="39" t="s">
        <v>538</v>
      </c>
      <c r="BX18" s="39" t="s">
        <v>539</v>
      </c>
      <c r="BY18" s="39" t="s">
        <v>646</v>
      </c>
      <c r="BZ18" s="39" t="s">
        <v>647</v>
      </c>
      <c r="CA18" s="38" t="s">
        <v>526</v>
      </c>
    </row>
    <row r="19" spans="1:79" ht="101.25" customHeight="1" x14ac:dyDescent="0.2">
      <c r="A19" s="44" t="s">
        <v>294</v>
      </c>
      <c r="B19" s="21"/>
      <c r="C19" s="21" t="s">
        <v>179</v>
      </c>
      <c r="D19" s="20" t="s">
        <v>92</v>
      </c>
      <c r="E19" s="20" t="s">
        <v>104</v>
      </c>
      <c r="F19" s="100"/>
      <c r="G19" s="100" t="s">
        <v>177</v>
      </c>
      <c r="H19" s="162">
        <v>42005</v>
      </c>
      <c r="I19" s="150">
        <v>42036</v>
      </c>
      <c r="J19" s="155"/>
      <c r="K19" s="154" t="s">
        <v>648</v>
      </c>
      <c r="L19" s="54" t="s">
        <v>541</v>
      </c>
      <c r="M19" s="140"/>
      <c r="N19" s="112"/>
      <c r="O19" s="52"/>
      <c r="P19" s="113"/>
      <c r="Q19" s="112"/>
      <c r="R19" s="28"/>
      <c r="S19" s="28" t="s">
        <v>180</v>
      </c>
      <c r="T19" s="53" t="s">
        <v>538</v>
      </c>
      <c r="U19" s="53" t="s">
        <v>538</v>
      </c>
      <c r="V19" s="53" t="s">
        <v>538</v>
      </c>
      <c r="W19" s="54" t="s">
        <v>538</v>
      </c>
      <c r="X19" s="51"/>
      <c r="Y19" s="112"/>
      <c r="Z19" s="52"/>
      <c r="AA19" s="112"/>
      <c r="AB19" s="112"/>
      <c r="AC19" s="52"/>
      <c r="AD19" s="52"/>
      <c r="AE19" s="53" t="s">
        <v>538</v>
      </c>
      <c r="AF19" s="53" t="s">
        <v>538</v>
      </c>
      <c r="AG19" s="53" t="s">
        <v>538</v>
      </c>
      <c r="AH19" s="54" t="s">
        <v>538</v>
      </c>
      <c r="AI19" s="51"/>
      <c r="AJ19" s="112"/>
      <c r="AK19" s="52"/>
      <c r="AL19" s="112"/>
      <c r="AM19" s="112"/>
      <c r="AN19" s="52"/>
      <c r="AO19" s="52"/>
      <c r="AP19" s="53" t="s">
        <v>538</v>
      </c>
      <c r="AQ19" s="53" t="s">
        <v>538</v>
      </c>
      <c r="AR19" s="53" t="s">
        <v>538</v>
      </c>
      <c r="AS19" s="54" t="s">
        <v>538</v>
      </c>
      <c r="AT19" s="55">
        <v>42189</v>
      </c>
      <c r="AU19" s="113">
        <v>42189</v>
      </c>
      <c r="AV19" s="56">
        <v>42697</v>
      </c>
      <c r="AW19" s="113">
        <v>42697</v>
      </c>
      <c r="AX19" s="113">
        <v>42593</v>
      </c>
      <c r="AY19" s="45">
        <v>42685</v>
      </c>
      <c r="AZ19" s="45"/>
      <c r="BA19" s="45" t="s">
        <v>181</v>
      </c>
      <c r="BB19" s="57" t="s">
        <v>28</v>
      </c>
      <c r="BC19" s="57" t="s">
        <v>28</v>
      </c>
      <c r="BD19" s="57" t="s">
        <v>28</v>
      </c>
      <c r="BE19" s="58" t="s">
        <v>28</v>
      </c>
      <c r="BF19" s="59">
        <v>647000</v>
      </c>
      <c r="BG19" s="60">
        <v>485000</v>
      </c>
      <c r="BH19" s="61" t="e">
        <v>#N/A</v>
      </c>
      <c r="BI19" s="62"/>
      <c r="BJ19" s="60"/>
      <c r="BK19" s="63">
        <v>-0.25038639876352398</v>
      </c>
      <c r="BL19" s="63" t="e">
        <v>#N/A</v>
      </c>
      <c r="BM19" s="64" t="e">
        <v>#N/A</v>
      </c>
      <c r="BN19" s="18"/>
      <c r="BO19" s="121" t="s">
        <v>649</v>
      </c>
      <c r="BP19" s="65" t="e">
        <v>#N/A</v>
      </c>
      <c r="BQ19" s="37" t="e">
        <v>#REF!</v>
      </c>
      <c r="BR19" s="39" t="s">
        <v>538</v>
      </c>
      <c r="BS19" s="39" t="s">
        <v>538</v>
      </c>
      <c r="BT19" s="39" t="s">
        <v>538</v>
      </c>
      <c r="BU19" s="39" t="s">
        <v>538</v>
      </c>
      <c r="BV19" s="39" t="s">
        <v>538</v>
      </c>
      <c r="BW19" s="39" t="s">
        <v>538</v>
      </c>
      <c r="BX19" s="39" t="s">
        <v>539</v>
      </c>
      <c r="BY19" s="39" t="s">
        <v>650</v>
      </c>
      <c r="BZ19" s="39" t="s">
        <v>651</v>
      </c>
      <c r="CA19" s="38" t="s">
        <v>526</v>
      </c>
    </row>
    <row r="20" spans="1:79" ht="258.75" customHeight="1" x14ac:dyDescent="0.2">
      <c r="A20" s="44" t="s">
        <v>302</v>
      </c>
      <c r="B20" s="21" t="s">
        <v>326</v>
      </c>
      <c r="C20" s="21" t="s">
        <v>327</v>
      </c>
      <c r="D20" s="20" t="s">
        <v>92</v>
      </c>
      <c r="E20" s="20" t="s">
        <v>109</v>
      </c>
      <c r="F20" s="100"/>
      <c r="G20" s="100" t="s">
        <v>177</v>
      </c>
      <c r="H20" s="162">
        <v>42478</v>
      </c>
      <c r="I20" s="150">
        <v>42508</v>
      </c>
      <c r="J20" s="155"/>
      <c r="K20" s="154" t="s">
        <v>652</v>
      </c>
      <c r="L20" s="54" t="s">
        <v>541</v>
      </c>
      <c r="M20" s="140"/>
      <c r="N20" s="112"/>
      <c r="O20" s="52"/>
      <c r="P20" s="113"/>
      <c r="Q20" s="112"/>
      <c r="R20" s="28"/>
      <c r="S20" s="28"/>
      <c r="T20" s="53" t="s">
        <v>538</v>
      </c>
      <c r="U20" s="53" t="s">
        <v>538</v>
      </c>
      <c r="V20" s="53" t="s">
        <v>538</v>
      </c>
      <c r="W20" s="54" t="s">
        <v>538</v>
      </c>
      <c r="X20" s="51"/>
      <c r="Y20" s="112"/>
      <c r="Z20" s="52"/>
      <c r="AA20" s="112"/>
      <c r="AB20" s="112"/>
      <c r="AC20" s="52"/>
      <c r="AD20" s="52"/>
      <c r="AE20" s="53" t="s">
        <v>538</v>
      </c>
      <c r="AF20" s="53" t="s">
        <v>538</v>
      </c>
      <c r="AG20" s="53" t="s">
        <v>538</v>
      </c>
      <c r="AH20" s="54" t="s">
        <v>538</v>
      </c>
      <c r="AI20" s="51"/>
      <c r="AJ20" s="112"/>
      <c r="AK20" s="52"/>
      <c r="AL20" s="112"/>
      <c r="AM20" s="112"/>
      <c r="AN20" s="52"/>
      <c r="AO20" s="52"/>
      <c r="AP20" s="53" t="s">
        <v>538</v>
      </c>
      <c r="AQ20" s="53" t="s">
        <v>538</v>
      </c>
      <c r="AR20" s="53" t="s">
        <v>538</v>
      </c>
      <c r="AS20" s="54" t="s">
        <v>538</v>
      </c>
      <c r="AT20" s="55">
        <v>42692</v>
      </c>
      <c r="AU20" s="113">
        <v>42326</v>
      </c>
      <c r="AV20" s="56">
        <v>42711</v>
      </c>
      <c r="AW20" s="113">
        <v>42711</v>
      </c>
      <c r="AX20" s="113">
        <v>42711</v>
      </c>
      <c r="AY20" s="45">
        <v>42801</v>
      </c>
      <c r="AZ20" s="45"/>
      <c r="BA20" s="45"/>
      <c r="BB20" s="57" t="s">
        <v>28</v>
      </c>
      <c r="BC20" s="57" t="s">
        <v>28</v>
      </c>
      <c r="BD20" s="57" t="s">
        <v>28</v>
      </c>
      <c r="BE20" s="58" t="s">
        <v>28</v>
      </c>
      <c r="BF20" s="59">
        <v>215160</v>
      </c>
      <c r="BG20" s="60">
        <v>155871</v>
      </c>
      <c r="BH20" s="61" t="e">
        <v>#N/A</v>
      </c>
      <c r="BI20" s="62"/>
      <c r="BJ20" s="60"/>
      <c r="BK20" s="63">
        <v>-0.27555772448410487</v>
      </c>
      <c r="BL20" s="63" t="e">
        <v>#N/A</v>
      </c>
      <c r="BM20" s="64" t="e">
        <v>#N/A</v>
      </c>
      <c r="BN20" s="122"/>
      <c r="BO20" s="19" t="s">
        <v>506</v>
      </c>
      <c r="BP20" s="65" t="e">
        <v>#N/A</v>
      </c>
      <c r="BQ20" s="37" t="e">
        <v>#REF!</v>
      </c>
      <c r="BR20" s="39" t="s">
        <v>538</v>
      </c>
      <c r="BS20" s="39" t="s">
        <v>538</v>
      </c>
      <c r="BT20" s="39" t="s">
        <v>538</v>
      </c>
      <c r="BU20" s="39" t="s">
        <v>538</v>
      </c>
      <c r="BV20" s="39" t="s">
        <v>538</v>
      </c>
      <c r="BW20" s="39" t="s">
        <v>538</v>
      </c>
      <c r="BX20" s="39" t="s">
        <v>539</v>
      </c>
      <c r="BY20" s="39" t="s">
        <v>542</v>
      </c>
      <c r="BZ20" s="39" t="s">
        <v>653</v>
      </c>
      <c r="CA20" s="38" t="s">
        <v>526</v>
      </c>
    </row>
    <row r="21" spans="1:79" ht="45" customHeight="1" x14ac:dyDescent="0.2">
      <c r="A21" s="44" t="s">
        <v>238</v>
      </c>
      <c r="B21" s="21"/>
      <c r="C21" s="21" t="s">
        <v>347</v>
      </c>
      <c r="D21" s="20" t="s">
        <v>348</v>
      </c>
      <c r="E21" s="20" t="s">
        <v>101</v>
      </c>
      <c r="F21" s="100" t="s">
        <v>528</v>
      </c>
      <c r="G21" s="100" t="s">
        <v>99</v>
      </c>
      <c r="H21" s="162">
        <v>42689</v>
      </c>
      <c r="I21" s="150">
        <v>42753</v>
      </c>
      <c r="J21" s="155">
        <v>42753</v>
      </c>
      <c r="K21" s="154"/>
      <c r="L21" s="54"/>
      <c r="M21" s="140"/>
      <c r="N21" s="112"/>
      <c r="O21" s="52"/>
      <c r="P21" s="113"/>
      <c r="Q21" s="112"/>
      <c r="R21" s="28" t="s">
        <v>538</v>
      </c>
      <c r="S21" s="28"/>
      <c r="T21" s="53"/>
      <c r="U21" s="53"/>
      <c r="V21" s="53"/>
      <c r="W21" s="54"/>
      <c r="X21" s="51"/>
      <c r="Y21" s="112"/>
      <c r="Z21" s="52" t="s">
        <v>538</v>
      </c>
      <c r="AA21" s="112"/>
      <c r="AB21" s="112"/>
      <c r="AC21" s="52"/>
      <c r="AD21" s="52"/>
      <c r="AE21" s="53"/>
      <c r="AF21" s="53"/>
      <c r="AG21" s="53"/>
      <c r="AH21" s="54" t="s">
        <v>538</v>
      </c>
      <c r="AI21" s="51">
        <v>42814</v>
      </c>
      <c r="AJ21" s="112">
        <v>42835</v>
      </c>
      <c r="AK21" s="52">
        <v>42829</v>
      </c>
      <c r="AL21" s="112">
        <v>42916</v>
      </c>
      <c r="AM21" s="112">
        <v>42902</v>
      </c>
      <c r="AN21" s="52">
        <v>42994</v>
      </c>
      <c r="AO21" s="52" t="s">
        <v>619</v>
      </c>
      <c r="AP21" s="53" t="s">
        <v>541</v>
      </c>
      <c r="AQ21" s="53">
        <v>102320</v>
      </c>
      <c r="AR21" s="53">
        <v>95875.12</v>
      </c>
      <c r="AS21" s="54">
        <v>23126</v>
      </c>
      <c r="AT21" s="55">
        <v>84500</v>
      </c>
      <c r="AU21" s="113">
        <v>95875.12</v>
      </c>
      <c r="AV21" s="56">
        <v>-6.298749022673969E-2</v>
      </c>
      <c r="AW21" s="113">
        <v>-0.77398358092259578</v>
      </c>
      <c r="AX21" s="113" t="s">
        <v>28</v>
      </c>
      <c r="AY21" s="45"/>
      <c r="AZ21" s="45" t="s">
        <v>657</v>
      </c>
      <c r="BA21" s="45" t="s">
        <v>541</v>
      </c>
      <c r="BB21" s="57" t="e">
        <v>#REF!</v>
      </c>
      <c r="BC21" s="57"/>
      <c r="BD21" s="57"/>
      <c r="BE21" s="58"/>
      <c r="BF21" s="59"/>
      <c r="BG21" s="60"/>
      <c r="BH21" s="61"/>
      <c r="BI21" s="62"/>
      <c r="BJ21" s="60"/>
      <c r="BK21" s="63"/>
      <c r="BL21" s="63"/>
      <c r="BM21" s="64"/>
      <c r="BN21" s="122"/>
      <c r="BO21" s="121"/>
      <c r="BP21" s="65"/>
      <c r="BQ21" s="37"/>
      <c r="BR21" s="39"/>
      <c r="BS21" s="39"/>
      <c r="BT21" s="39"/>
      <c r="BU21" s="39"/>
      <c r="BV21" s="39"/>
      <c r="BW21" s="39"/>
      <c r="BX21" s="39"/>
      <c r="BY21" s="39"/>
      <c r="BZ21" s="39"/>
      <c r="CA21" s="38"/>
    </row>
    <row r="22" spans="1:79" ht="112.5" x14ac:dyDescent="0.2">
      <c r="A22" s="44" t="s">
        <v>238</v>
      </c>
      <c r="B22" s="21"/>
      <c r="C22" s="21" t="s">
        <v>347</v>
      </c>
      <c r="D22" s="20" t="s">
        <v>348</v>
      </c>
      <c r="E22" s="20" t="s">
        <v>101</v>
      </c>
      <c r="F22" s="100" t="s">
        <v>528</v>
      </c>
      <c r="G22" s="100" t="s">
        <v>99</v>
      </c>
      <c r="H22" s="162">
        <v>42689</v>
      </c>
      <c r="I22" s="150">
        <v>42753</v>
      </c>
      <c r="J22" s="155">
        <v>42753</v>
      </c>
      <c r="K22" s="154"/>
      <c r="L22" s="54"/>
      <c r="M22" s="140"/>
      <c r="N22" s="112"/>
      <c r="O22" s="52"/>
      <c r="P22" s="113"/>
      <c r="Q22" s="112"/>
      <c r="R22" s="28" t="s">
        <v>538</v>
      </c>
      <c r="S22" s="28"/>
      <c r="T22" s="53"/>
      <c r="U22" s="53"/>
      <c r="V22" s="53"/>
      <c r="W22" s="54"/>
      <c r="X22" s="51"/>
      <c r="Y22" s="112"/>
      <c r="Z22" s="52" t="s">
        <v>538</v>
      </c>
      <c r="AA22" s="112"/>
      <c r="AB22" s="112"/>
      <c r="AC22" s="52"/>
      <c r="AD22" s="52"/>
      <c r="AE22" s="53"/>
      <c r="AF22" s="53"/>
      <c r="AG22" s="53"/>
      <c r="AH22" s="54" t="s">
        <v>538</v>
      </c>
      <c r="AI22" s="51">
        <v>42814</v>
      </c>
      <c r="AJ22" s="112">
        <v>42835</v>
      </c>
      <c r="AK22" s="52">
        <v>42829</v>
      </c>
      <c r="AL22" s="112">
        <v>42916</v>
      </c>
      <c r="AM22" s="112">
        <v>42902</v>
      </c>
      <c r="AN22" s="52">
        <v>42994</v>
      </c>
      <c r="AO22" s="52" t="s">
        <v>619</v>
      </c>
      <c r="AP22" s="53" t="s">
        <v>541</v>
      </c>
      <c r="AQ22" s="53">
        <v>102320</v>
      </c>
      <c r="AR22" s="53">
        <v>95875.12</v>
      </c>
      <c r="AS22" s="54">
        <v>23126</v>
      </c>
      <c r="AT22" s="55">
        <v>84500</v>
      </c>
      <c r="AU22" s="113">
        <v>95875.12</v>
      </c>
      <c r="AV22" s="56">
        <v>-6.298749022673969E-2</v>
      </c>
      <c r="AW22" s="113">
        <v>-0.77398358092259578</v>
      </c>
      <c r="AX22" s="113" t="s">
        <v>28</v>
      </c>
      <c r="AY22" s="45"/>
      <c r="AZ22" s="45" t="s">
        <v>657</v>
      </c>
      <c r="BA22" s="45" t="s">
        <v>541</v>
      </c>
      <c r="BB22" s="57" t="e">
        <v>#REF!</v>
      </c>
      <c r="BC22" s="57"/>
      <c r="BD22" s="57"/>
      <c r="BE22" s="58"/>
      <c r="BF22" s="59"/>
      <c r="BG22" s="60"/>
      <c r="BH22" s="61"/>
      <c r="BI22" s="62"/>
      <c r="BJ22" s="60"/>
      <c r="BK22" s="63"/>
      <c r="BL22" s="63"/>
      <c r="BM22" s="64"/>
      <c r="BN22" s="18"/>
      <c r="BO22" s="121"/>
      <c r="BP22" s="65"/>
      <c r="BQ22" s="37"/>
      <c r="BR22" s="39"/>
      <c r="BS22" s="39"/>
      <c r="BT22" s="39"/>
      <c r="BU22" s="39"/>
      <c r="BV22" s="39"/>
      <c r="BW22" s="39"/>
      <c r="BX22" s="39"/>
      <c r="BY22" s="39"/>
      <c r="BZ22" s="39"/>
      <c r="CA22" s="38"/>
    </row>
    <row r="23" spans="1:79" ht="225" customHeight="1" x14ac:dyDescent="0.2">
      <c r="A23" s="44" t="s">
        <v>238</v>
      </c>
      <c r="B23" s="21"/>
      <c r="C23" s="21" t="s">
        <v>347</v>
      </c>
      <c r="D23" s="20" t="s">
        <v>348</v>
      </c>
      <c r="E23" s="20" t="s">
        <v>101</v>
      </c>
      <c r="F23" s="100" t="s">
        <v>528</v>
      </c>
      <c r="G23" s="100" t="s">
        <v>99</v>
      </c>
      <c r="H23" s="162">
        <v>42689</v>
      </c>
      <c r="I23" s="150">
        <v>42753</v>
      </c>
      <c r="J23" s="155">
        <v>42753</v>
      </c>
      <c r="K23" s="154"/>
      <c r="L23" s="54"/>
      <c r="M23" s="140"/>
      <c r="N23" s="112"/>
      <c r="O23" s="52"/>
      <c r="P23" s="113"/>
      <c r="Q23" s="112"/>
      <c r="R23" s="28" t="s">
        <v>538</v>
      </c>
      <c r="S23" s="28"/>
      <c r="T23" s="53"/>
      <c r="U23" s="53"/>
      <c r="V23" s="53"/>
      <c r="W23" s="54"/>
      <c r="X23" s="51"/>
      <c r="Y23" s="112"/>
      <c r="Z23" s="52" t="s">
        <v>538</v>
      </c>
      <c r="AA23" s="112"/>
      <c r="AB23" s="112"/>
      <c r="AC23" s="52"/>
      <c r="AD23" s="52"/>
      <c r="AE23" s="53"/>
      <c r="AF23" s="53"/>
      <c r="AG23" s="53"/>
      <c r="AH23" s="54" t="s">
        <v>538</v>
      </c>
      <c r="AI23" s="51">
        <v>42814</v>
      </c>
      <c r="AJ23" s="112">
        <v>42835</v>
      </c>
      <c r="AK23" s="52">
        <v>42829</v>
      </c>
      <c r="AL23" s="112">
        <v>42916</v>
      </c>
      <c r="AM23" s="112">
        <v>42902</v>
      </c>
      <c r="AN23" s="52">
        <v>42994</v>
      </c>
      <c r="AO23" s="52" t="s">
        <v>619</v>
      </c>
      <c r="AP23" s="53" t="s">
        <v>541</v>
      </c>
      <c r="AQ23" s="53">
        <v>102320</v>
      </c>
      <c r="AR23" s="53">
        <v>95875.12</v>
      </c>
      <c r="AS23" s="54">
        <v>23126</v>
      </c>
      <c r="AT23" s="55">
        <v>84500</v>
      </c>
      <c r="AU23" s="113">
        <v>95875.12</v>
      </c>
      <c r="AV23" s="56">
        <v>-6.298749022673969E-2</v>
      </c>
      <c r="AW23" s="113">
        <v>-0.77398358092259578</v>
      </c>
      <c r="AX23" s="113" t="s">
        <v>28</v>
      </c>
      <c r="AY23" s="45"/>
      <c r="AZ23" s="45" t="s">
        <v>657</v>
      </c>
      <c r="BA23" s="45" t="s">
        <v>541</v>
      </c>
      <c r="BB23" s="57" t="e">
        <v>#REF!</v>
      </c>
      <c r="BC23" s="57"/>
      <c r="BD23" s="57"/>
      <c r="BE23" s="58"/>
      <c r="BF23" s="59"/>
      <c r="BG23" s="60"/>
      <c r="BH23" s="61"/>
      <c r="BI23" s="62"/>
      <c r="BJ23" s="60"/>
      <c r="BK23" s="63"/>
      <c r="BL23" s="63"/>
      <c r="BM23" s="64"/>
      <c r="BN23" s="18"/>
      <c r="BO23" s="19"/>
      <c r="BP23" s="65"/>
      <c r="BQ23" s="37"/>
      <c r="BR23" s="39"/>
      <c r="BS23" s="39"/>
      <c r="BT23" s="39"/>
      <c r="BU23" s="39"/>
      <c r="BV23" s="39"/>
      <c r="BW23" s="39"/>
      <c r="BX23" s="39"/>
      <c r="BY23" s="39"/>
      <c r="BZ23" s="39"/>
      <c r="CA23" s="38"/>
    </row>
    <row r="24" spans="1:79" ht="123.75" customHeight="1" x14ac:dyDescent="0.2">
      <c r="A24" s="44" t="s">
        <v>238</v>
      </c>
      <c r="B24" s="21"/>
      <c r="C24" s="21" t="s">
        <v>347</v>
      </c>
      <c r="D24" s="20" t="s">
        <v>348</v>
      </c>
      <c r="E24" s="20" t="s">
        <v>101</v>
      </c>
      <c r="F24" s="100" t="s">
        <v>528</v>
      </c>
      <c r="G24" s="100" t="s">
        <v>99</v>
      </c>
      <c r="H24" s="162">
        <v>42689</v>
      </c>
      <c r="I24" s="150">
        <v>42753</v>
      </c>
      <c r="J24" s="155">
        <v>42753</v>
      </c>
      <c r="K24" s="154"/>
      <c r="L24" s="54"/>
      <c r="M24" s="140"/>
      <c r="N24" s="112"/>
      <c r="O24" s="52"/>
      <c r="P24" s="113"/>
      <c r="Q24" s="112"/>
      <c r="R24" s="28" t="s">
        <v>538</v>
      </c>
      <c r="S24" s="28"/>
      <c r="T24" s="53"/>
      <c r="U24" s="53"/>
      <c r="V24" s="53"/>
      <c r="W24" s="54"/>
      <c r="X24" s="51"/>
      <c r="Y24" s="112"/>
      <c r="Z24" s="52" t="s">
        <v>538</v>
      </c>
      <c r="AA24" s="112"/>
      <c r="AB24" s="112"/>
      <c r="AC24" s="52"/>
      <c r="AD24" s="52"/>
      <c r="AE24" s="53"/>
      <c r="AF24" s="53"/>
      <c r="AG24" s="53"/>
      <c r="AH24" s="54" t="s">
        <v>538</v>
      </c>
      <c r="AI24" s="51">
        <v>42814</v>
      </c>
      <c r="AJ24" s="112">
        <v>42835</v>
      </c>
      <c r="AK24" s="52">
        <v>42829</v>
      </c>
      <c r="AL24" s="112">
        <v>42916</v>
      </c>
      <c r="AM24" s="112">
        <v>42902</v>
      </c>
      <c r="AN24" s="52">
        <v>42994</v>
      </c>
      <c r="AO24" s="52" t="s">
        <v>619</v>
      </c>
      <c r="AP24" s="53" t="s">
        <v>541</v>
      </c>
      <c r="AQ24" s="53">
        <v>102320</v>
      </c>
      <c r="AR24" s="53">
        <v>95875.12</v>
      </c>
      <c r="AS24" s="54">
        <v>23126</v>
      </c>
      <c r="AT24" s="55">
        <v>84500</v>
      </c>
      <c r="AU24" s="113">
        <v>95875.12</v>
      </c>
      <c r="AV24" s="56">
        <v>-6.298749022673969E-2</v>
      </c>
      <c r="AW24" s="113">
        <v>-0.77398358092259578</v>
      </c>
      <c r="AX24" s="113" t="s">
        <v>28</v>
      </c>
      <c r="AY24" s="45"/>
      <c r="AZ24" s="45" t="s">
        <v>657</v>
      </c>
      <c r="BA24" s="45" t="s">
        <v>541</v>
      </c>
      <c r="BB24" s="57" t="e">
        <v>#REF!</v>
      </c>
      <c r="BC24" s="57"/>
      <c r="BD24" s="57"/>
      <c r="BE24" s="58"/>
      <c r="BF24" s="59"/>
      <c r="BG24" s="60"/>
      <c r="BH24" s="61"/>
      <c r="BI24" s="62"/>
      <c r="BJ24" s="60"/>
      <c r="BK24" s="63"/>
      <c r="BL24" s="63"/>
      <c r="BM24" s="64"/>
      <c r="BN24" s="18"/>
      <c r="BO24" s="19"/>
      <c r="BP24" s="65"/>
      <c r="BQ24" s="37"/>
      <c r="BR24" s="39"/>
      <c r="BS24" s="39"/>
      <c r="BT24" s="39"/>
      <c r="BU24" s="39"/>
      <c r="BV24" s="39"/>
      <c r="BW24" s="39"/>
      <c r="BX24" s="39"/>
      <c r="BY24" s="39"/>
      <c r="BZ24" s="39"/>
      <c r="CA24" s="38"/>
    </row>
    <row r="25" spans="1:79" ht="78.75" customHeight="1" x14ac:dyDescent="0.2">
      <c r="A25" s="44" t="s">
        <v>238</v>
      </c>
      <c r="B25" s="21"/>
      <c r="C25" s="21" t="s">
        <v>347</v>
      </c>
      <c r="D25" s="20" t="s">
        <v>348</v>
      </c>
      <c r="E25" s="20" t="s">
        <v>101</v>
      </c>
      <c r="F25" s="100" t="s">
        <v>528</v>
      </c>
      <c r="G25" s="100" t="s">
        <v>99</v>
      </c>
      <c r="H25" s="162">
        <v>42689</v>
      </c>
      <c r="I25" s="150">
        <v>42753</v>
      </c>
      <c r="J25" s="155">
        <v>42753</v>
      </c>
      <c r="K25" s="154" t="s">
        <v>670</v>
      </c>
      <c r="L25" s="54" t="s">
        <v>28</v>
      </c>
      <c r="M25" s="140"/>
      <c r="N25" s="112"/>
      <c r="O25" s="52"/>
      <c r="P25" s="113"/>
      <c r="Q25" s="112"/>
      <c r="R25" s="28"/>
      <c r="S25" s="28"/>
      <c r="T25" s="53" t="s">
        <v>538</v>
      </c>
      <c r="U25" s="53" t="s">
        <v>538</v>
      </c>
      <c r="V25" s="53" t="s">
        <v>538</v>
      </c>
      <c r="W25" s="54" t="s">
        <v>538</v>
      </c>
      <c r="X25" s="51"/>
      <c r="Y25" s="112"/>
      <c r="Z25" s="52"/>
      <c r="AA25" s="112"/>
      <c r="AB25" s="112"/>
      <c r="AC25" s="52"/>
      <c r="AD25" s="52"/>
      <c r="AE25" s="53" t="s">
        <v>538</v>
      </c>
      <c r="AF25" s="53" t="s">
        <v>538</v>
      </c>
      <c r="AG25" s="53" t="s">
        <v>538</v>
      </c>
      <c r="AH25" s="54" t="s">
        <v>538</v>
      </c>
      <c r="AI25" s="51"/>
      <c r="AJ25" s="112"/>
      <c r="AK25" s="52"/>
      <c r="AL25" s="112"/>
      <c r="AM25" s="112"/>
      <c r="AN25" s="52"/>
      <c r="AO25" s="52"/>
      <c r="AP25" s="53" t="s">
        <v>538</v>
      </c>
      <c r="AQ25" s="53" t="s">
        <v>538</v>
      </c>
      <c r="AR25" s="53" t="s">
        <v>538</v>
      </c>
      <c r="AS25" s="54" t="s">
        <v>538</v>
      </c>
      <c r="AT25" s="55">
        <v>42814</v>
      </c>
      <c r="AU25" s="113">
        <v>42835</v>
      </c>
      <c r="AV25" s="56">
        <v>42829</v>
      </c>
      <c r="AW25" s="113">
        <v>42916</v>
      </c>
      <c r="AX25" s="113">
        <v>42902</v>
      </c>
      <c r="AY25" s="45">
        <v>42994</v>
      </c>
      <c r="AZ25" s="45" t="s">
        <v>619</v>
      </c>
      <c r="BA25" s="45" t="s">
        <v>541</v>
      </c>
      <c r="BB25" s="57" t="s">
        <v>541</v>
      </c>
      <c r="BC25" s="57" t="s">
        <v>541</v>
      </c>
      <c r="BD25" s="57" t="s">
        <v>541</v>
      </c>
      <c r="BE25" s="58">
        <v>102320</v>
      </c>
      <c r="BF25" s="59">
        <v>95875.12</v>
      </c>
      <c r="BG25" s="60">
        <v>23126</v>
      </c>
      <c r="BH25" s="61">
        <v>84500</v>
      </c>
      <c r="BI25" s="62">
        <v>95875.12</v>
      </c>
      <c r="BJ25" s="60">
        <v>-6.298749022673969E-2</v>
      </c>
      <c r="BK25" s="63">
        <v>-0.77398358092259578</v>
      </c>
      <c r="BL25" s="63" t="s">
        <v>28</v>
      </c>
      <c r="BM25" s="64"/>
      <c r="BN25" s="18" t="s">
        <v>657</v>
      </c>
      <c r="BO25" s="19" t="s">
        <v>541</v>
      </c>
      <c r="BP25" s="65" t="e">
        <v>#REF!</v>
      </c>
      <c r="BQ25" s="37" t="s">
        <v>538</v>
      </c>
      <c r="BR25" s="39" t="s">
        <v>538</v>
      </c>
      <c r="BS25" s="39" t="s">
        <v>538</v>
      </c>
      <c r="BT25" s="39" t="s">
        <v>538</v>
      </c>
      <c r="BU25" s="39" t="s">
        <v>538</v>
      </c>
      <c r="BV25" s="39" t="s">
        <v>538</v>
      </c>
      <c r="BW25" s="39" t="s">
        <v>539</v>
      </c>
      <c r="BX25" s="39" t="s">
        <v>671</v>
      </c>
      <c r="BY25" s="39" t="s">
        <v>672</v>
      </c>
      <c r="BZ25" s="39" t="s">
        <v>526</v>
      </c>
      <c r="CA25" s="38"/>
    </row>
    <row r="26" spans="1:79" ht="101.25" customHeight="1" x14ac:dyDescent="0.2">
      <c r="A26" s="44" t="s">
        <v>313</v>
      </c>
      <c r="B26" s="21" t="s">
        <v>494</v>
      </c>
      <c r="C26" s="21" t="s">
        <v>328</v>
      </c>
      <c r="D26" s="20" t="s">
        <v>92</v>
      </c>
      <c r="E26" s="20" t="s">
        <v>109</v>
      </c>
      <c r="F26" s="100"/>
      <c r="G26" s="100" t="s">
        <v>99</v>
      </c>
      <c r="H26" s="162">
        <v>42576</v>
      </c>
      <c r="I26" s="150">
        <v>42607</v>
      </c>
      <c r="J26" s="155"/>
      <c r="K26" s="154"/>
      <c r="L26" s="54"/>
      <c r="M26" s="140"/>
      <c r="N26" s="112"/>
      <c r="O26" s="52"/>
      <c r="P26" s="113"/>
      <c r="Q26" s="112"/>
      <c r="R26" s="28" t="s">
        <v>538</v>
      </c>
      <c r="S26" s="28"/>
      <c r="T26" s="53"/>
      <c r="U26" s="53"/>
      <c r="V26" s="53"/>
      <c r="W26" s="54"/>
      <c r="X26" s="51"/>
      <c r="Y26" s="112"/>
      <c r="Z26" s="52" t="s">
        <v>538</v>
      </c>
      <c r="AA26" s="112"/>
      <c r="AB26" s="112"/>
      <c r="AC26" s="52"/>
      <c r="AD26" s="52"/>
      <c r="AE26" s="53"/>
      <c r="AF26" s="53"/>
      <c r="AG26" s="53"/>
      <c r="AH26" s="54" t="s">
        <v>538</v>
      </c>
      <c r="AI26" s="51">
        <v>42744</v>
      </c>
      <c r="AJ26" s="112">
        <v>42744</v>
      </c>
      <c r="AK26" s="52">
        <v>42779</v>
      </c>
      <c r="AL26" s="112">
        <v>42779</v>
      </c>
      <c r="AM26" s="112">
        <v>42756</v>
      </c>
      <c r="AN26" s="52">
        <v>42846</v>
      </c>
      <c r="AO26" s="52"/>
      <c r="AP26" s="53" t="s">
        <v>28</v>
      </c>
      <c r="AQ26" s="53">
        <v>42000</v>
      </c>
      <c r="AR26" s="53">
        <v>36529.550000000003</v>
      </c>
      <c r="AS26" s="54" t="e">
        <v>#N/A</v>
      </c>
      <c r="AT26" s="55"/>
      <c r="AU26" s="113"/>
      <c r="AV26" s="56">
        <v>-0.13024880952380946</v>
      </c>
      <c r="AW26" s="113" t="e">
        <v>#N/A</v>
      </c>
      <c r="AX26" s="113" t="e">
        <v>#N/A</v>
      </c>
      <c r="AY26" s="45"/>
      <c r="AZ26" s="45" t="s">
        <v>659</v>
      </c>
      <c r="BA26" s="45" t="e">
        <v>#N/A</v>
      </c>
      <c r="BB26" s="57" t="e">
        <v>#REF!</v>
      </c>
      <c r="BC26" s="57"/>
      <c r="BD26" s="57"/>
      <c r="BE26" s="58"/>
      <c r="BF26" s="59"/>
      <c r="BG26" s="60"/>
      <c r="BH26" s="61"/>
      <c r="BI26" s="62"/>
      <c r="BJ26" s="60"/>
      <c r="BK26" s="63"/>
      <c r="BL26" s="63"/>
      <c r="BM26" s="64"/>
      <c r="BN26" s="18"/>
      <c r="BO26" s="29"/>
      <c r="BP26" s="65"/>
      <c r="BQ26" s="37"/>
      <c r="BR26" s="39"/>
      <c r="BS26" s="39"/>
      <c r="BT26" s="39"/>
      <c r="BU26" s="39"/>
      <c r="BV26" s="39"/>
      <c r="BW26" s="39"/>
      <c r="BX26" s="39"/>
      <c r="BY26" s="39"/>
      <c r="BZ26" s="39"/>
      <c r="CA26" s="38"/>
    </row>
    <row r="27" spans="1:79" ht="101.25" customHeight="1" x14ac:dyDescent="0.2">
      <c r="A27" s="44" t="s">
        <v>313</v>
      </c>
      <c r="B27" s="21" t="s">
        <v>494</v>
      </c>
      <c r="C27" s="21" t="s">
        <v>328</v>
      </c>
      <c r="D27" s="20" t="s">
        <v>92</v>
      </c>
      <c r="E27" s="20" t="s">
        <v>109</v>
      </c>
      <c r="F27" s="100"/>
      <c r="G27" s="100" t="s">
        <v>99</v>
      </c>
      <c r="H27" s="162">
        <v>42576</v>
      </c>
      <c r="I27" s="150">
        <v>42607</v>
      </c>
      <c r="J27" s="155"/>
      <c r="K27" s="154" t="s">
        <v>674</v>
      </c>
      <c r="L27" s="54" t="s">
        <v>541</v>
      </c>
      <c r="M27" s="140"/>
      <c r="N27" s="112"/>
      <c r="O27" s="52"/>
      <c r="P27" s="113"/>
      <c r="Q27" s="112"/>
      <c r="R27" s="28"/>
      <c r="S27" s="28"/>
      <c r="T27" s="53" t="s">
        <v>538</v>
      </c>
      <c r="U27" s="53" t="s">
        <v>538</v>
      </c>
      <c r="V27" s="53" t="s">
        <v>538</v>
      </c>
      <c r="W27" s="54" t="s">
        <v>538</v>
      </c>
      <c r="X27" s="51"/>
      <c r="Y27" s="112"/>
      <c r="Z27" s="52"/>
      <c r="AA27" s="112"/>
      <c r="AB27" s="112"/>
      <c r="AC27" s="52"/>
      <c r="AD27" s="52"/>
      <c r="AE27" s="53" t="s">
        <v>538</v>
      </c>
      <c r="AF27" s="53" t="s">
        <v>538</v>
      </c>
      <c r="AG27" s="53" t="s">
        <v>538</v>
      </c>
      <c r="AH27" s="54" t="s">
        <v>538</v>
      </c>
      <c r="AI27" s="51"/>
      <c r="AJ27" s="112"/>
      <c r="AK27" s="52"/>
      <c r="AL27" s="112"/>
      <c r="AM27" s="112"/>
      <c r="AN27" s="52"/>
      <c r="AO27" s="52"/>
      <c r="AP27" s="53" t="s">
        <v>538</v>
      </c>
      <c r="AQ27" s="53" t="s">
        <v>538</v>
      </c>
      <c r="AR27" s="53" t="s">
        <v>538</v>
      </c>
      <c r="AS27" s="54" t="s">
        <v>538</v>
      </c>
      <c r="AT27" s="55">
        <v>42744</v>
      </c>
      <c r="AU27" s="113">
        <v>42744</v>
      </c>
      <c r="AV27" s="56">
        <v>42779</v>
      </c>
      <c r="AW27" s="113">
        <v>42779</v>
      </c>
      <c r="AX27" s="113">
        <v>42756</v>
      </c>
      <c r="AY27" s="45">
        <v>42846</v>
      </c>
      <c r="AZ27" s="45"/>
      <c r="BA27" s="45" t="s">
        <v>28</v>
      </c>
      <c r="BB27" s="57" t="s">
        <v>28</v>
      </c>
      <c r="BC27" s="57" t="s">
        <v>28</v>
      </c>
      <c r="BD27" s="57" t="s">
        <v>28</v>
      </c>
      <c r="BE27" s="58">
        <v>42000</v>
      </c>
      <c r="BF27" s="59">
        <v>36529.550000000003</v>
      </c>
      <c r="BG27" s="60" t="e">
        <v>#N/A</v>
      </c>
      <c r="BH27" s="61"/>
      <c r="BI27" s="62"/>
      <c r="BJ27" s="60">
        <v>-0.13024880952380946</v>
      </c>
      <c r="BK27" s="63" t="e">
        <v>#N/A</v>
      </c>
      <c r="BL27" s="63" t="e">
        <v>#N/A</v>
      </c>
      <c r="BM27" s="64"/>
      <c r="BN27" s="18" t="s">
        <v>659</v>
      </c>
      <c r="BO27" s="19" t="e">
        <v>#N/A</v>
      </c>
      <c r="BP27" s="65" t="e">
        <v>#REF!</v>
      </c>
      <c r="BQ27" s="37" t="s">
        <v>538</v>
      </c>
      <c r="BR27" s="39" t="s">
        <v>538</v>
      </c>
      <c r="BS27" s="39" t="s">
        <v>538</v>
      </c>
      <c r="BT27" s="39" t="s">
        <v>538</v>
      </c>
      <c r="BU27" s="39" t="s">
        <v>538</v>
      </c>
      <c r="BV27" s="39" t="s">
        <v>538</v>
      </c>
      <c r="BW27" s="39" t="s">
        <v>539</v>
      </c>
      <c r="BX27" s="39" t="s">
        <v>675</v>
      </c>
      <c r="BY27" s="39" t="s">
        <v>676</v>
      </c>
      <c r="BZ27" s="39" t="s">
        <v>526</v>
      </c>
      <c r="CA27" s="38"/>
    </row>
    <row r="28" spans="1:79" ht="202.5" customHeight="1" x14ac:dyDescent="0.2">
      <c r="A28" s="44" t="s">
        <v>608</v>
      </c>
      <c r="B28" s="21"/>
      <c r="C28" s="21" t="s">
        <v>609</v>
      </c>
      <c r="D28" s="20" t="s">
        <v>552</v>
      </c>
      <c r="E28" s="20" t="s">
        <v>109</v>
      </c>
      <c r="F28" s="100"/>
      <c r="G28" s="100" t="s">
        <v>100</v>
      </c>
      <c r="H28" s="162">
        <v>42808</v>
      </c>
      <c r="I28" s="150">
        <v>42839</v>
      </c>
      <c r="J28" s="155"/>
      <c r="K28" s="154" t="s">
        <v>677</v>
      </c>
      <c r="L28" s="54" t="s">
        <v>541</v>
      </c>
      <c r="M28" s="140"/>
      <c r="N28" s="112"/>
      <c r="O28" s="52"/>
      <c r="P28" s="113"/>
      <c r="Q28" s="112"/>
      <c r="R28" s="28"/>
      <c r="S28" s="28"/>
      <c r="T28" s="53" t="s">
        <v>538</v>
      </c>
      <c r="U28" s="53" t="s">
        <v>538</v>
      </c>
      <c r="V28" s="53" t="s">
        <v>538</v>
      </c>
      <c r="W28" s="54" t="s">
        <v>538</v>
      </c>
      <c r="X28" s="51"/>
      <c r="Y28" s="112"/>
      <c r="Z28" s="52"/>
      <c r="AA28" s="112"/>
      <c r="AB28" s="112"/>
      <c r="AC28" s="52"/>
      <c r="AD28" s="52"/>
      <c r="AE28" s="53" t="s">
        <v>538</v>
      </c>
      <c r="AF28" s="53" t="s">
        <v>538</v>
      </c>
      <c r="AG28" s="53" t="s">
        <v>538</v>
      </c>
      <c r="AH28" s="54" t="s">
        <v>538</v>
      </c>
      <c r="AI28" s="51"/>
      <c r="AJ28" s="112"/>
      <c r="AK28" s="52"/>
      <c r="AL28" s="112"/>
      <c r="AM28" s="112"/>
      <c r="AN28" s="52"/>
      <c r="AO28" s="52"/>
      <c r="AP28" s="53" t="s">
        <v>538</v>
      </c>
      <c r="AQ28" s="53" t="s">
        <v>538</v>
      </c>
      <c r="AR28" s="53" t="s">
        <v>538</v>
      </c>
      <c r="AS28" s="54" t="s">
        <v>538</v>
      </c>
      <c r="AT28" s="55">
        <v>42814</v>
      </c>
      <c r="AU28" s="113">
        <v>42809</v>
      </c>
      <c r="AV28" s="56">
        <v>42860</v>
      </c>
      <c r="AW28" s="113">
        <v>42860</v>
      </c>
      <c r="AX28" s="113"/>
      <c r="AY28" s="45" t="s">
        <v>538</v>
      </c>
      <c r="AZ28" s="45"/>
      <c r="BA28" s="45" t="s">
        <v>28</v>
      </c>
      <c r="BB28" s="57" t="s">
        <v>28</v>
      </c>
      <c r="BC28" s="57" t="s">
        <v>538</v>
      </c>
      <c r="BD28" s="57" t="s">
        <v>28</v>
      </c>
      <c r="BE28" s="58">
        <v>0</v>
      </c>
      <c r="BF28" s="59">
        <v>108824.75</v>
      </c>
      <c r="BG28" s="60" t="e">
        <v>#N/A</v>
      </c>
      <c r="BH28" s="61"/>
      <c r="BI28" s="62"/>
      <c r="BJ28" s="60" t="e">
        <v>#DIV/0!</v>
      </c>
      <c r="BK28" s="63" t="e">
        <v>#N/A</v>
      </c>
      <c r="BL28" s="63" t="e">
        <v>#DIV/0!</v>
      </c>
      <c r="BM28" s="64"/>
      <c r="BN28" s="18" t="s">
        <v>632</v>
      </c>
      <c r="BO28" s="19" t="e">
        <v>#DIV/0!</v>
      </c>
      <c r="BP28" s="65" t="e">
        <v>#REF!</v>
      </c>
      <c r="BQ28" s="37" t="s">
        <v>538</v>
      </c>
      <c r="BR28" s="39" t="s">
        <v>538</v>
      </c>
      <c r="BS28" s="39" t="s">
        <v>538</v>
      </c>
      <c r="BT28" s="39" t="s">
        <v>538</v>
      </c>
      <c r="BU28" s="39" t="s">
        <v>538</v>
      </c>
      <c r="BV28" s="39" t="s">
        <v>538</v>
      </c>
      <c r="BW28" s="39" t="s">
        <v>678</v>
      </c>
      <c r="BX28" s="39" t="s">
        <v>538</v>
      </c>
      <c r="BY28" s="39" t="s">
        <v>679</v>
      </c>
      <c r="BZ28" s="39" t="s">
        <v>526</v>
      </c>
      <c r="CA28" s="38"/>
    </row>
    <row r="29" spans="1:79" ht="45" customHeight="1" x14ac:dyDescent="0.2">
      <c r="A29" s="44" t="s">
        <v>134</v>
      </c>
      <c r="B29" s="21" t="s">
        <v>135</v>
      </c>
      <c r="C29" s="21" t="s">
        <v>136</v>
      </c>
      <c r="D29" s="20" t="s">
        <v>90</v>
      </c>
      <c r="E29" s="20" t="s">
        <v>101</v>
      </c>
      <c r="F29" s="100" t="s">
        <v>531</v>
      </c>
      <c r="G29" s="100" t="s">
        <v>99</v>
      </c>
      <c r="H29" s="162">
        <v>42305</v>
      </c>
      <c r="I29" s="150">
        <v>42336</v>
      </c>
      <c r="J29" s="155">
        <v>42310</v>
      </c>
      <c r="K29" s="154">
        <v>42275</v>
      </c>
      <c r="L29" s="54">
        <v>42283</v>
      </c>
      <c r="M29" s="140">
        <v>42316</v>
      </c>
      <c r="N29" s="112">
        <v>42916</v>
      </c>
      <c r="O29" s="52"/>
      <c r="P29" s="113"/>
      <c r="Q29" s="112" t="s">
        <v>137</v>
      </c>
      <c r="R29" s="28" t="s">
        <v>541</v>
      </c>
      <c r="S29" s="28"/>
      <c r="T29" s="53"/>
      <c r="U29" s="53"/>
      <c r="V29" s="53"/>
      <c r="W29" s="54"/>
      <c r="X29" s="51"/>
      <c r="Y29" s="112"/>
      <c r="Z29" s="52" t="s">
        <v>538</v>
      </c>
      <c r="AA29" s="112"/>
      <c r="AB29" s="112"/>
      <c r="AC29" s="52"/>
      <c r="AD29" s="52"/>
      <c r="AE29" s="53"/>
      <c r="AF29" s="53"/>
      <c r="AG29" s="53"/>
      <c r="AH29" s="54" t="s">
        <v>538</v>
      </c>
      <c r="AI29" s="51"/>
      <c r="AJ29" s="112"/>
      <c r="AK29" s="52"/>
      <c r="AL29" s="112"/>
      <c r="AM29" s="112"/>
      <c r="AN29" s="52" t="s">
        <v>538</v>
      </c>
      <c r="AO29" s="52"/>
      <c r="AP29" s="53" t="s">
        <v>538</v>
      </c>
      <c r="AQ29" s="53">
        <v>419345</v>
      </c>
      <c r="AR29" s="53">
        <v>419345</v>
      </c>
      <c r="AS29" s="54">
        <v>0</v>
      </c>
      <c r="AT29" s="55">
        <v>419345</v>
      </c>
      <c r="AU29" s="113"/>
      <c r="AV29" s="56">
        <v>0</v>
      </c>
      <c r="AW29" s="113">
        <v>-1</v>
      </c>
      <c r="AX29" s="113" t="s">
        <v>28</v>
      </c>
      <c r="AY29" s="45" t="s">
        <v>283</v>
      </c>
      <c r="AZ29" s="45" t="s">
        <v>668</v>
      </c>
      <c r="BA29" s="45" t="s">
        <v>541</v>
      </c>
      <c r="BB29" s="57" t="e">
        <v>#REF!</v>
      </c>
      <c r="BC29" s="57"/>
      <c r="BD29" s="57"/>
      <c r="BE29" s="58"/>
      <c r="BF29" s="59"/>
      <c r="BG29" s="60"/>
      <c r="BH29" s="61"/>
      <c r="BI29" s="62"/>
      <c r="BJ29" s="60"/>
      <c r="BK29" s="63"/>
      <c r="BL29" s="63"/>
      <c r="BM29" s="64"/>
      <c r="BN29" s="18"/>
      <c r="BO29" s="19"/>
      <c r="BP29" s="65"/>
      <c r="BQ29" s="37"/>
      <c r="BR29" s="39"/>
      <c r="BS29" s="39"/>
      <c r="BT29" s="39"/>
      <c r="BU29" s="39"/>
      <c r="BV29" s="39"/>
      <c r="BW29" s="39"/>
      <c r="BX29" s="39"/>
      <c r="BY29" s="39"/>
      <c r="BZ29" s="39"/>
      <c r="CA29" s="38"/>
    </row>
    <row r="30" spans="1:79" ht="45" customHeight="1" x14ac:dyDescent="0.2">
      <c r="A30" s="44" t="s">
        <v>150</v>
      </c>
      <c r="B30" s="21" t="s">
        <v>151</v>
      </c>
      <c r="C30" s="21" t="s">
        <v>152</v>
      </c>
      <c r="D30" s="20" t="s">
        <v>93</v>
      </c>
      <c r="E30" s="20" t="s">
        <v>101</v>
      </c>
      <c r="F30" s="100" t="s">
        <v>530</v>
      </c>
      <c r="G30" s="100" t="s">
        <v>99</v>
      </c>
      <c r="H30" s="162">
        <v>42199</v>
      </c>
      <c r="I30" s="150">
        <v>42230</v>
      </c>
      <c r="J30" s="155">
        <v>42334</v>
      </c>
      <c r="K30" s="154" t="s">
        <v>680</v>
      </c>
      <c r="L30" s="54" t="s">
        <v>28</v>
      </c>
      <c r="M30" s="140"/>
      <c r="N30" s="112"/>
      <c r="O30" s="52"/>
      <c r="P30" s="113"/>
      <c r="Q30" s="112"/>
      <c r="R30" s="28"/>
      <c r="S30" s="28" t="s">
        <v>149</v>
      </c>
      <c r="T30" s="53" t="s">
        <v>538</v>
      </c>
      <c r="U30" s="53" t="s">
        <v>538</v>
      </c>
      <c r="V30" s="53" t="s">
        <v>538</v>
      </c>
      <c r="W30" s="54" t="s">
        <v>538</v>
      </c>
      <c r="X30" s="51"/>
      <c r="Y30" s="112"/>
      <c r="Z30" s="52"/>
      <c r="AA30" s="112"/>
      <c r="AB30" s="112"/>
      <c r="AC30" s="52"/>
      <c r="AD30" s="52"/>
      <c r="AE30" s="53" t="s">
        <v>538</v>
      </c>
      <c r="AF30" s="53" t="s">
        <v>538</v>
      </c>
      <c r="AG30" s="53" t="s">
        <v>538</v>
      </c>
      <c r="AH30" s="54" t="s">
        <v>538</v>
      </c>
      <c r="AI30" s="51"/>
      <c r="AJ30" s="112"/>
      <c r="AK30" s="52"/>
      <c r="AL30" s="112"/>
      <c r="AM30" s="112"/>
      <c r="AN30" s="52"/>
      <c r="AO30" s="52"/>
      <c r="AP30" s="53" t="s">
        <v>538</v>
      </c>
      <c r="AQ30" s="53" t="s">
        <v>538</v>
      </c>
      <c r="AR30" s="53" t="s">
        <v>538</v>
      </c>
      <c r="AS30" s="54" t="s">
        <v>538</v>
      </c>
      <c r="AT30" s="55">
        <v>42436</v>
      </c>
      <c r="AU30" s="113">
        <v>42436</v>
      </c>
      <c r="AV30" s="56">
        <v>42716</v>
      </c>
      <c r="AW30" s="113">
        <v>42716</v>
      </c>
      <c r="AX30" s="113">
        <v>42716</v>
      </c>
      <c r="AY30" s="45">
        <v>42806</v>
      </c>
      <c r="AZ30" s="45" t="s">
        <v>163</v>
      </c>
      <c r="BA30" s="45" t="s">
        <v>28</v>
      </c>
      <c r="BB30" s="57" t="s">
        <v>28</v>
      </c>
      <c r="BC30" s="57" t="s">
        <v>28</v>
      </c>
      <c r="BD30" s="57" t="s">
        <v>28</v>
      </c>
      <c r="BE30" s="58">
        <v>180111</v>
      </c>
      <c r="BF30" s="59">
        <v>171587</v>
      </c>
      <c r="BG30" s="60">
        <v>0</v>
      </c>
      <c r="BH30" s="61">
        <v>179311</v>
      </c>
      <c r="BI30" s="62">
        <v>171587</v>
      </c>
      <c r="BJ30" s="60">
        <v>-4.7326370960130142E-2</v>
      </c>
      <c r="BK30" s="63">
        <v>-1</v>
      </c>
      <c r="BL30" s="63" t="s">
        <v>28</v>
      </c>
      <c r="BM30" s="64" t="s">
        <v>475</v>
      </c>
      <c r="BN30" s="18" t="s">
        <v>667</v>
      </c>
      <c r="BO30" s="19" t="s">
        <v>28</v>
      </c>
      <c r="BP30" s="65" t="s">
        <v>673</v>
      </c>
      <c r="BQ30" s="37" t="s">
        <v>538</v>
      </c>
      <c r="BR30" s="39" t="s">
        <v>538</v>
      </c>
      <c r="BS30" s="39" t="s">
        <v>538</v>
      </c>
      <c r="BT30" s="39" t="s">
        <v>538</v>
      </c>
      <c r="BU30" s="39" t="s">
        <v>538</v>
      </c>
      <c r="BV30" s="39" t="s">
        <v>538</v>
      </c>
      <c r="BW30" s="39" t="s">
        <v>539</v>
      </c>
      <c r="BX30" s="39" t="s">
        <v>542</v>
      </c>
      <c r="BY30" s="39" t="s">
        <v>681</v>
      </c>
      <c r="BZ30" s="39" t="s">
        <v>526</v>
      </c>
      <c r="CA30" s="38"/>
    </row>
    <row r="31" spans="1:79" ht="56.25" customHeight="1" x14ac:dyDescent="0.2">
      <c r="A31" s="44" t="s">
        <v>300</v>
      </c>
      <c r="B31" s="21" t="s">
        <v>502</v>
      </c>
      <c r="C31" s="21" t="s">
        <v>167</v>
      </c>
      <c r="D31" s="20" t="s">
        <v>90</v>
      </c>
      <c r="E31" s="20" t="s">
        <v>103</v>
      </c>
      <c r="F31" s="100" t="s">
        <v>527</v>
      </c>
      <c r="G31" s="100" t="s">
        <v>100</v>
      </c>
      <c r="H31" s="162">
        <v>42398</v>
      </c>
      <c r="I31" s="150">
        <v>42429</v>
      </c>
      <c r="J31" s="155"/>
      <c r="K31" s="154" t="s">
        <v>682</v>
      </c>
      <c r="L31" s="54" t="s">
        <v>541</v>
      </c>
      <c r="M31" s="140"/>
      <c r="N31" s="112"/>
      <c r="O31" s="52"/>
      <c r="P31" s="113"/>
      <c r="Q31" s="112"/>
      <c r="R31" s="28"/>
      <c r="S31" s="28" t="s">
        <v>169</v>
      </c>
      <c r="T31" s="53" t="s">
        <v>538</v>
      </c>
      <c r="U31" s="53" t="s">
        <v>538</v>
      </c>
      <c r="V31" s="53" t="s">
        <v>538</v>
      </c>
      <c r="W31" s="54" t="s">
        <v>538</v>
      </c>
      <c r="X31" s="51"/>
      <c r="Y31" s="112"/>
      <c r="Z31" s="52"/>
      <c r="AA31" s="112"/>
      <c r="AB31" s="112"/>
      <c r="AC31" s="52"/>
      <c r="AD31" s="52"/>
      <c r="AE31" s="53" t="s">
        <v>538</v>
      </c>
      <c r="AF31" s="53" t="s">
        <v>538</v>
      </c>
      <c r="AG31" s="53" t="s">
        <v>538</v>
      </c>
      <c r="AH31" s="54" t="s">
        <v>538</v>
      </c>
      <c r="AI31" s="51"/>
      <c r="AJ31" s="112"/>
      <c r="AK31" s="52"/>
      <c r="AL31" s="112"/>
      <c r="AM31" s="112"/>
      <c r="AN31" s="52"/>
      <c r="AO31" s="52"/>
      <c r="AP31" s="53" t="s">
        <v>538</v>
      </c>
      <c r="AQ31" s="53" t="s">
        <v>538</v>
      </c>
      <c r="AR31" s="53" t="s">
        <v>538</v>
      </c>
      <c r="AS31" s="54" t="s">
        <v>538</v>
      </c>
      <c r="AT31" s="55">
        <v>42585</v>
      </c>
      <c r="AU31" s="113">
        <v>42585</v>
      </c>
      <c r="AV31" s="56">
        <v>42657</v>
      </c>
      <c r="AW31" s="113">
        <v>42709</v>
      </c>
      <c r="AX31" s="113">
        <v>42706</v>
      </c>
      <c r="AY31" s="45">
        <v>42796</v>
      </c>
      <c r="AZ31" s="45" t="s">
        <v>168</v>
      </c>
      <c r="BA31" s="45" t="s">
        <v>28</v>
      </c>
      <c r="BB31" s="57" t="s">
        <v>541</v>
      </c>
      <c r="BC31" s="57" t="s">
        <v>541</v>
      </c>
      <c r="BD31" s="57" t="s">
        <v>541</v>
      </c>
      <c r="BE31" s="58">
        <v>135000</v>
      </c>
      <c r="BF31" s="59">
        <v>174762</v>
      </c>
      <c r="BG31" s="60" t="e">
        <v>#N/A</v>
      </c>
      <c r="BH31" s="61">
        <v>135000</v>
      </c>
      <c r="BI31" s="62"/>
      <c r="BJ31" s="60">
        <v>0.29453333333333331</v>
      </c>
      <c r="BK31" s="63" t="e">
        <v>#N/A</v>
      </c>
      <c r="BL31" s="63" t="e">
        <v>#N/A</v>
      </c>
      <c r="BM31" s="64" t="s">
        <v>322</v>
      </c>
      <c r="BN31" s="18" t="s">
        <v>504</v>
      </c>
      <c r="BO31" s="19" t="e">
        <v>#N/A</v>
      </c>
      <c r="BP31" s="65" t="e">
        <v>#REF!</v>
      </c>
      <c r="BQ31" s="37" t="s">
        <v>538</v>
      </c>
      <c r="BR31" s="39" t="s">
        <v>538</v>
      </c>
      <c r="BS31" s="39" t="s">
        <v>538</v>
      </c>
      <c r="BT31" s="39" t="s">
        <v>538</v>
      </c>
      <c r="BU31" s="39" t="s">
        <v>538</v>
      </c>
      <c r="BV31" s="39" t="s">
        <v>538</v>
      </c>
      <c r="BW31" s="39" t="s">
        <v>539</v>
      </c>
      <c r="BX31" s="39" t="s">
        <v>683</v>
      </c>
      <c r="BY31" s="39" t="s">
        <v>684</v>
      </c>
      <c r="BZ31" s="39" t="s">
        <v>526</v>
      </c>
      <c r="CA31" s="38"/>
    </row>
    <row r="32" spans="1:79" ht="90" customHeight="1" x14ac:dyDescent="0.2">
      <c r="A32" s="44" t="s">
        <v>134</v>
      </c>
      <c r="B32" s="21" t="s">
        <v>135</v>
      </c>
      <c r="C32" s="21" t="s">
        <v>136</v>
      </c>
      <c r="D32" s="20" t="s">
        <v>90</v>
      </c>
      <c r="E32" s="20" t="s">
        <v>101</v>
      </c>
      <c r="F32" s="100" t="s">
        <v>531</v>
      </c>
      <c r="G32" s="100" t="s">
        <v>99</v>
      </c>
      <c r="H32" s="162">
        <v>42305</v>
      </c>
      <c r="I32" s="150">
        <v>42336</v>
      </c>
      <c r="J32" s="155">
        <v>42310</v>
      </c>
      <c r="K32" s="154" t="s">
        <v>689</v>
      </c>
      <c r="L32" s="54" t="s">
        <v>28</v>
      </c>
      <c r="M32" s="140">
        <v>42275</v>
      </c>
      <c r="N32" s="112">
        <v>42283</v>
      </c>
      <c r="O32" s="52">
        <v>42316</v>
      </c>
      <c r="P32" s="113">
        <v>42916</v>
      </c>
      <c r="Q32" s="112"/>
      <c r="R32" s="28"/>
      <c r="S32" s="28" t="s">
        <v>137</v>
      </c>
      <c r="T32" s="53" t="s">
        <v>541</v>
      </c>
      <c r="U32" s="53" t="s">
        <v>541</v>
      </c>
      <c r="V32" s="53" t="s">
        <v>538</v>
      </c>
      <c r="W32" s="54" t="s">
        <v>541</v>
      </c>
      <c r="X32" s="51"/>
      <c r="Y32" s="112"/>
      <c r="Z32" s="52"/>
      <c r="AA32" s="112"/>
      <c r="AB32" s="112"/>
      <c r="AC32" s="52"/>
      <c r="AD32" s="52"/>
      <c r="AE32" s="53" t="s">
        <v>538</v>
      </c>
      <c r="AF32" s="53" t="s">
        <v>538</v>
      </c>
      <c r="AG32" s="53" t="s">
        <v>538</v>
      </c>
      <c r="AH32" s="54" t="s">
        <v>538</v>
      </c>
      <c r="AI32" s="51"/>
      <c r="AJ32" s="112"/>
      <c r="AK32" s="52"/>
      <c r="AL32" s="112"/>
      <c r="AM32" s="112"/>
      <c r="AN32" s="52"/>
      <c r="AO32" s="52"/>
      <c r="AP32" s="53" t="s">
        <v>538</v>
      </c>
      <c r="AQ32" s="53" t="s">
        <v>538</v>
      </c>
      <c r="AR32" s="53" t="s">
        <v>538</v>
      </c>
      <c r="AS32" s="54" t="s">
        <v>538</v>
      </c>
      <c r="AT32" s="55"/>
      <c r="AU32" s="113"/>
      <c r="AV32" s="56"/>
      <c r="AW32" s="113"/>
      <c r="AX32" s="113"/>
      <c r="AY32" s="45" t="s">
        <v>538</v>
      </c>
      <c r="AZ32" s="45"/>
      <c r="BA32" s="45" t="s">
        <v>538</v>
      </c>
      <c r="BB32" s="57" t="s">
        <v>538</v>
      </c>
      <c r="BC32" s="57" t="s">
        <v>538</v>
      </c>
      <c r="BD32" s="57" t="s">
        <v>538</v>
      </c>
      <c r="BE32" s="58">
        <v>419345</v>
      </c>
      <c r="BF32" s="59">
        <v>419345</v>
      </c>
      <c r="BG32" s="60">
        <v>0</v>
      </c>
      <c r="BH32" s="61">
        <v>419345</v>
      </c>
      <c r="BI32" s="62"/>
      <c r="BJ32" s="60">
        <v>0</v>
      </c>
      <c r="BK32" s="63">
        <v>-1</v>
      </c>
      <c r="BL32" s="63" t="s">
        <v>28</v>
      </c>
      <c r="BM32" s="64" t="s">
        <v>283</v>
      </c>
      <c r="BN32" s="18" t="s">
        <v>668</v>
      </c>
      <c r="BO32" s="19" t="s">
        <v>541</v>
      </c>
      <c r="BP32" s="65" t="e">
        <v>#REF!</v>
      </c>
      <c r="BQ32" s="37" t="s">
        <v>678</v>
      </c>
      <c r="BR32" s="39" t="s">
        <v>538</v>
      </c>
      <c r="BS32" s="39" t="s">
        <v>538</v>
      </c>
      <c r="BT32" s="39" t="s">
        <v>538</v>
      </c>
      <c r="BU32" s="39" t="s">
        <v>538</v>
      </c>
      <c r="BV32" s="39" t="s">
        <v>538</v>
      </c>
      <c r="BW32" s="39" t="s">
        <v>538</v>
      </c>
      <c r="BX32" s="39" t="s">
        <v>538</v>
      </c>
      <c r="BY32" s="39" t="s">
        <v>690</v>
      </c>
      <c r="BZ32" s="39" t="s">
        <v>691</v>
      </c>
      <c r="CA32" s="38"/>
    </row>
    <row r="33" spans="1:79" ht="78.75" customHeight="1" x14ac:dyDescent="0.2">
      <c r="A33" s="44"/>
      <c r="B33" s="21"/>
      <c r="C33" s="21"/>
      <c r="D33" s="20"/>
      <c r="E33" s="20"/>
      <c r="F33" s="100"/>
      <c r="G33" s="100"/>
      <c r="H33" s="162"/>
      <c r="I33" s="150"/>
      <c r="J33" s="155"/>
      <c r="K33" s="154"/>
      <c r="L33" s="54"/>
      <c r="M33" s="140"/>
      <c r="N33" s="112"/>
      <c r="O33" s="52"/>
      <c r="P33" s="113"/>
      <c r="Q33" s="112"/>
      <c r="R33" s="28"/>
      <c r="S33" s="28"/>
      <c r="T33" s="53"/>
      <c r="U33" s="53"/>
      <c r="V33" s="53"/>
      <c r="W33" s="54"/>
      <c r="X33" s="51"/>
      <c r="Y33" s="112"/>
      <c r="Z33" s="52"/>
      <c r="AA33" s="112"/>
      <c r="AB33" s="112"/>
      <c r="AC33" s="52"/>
      <c r="AD33" s="52"/>
      <c r="AE33" s="53"/>
      <c r="AF33" s="53"/>
      <c r="AG33" s="53"/>
      <c r="AH33" s="54"/>
      <c r="AI33" s="51"/>
      <c r="AJ33" s="112"/>
      <c r="AK33" s="52"/>
      <c r="AL33" s="112"/>
      <c r="AM33" s="112"/>
      <c r="AN33" s="52"/>
      <c r="AO33" s="52"/>
      <c r="AP33" s="53"/>
      <c r="AQ33" s="53"/>
      <c r="AR33" s="53"/>
      <c r="AS33" s="54"/>
      <c r="AT33" s="55"/>
      <c r="AU33" s="113"/>
      <c r="AV33" s="56"/>
      <c r="AW33" s="113"/>
      <c r="AX33" s="113"/>
      <c r="AY33" s="45"/>
      <c r="AZ33" s="45"/>
      <c r="BA33" s="45"/>
      <c r="BB33" s="57"/>
      <c r="BC33" s="57"/>
      <c r="BD33" s="57"/>
      <c r="BE33" s="58"/>
      <c r="BF33" s="59"/>
      <c r="BG33" s="60"/>
      <c r="BH33" s="61"/>
      <c r="BI33" s="62"/>
      <c r="BJ33" s="60"/>
      <c r="BK33" s="63"/>
      <c r="BL33" s="63"/>
      <c r="BM33" s="64"/>
      <c r="BN33" s="18"/>
      <c r="BO33" s="19"/>
      <c r="BP33" s="65"/>
      <c r="BQ33" s="37"/>
      <c r="BR33" s="39" t="str">
        <f t="shared" ca="1" si="0"/>
        <v/>
      </c>
      <c r="BS33" s="39" t="str">
        <f t="shared" ca="1" si="1"/>
        <v/>
      </c>
      <c r="BT33" s="39" t="str">
        <f t="shared" ca="1" si="2"/>
        <v/>
      </c>
      <c r="BU33" s="39" t="str">
        <f t="shared" ca="1" si="3"/>
        <v/>
      </c>
      <c r="BV33" s="39" t="str">
        <f t="shared" ca="1" si="4"/>
        <v/>
      </c>
      <c r="BW33" s="39" t="str">
        <f t="shared" ca="1" si="5"/>
        <v/>
      </c>
      <c r="BX33" s="39" t="str">
        <f t="shared" ca="1" si="6"/>
        <v/>
      </c>
      <c r="BY33" s="39" t="str">
        <f t="shared" ca="1" si="7"/>
        <v/>
      </c>
      <c r="BZ33" s="39" t="str">
        <f t="shared" ref="BZ33:BZ47" ca="1" si="74">IF(BX33="Completed ",IF(BG33-BF33&gt;0,"Over budget by £"&amp;(BG33-BF33),"Under budget by £"&amp;BF33-BG33),IF(BG33="","","Current Forecast Spend £"&amp;BG33))</f>
        <v/>
      </c>
      <c r="CA33" s="38"/>
    </row>
    <row r="34" spans="1:79" ht="78.75" customHeight="1" x14ac:dyDescent="0.2">
      <c r="A34" s="44"/>
      <c r="B34" s="21"/>
      <c r="C34" s="21"/>
      <c r="D34" s="20"/>
      <c r="E34" s="20"/>
      <c r="F34" s="100"/>
      <c r="G34" s="100"/>
      <c r="H34" s="162"/>
      <c r="I34" s="150"/>
      <c r="J34" s="155"/>
      <c r="K34" s="154"/>
      <c r="L34" s="54"/>
      <c r="M34" s="140"/>
      <c r="N34" s="112"/>
      <c r="O34" s="52"/>
      <c r="P34" s="113"/>
      <c r="Q34" s="112"/>
      <c r="R34" s="28"/>
      <c r="S34" s="28"/>
      <c r="T34" s="53"/>
      <c r="U34" s="53"/>
      <c r="V34" s="53"/>
      <c r="W34" s="54"/>
      <c r="X34" s="51"/>
      <c r="Y34" s="112"/>
      <c r="Z34" s="52"/>
      <c r="AA34" s="112"/>
      <c r="AB34" s="112"/>
      <c r="AC34" s="52"/>
      <c r="AD34" s="52"/>
      <c r="AE34" s="53"/>
      <c r="AF34" s="53"/>
      <c r="AG34" s="53"/>
      <c r="AH34" s="54"/>
      <c r="AI34" s="51"/>
      <c r="AJ34" s="112"/>
      <c r="AK34" s="52"/>
      <c r="AL34" s="112"/>
      <c r="AM34" s="112"/>
      <c r="AN34" s="52"/>
      <c r="AO34" s="52"/>
      <c r="AP34" s="53"/>
      <c r="AQ34" s="53"/>
      <c r="AR34" s="53"/>
      <c r="AS34" s="54"/>
      <c r="AT34" s="55"/>
      <c r="AU34" s="113"/>
      <c r="AV34" s="56"/>
      <c r="AW34" s="113"/>
      <c r="AX34" s="113"/>
      <c r="AY34" s="45"/>
      <c r="AZ34" s="45"/>
      <c r="BA34" s="45"/>
      <c r="BB34" s="57"/>
      <c r="BC34" s="57"/>
      <c r="BD34" s="57"/>
      <c r="BE34" s="58"/>
      <c r="BF34" s="59"/>
      <c r="BG34" s="60"/>
      <c r="BH34" s="61"/>
      <c r="BI34" s="62"/>
      <c r="BJ34" s="60"/>
      <c r="BK34" s="63"/>
      <c r="BL34" s="63"/>
      <c r="BM34" s="64"/>
      <c r="BN34" s="18"/>
      <c r="BO34" s="19"/>
      <c r="BP34" s="65"/>
      <c r="BQ34" s="37"/>
      <c r="BR34" s="39" t="str">
        <f t="shared" ca="1" si="0"/>
        <v/>
      </c>
      <c r="BS34" s="39" t="str">
        <f t="shared" ca="1" si="1"/>
        <v/>
      </c>
      <c r="BT34" s="39" t="str">
        <f t="shared" ca="1" si="2"/>
        <v/>
      </c>
      <c r="BU34" s="39" t="str">
        <f t="shared" ca="1" si="3"/>
        <v/>
      </c>
      <c r="BV34" s="39" t="str">
        <f t="shared" ca="1" si="4"/>
        <v/>
      </c>
      <c r="BW34" s="39" t="str">
        <f t="shared" ca="1" si="5"/>
        <v/>
      </c>
      <c r="BX34" s="39" t="str">
        <f t="shared" ca="1" si="6"/>
        <v/>
      </c>
      <c r="BY34" s="39" t="str">
        <f t="shared" ca="1" si="7"/>
        <v/>
      </c>
      <c r="BZ34" s="39" t="str">
        <f t="shared" ca="1" si="74"/>
        <v/>
      </c>
      <c r="CA34" s="38"/>
    </row>
    <row r="35" spans="1:79" ht="63" customHeight="1" x14ac:dyDescent="0.2">
      <c r="A35" s="44"/>
      <c r="B35" s="21"/>
      <c r="C35" s="21"/>
      <c r="D35" s="20"/>
      <c r="E35" s="20"/>
      <c r="F35" s="100"/>
      <c r="G35" s="100"/>
      <c r="H35" s="151"/>
      <c r="I35" s="150"/>
      <c r="J35" s="156"/>
      <c r="K35" s="154"/>
      <c r="L35" s="54"/>
      <c r="M35" s="140"/>
      <c r="N35" s="112"/>
      <c r="O35" s="52"/>
      <c r="P35" s="113"/>
      <c r="Q35" s="112"/>
      <c r="R35" s="28"/>
      <c r="S35" s="28"/>
      <c r="T35" s="53"/>
      <c r="U35" s="53"/>
      <c r="V35" s="53"/>
      <c r="W35" s="54"/>
      <c r="X35" s="51"/>
      <c r="Y35" s="112"/>
      <c r="Z35" s="52"/>
      <c r="AA35" s="112"/>
      <c r="AB35" s="112"/>
      <c r="AC35" s="52"/>
      <c r="AD35" s="52"/>
      <c r="AE35" s="53"/>
      <c r="AF35" s="53"/>
      <c r="AG35" s="53"/>
      <c r="AH35" s="54"/>
      <c r="AI35" s="51"/>
      <c r="AJ35" s="112"/>
      <c r="AK35" s="52"/>
      <c r="AL35" s="112"/>
      <c r="AM35" s="112"/>
      <c r="AN35" s="52"/>
      <c r="AO35" s="52"/>
      <c r="AP35" s="53"/>
      <c r="AQ35" s="53"/>
      <c r="AR35" s="53"/>
      <c r="AS35" s="54"/>
      <c r="AT35" s="55"/>
      <c r="AU35" s="113"/>
      <c r="AV35" s="56"/>
      <c r="AW35" s="113"/>
      <c r="AX35" s="113"/>
      <c r="AY35" s="45"/>
      <c r="AZ35" s="45"/>
      <c r="BA35" s="45"/>
      <c r="BB35" s="57"/>
      <c r="BC35" s="57"/>
      <c r="BD35" s="57"/>
      <c r="BE35" s="58"/>
      <c r="BF35" s="59"/>
      <c r="BG35" s="59"/>
      <c r="BH35" s="61"/>
      <c r="BI35" s="59"/>
      <c r="BJ35" s="60"/>
      <c r="BK35" s="63"/>
      <c r="BL35" s="63"/>
      <c r="BM35" s="64"/>
      <c r="BN35" s="18"/>
      <c r="BO35" s="19"/>
      <c r="BP35" s="65"/>
      <c r="BQ35" s="37"/>
      <c r="BR35" s="39" t="str">
        <f t="shared" ca="1" si="0"/>
        <v/>
      </c>
      <c r="BS35" s="39" t="str">
        <f t="shared" ca="1" si="1"/>
        <v/>
      </c>
      <c r="BT35" s="39" t="str">
        <f t="shared" ca="1" si="2"/>
        <v/>
      </c>
      <c r="BU35" s="39" t="str">
        <f t="shared" ca="1" si="3"/>
        <v/>
      </c>
      <c r="BV35" s="39" t="str">
        <f t="shared" ca="1" si="4"/>
        <v/>
      </c>
      <c r="BW35" s="39" t="str">
        <f t="shared" ca="1" si="5"/>
        <v/>
      </c>
      <c r="BX35" s="39" t="str">
        <f t="shared" ca="1" si="6"/>
        <v/>
      </c>
      <c r="BY35" s="39" t="str">
        <f t="shared" ca="1" si="7"/>
        <v/>
      </c>
      <c r="BZ35" s="39" t="str">
        <f t="shared" ca="1" si="74"/>
        <v/>
      </c>
      <c r="CA35" s="38"/>
    </row>
    <row r="36" spans="1:79" ht="60.75" customHeight="1" x14ac:dyDescent="0.2">
      <c r="A36" s="44"/>
      <c r="B36" s="21"/>
      <c r="C36" s="21"/>
      <c r="D36" s="20"/>
      <c r="E36" s="20"/>
      <c r="F36" s="100"/>
      <c r="G36" s="100"/>
      <c r="H36" s="151"/>
      <c r="I36" s="150"/>
      <c r="J36" s="156"/>
      <c r="K36" s="154"/>
      <c r="L36" s="54"/>
      <c r="M36" s="140"/>
      <c r="N36" s="112"/>
      <c r="O36" s="52"/>
      <c r="P36" s="113"/>
      <c r="Q36" s="112"/>
      <c r="R36" s="28"/>
      <c r="S36" s="28"/>
      <c r="T36" s="53"/>
      <c r="U36" s="53"/>
      <c r="V36" s="53"/>
      <c r="W36" s="54"/>
      <c r="X36" s="51"/>
      <c r="Y36" s="112"/>
      <c r="Z36" s="52"/>
      <c r="AA36" s="112"/>
      <c r="AB36" s="112"/>
      <c r="AC36" s="52"/>
      <c r="AD36" s="52"/>
      <c r="AE36" s="53"/>
      <c r="AF36" s="53"/>
      <c r="AG36" s="53"/>
      <c r="AH36" s="54"/>
      <c r="AI36" s="51"/>
      <c r="AJ36" s="112"/>
      <c r="AK36" s="52"/>
      <c r="AL36" s="112"/>
      <c r="AM36" s="112"/>
      <c r="AN36" s="52"/>
      <c r="AO36" s="52"/>
      <c r="AP36" s="53"/>
      <c r="AQ36" s="53"/>
      <c r="AR36" s="53"/>
      <c r="AS36" s="54"/>
      <c r="AT36" s="55"/>
      <c r="AU36" s="113"/>
      <c r="AV36" s="56"/>
      <c r="AW36" s="113"/>
      <c r="AX36" s="113"/>
      <c r="AY36" s="45"/>
      <c r="AZ36" s="45"/>
      <c r="BA36" s="45"/>
      <c r="BB36" s="57"/>
      <c r="BC36" s="57"/>
      <c r="BD36" s="57"/>
      <c r="BE36" s="58"/>
      <c r="BF36" s="59"/>
      <c r="BG36" s="60"/>
      <c r="BH36" s="61"/>
      <c r="BI36" s="62"/>
      <c r="BJ36" s="60"/>
      <c r="BK36" s="63"/>
      <c r="BL36" s="63"/>
      <c r="BM36" s="64"/>
      <c r="BN36" s="18"/>
      <c r="BO36" s="19"/>
      <c r="BP36" s="65"/>
      <c r="BQ36" s="37"/>
      <c r="BR36" s="39" t="str">
        <f t="shared" ca="1" si="0"/>
        <v/>
      </c>
      <c r="BS36" s="39" t="str">
        <f t="shared" ca="1" si="1"/>
        <v/>
      </c>
      <c r="BT36" s="39" t="str">
        <f t="shared" ca="1" si="2"/>
        <v/>
      </c>
      <c r="BU36" s="39" t="str">
        <f t="shared" ca="1" si="3"/>
        <v/>
      </c>
      <c r="BV36" s="39" t="str">
        <f t="shared" ca="1" si="4"/>
        <v/>
      </c>
      <c r="BW36" s="39" t="str">
        <f t="shared" ca="1" si="5"/>
        <v/>
      </c>
      <c r="BX36" s="39" t="str">
        <f t="shared" ca="1" si="6"/>
        <v/>
      </c>
      <c r="BY36" s="39" t="str">
        <f t="shared" ca="1" si="7"/>
        <v/>
      </c>
      <c r="BZ36" s="39" t="str">
        <f t="shared" ca="1" si="74"/>
        <v/>
      </c>
      <c r="CA36" s="38"/>
    </row>
    <row r="37" spans="1:79" x14ac:dyDescent="0.2">
      <c r="A37" s="44"/>
      <c r="B37" s="21"/>
      <c r="C37" s="21"/>
      <c r="D37" s="20"/>
      <c r="E37" s="100"/>
      <c r="F37" s="100"/>
      <c r="G37" s="100"/>
      <c r="H37" s="151"/>
      <c r="I37" s="150"/>
      <c r="J37" s="156"/>
      <c r="K37" s="154"/>
      <c r="L37" s="54"/>
      <c r="M37" s="140"/>
      <c r="N37" s="112"/>
      <c r="O37" s="52"/>
      <c r="P37" s="113"/>
      <c r="Q37" s="112"/>
      <c r="R37" s="28"/>
      <c r="S37" s="28"/>
      <c r="T37" s="53"/>
      <c r="U37" s="53"/>
      <c r="V37" s="53"/>
      <c r="W37" s="54"/>
      <c r="X37" s="51"/>
      <c r="Y37" s="112"/>
      <c r="Z37" s="52"/>
      <c r="AA37" s="112"/>
      <c r="AB37" s="112"/>
      <c r="AC37" s="52"/>
      <c r="AD37" s="52"/>
      <c r="AE37" s="53"/>
      <c r="AF37" s="53"/>
      <c r="AG37" s="53"/>
      <c r="AH37" s="54"/>
      <c r="AI37" s="51"/>
      <c r="AJ37" s="112"/>
      <c r="AK37" s="52"/>
      <c r="AL37" s="112"/>
      <c r="AM37" s="112"/>
      <c r="AN37" s="52"/>
      <c r="AO37" s="52"/>
      <c r="AP37" s="53"/>
      <c r="AQ37" s="53"/>
      <c r="AR37" s="53"/>
      <c r="AS37" s="54"/>
      <c r="AT37" s="55"/>
      <c r="AU37" s="113"/>
      <c r="AV37" s="56"/>
      <c r="AW37" s="113"/>
      <c r="AX37" s="113"/>
      <c r="AY37" s="45"/>
      <c r="AZ37" s="45"/>
      <c r="BA37" s="45"/>
      <c r="BB37" s="57"/>
      <c r="BC37" s="57"/>
      <c r="BD37" s="57"/>
      <c r="BE37" s="58"/>
      <c r="BF37" s="59"/>
      <c r="BG37" s="60"/>
      <c r="BH37" s="61"/>
      <c r="BI37" s="62"/>
      <c r="BJ37" s="60"/>
      <c r="BK37" s="63"/>
      <c r="BL37" s="63"/>
      <c r="BM37" s="64"/>
      <c r="BN37" s="18"/>
      <c r="BO37" s="19"/>
      <c r="BP37" s="65"/>
      <c r="BQ37" s="37"/>
      <c r="BR37" s="39" t="str">
        <f t="shared" ca="1" si="0"/>
        <v/>
      </c>
      <c r="BS37" s="39" t="str">
        <f t="shared" ca="1" si="1"/>
        <v/>
      </c>
      <c r="BT37" s="39" t="str">
        <f t="shared" ca="1" si="2"/>
        <v/>
      </c>
      <c r="BU37" s="39" t="str">
        <f t="shared" ca="1" si="3"/>
        <v/>
      </c>
      <c r="BV37" s="39" t="str">
        <f t="shared" ca="1" si="4"/>
        <v/>
      </c>
      <c r="BW37" s="39" t="str">
        <f t="shared" ca="1" si="5"/>
        <v/>
      </c>
      <c r="BX37" s="39" t="str">
        <f t="shared" ca="1" si="6"/>
        <v/>
      </c>
      <c r="BY37" s="39" t="str">
        <f t="shared" ca="1" si="7"/>
        <v/>
      </c>
      <c r="BZ37" s="39" t="str">
        <f t="shared" ca="1" si="74"/>
        <v/>
      </c>
      <c r="CA37" s="38"/>
    </row>
    <row r="38" spans="1:79" ht="15" customHeight="1" x14ac:dyDescent="0.2">
      <c r="A38" s="44"/>
      <c r="B38" s="21"/>
      <c r="C38" s="21"/>
      <c r="D38" s="20"/>
      <c r="E38" s="20"/>
      <c r="F38" s="100"/>
      <c r="G38" s="100"/>
      <c r="H38" s="151"/>
      <c r="I38" s="150"/>
      <c r="J38" s="156"/>
      <c r="K38" s="154"/>
      <c r="L38" s="54"/>
      <c r="M38" s="140"/>
      <c r="N38" s="112"/>
      <c r="O38" s="52"/>
      <c r="P38" s="113"/>
      <c r="Q38" s="112"/>
      <c r="R38" s="28"/>
      <c r="S38" s="28"/>
      <c r="T38" s="53"/>
      <c r="U38" s="53"/>
      <c r="V38" s="53"/>
      <c r="W38" s="54"/>
      <c r="X38" s="51"/>
      <c r="Y38" s="112"/>
      <c r="Z38" s="52"/>
      <c r="AA38" s="112"/>
      <c r="AB38" s="112"/>
      <c r="AC38" s="52"/>
      <c r="AD38" s="52"/>
      <c r="AE38" s="53"/>
      <c r="AF38" s="53"/>
      <c r="AG38" s="53"/>
      <c r="AH38" s="54"/>
      <c r="AI38" s="51"/>
      <c r="AJ38" s="112"/>
      <c r="AK38" s="52"/>
      <c r="AL38" s="112"/>
      <c r="AM38" s="112"/>
      <c r="AN38" s="52"/>
      <c r="AO38" s="52"/>
      <c r="AP38" s="53"/>
      <c r="AQ38" s="53"/>
      <c r="AR38" s="53"/>
      <c r="AS38" s="54"/>
      <c r="AT38" s="55"/>
      <c r="AU38" s="113"/>
      <c r="AV38" s="56"/>
      <c r="AW38" s="113"/>
      <c r="AX38" s="113"/>
      <c r="AY38" s="45"/>
      <c r="AZ38" s="45"/>
      <c r="BA38" s="45"/>
      <c r="BB38" s="57"/>
      <c r="BC38" s="57"/>
      <c r="BD38" s="57"/>
      <c r="BE38" s="58"/>
      <c r="BF38" s="59"/>
      <c r="BG38" s="60"/>
      <c r="BH38" s="61"/>
      <c r="BI38" s="62"/>
      <c r="BJ38" s="60"/>
      <c r="BK38" s="63"/>
      <c r="BL38" s="63"/>
      <c r="BM38" s="64"/>
      <c r="BN38" s="18"/>
      <c r="BO38" s="19"/>
      <c r="BP38" s="65"/>
      <c r="BQ38" s="37"/>
      <c r="BR38" s="39" t="str">
        <f t="shared" ca="1" si="0"/>
        <v/>
      </c>
      <c r="BS38" s="39" t="str">
        <f t="shared" ca="1" si="1"/>
        <v/>
      </c>
      <c r="BT38" s="39" t="str">
        <f t="shared" ca="1" si="2"/>
        <v/>
      </c>
      <c r="BU38" s="39" t="str">
        <f t="shared" ca="1" si="3"/>
        <v/>
      </c>
      <c r="BV38" s="39" t="str">
        <f t="shared" ca="1" si="4"/>
        <v/>
      </c>
      <c r="BW38" s="39" t="str">
        <f t="shared" ca="1" si="5"/>
        <v/>
      </c>
      <c r="BX38" s="39" t="str">
        <f t="shared" ca="1" si="6"/>
        <v/>
      </c>
      <c r="BY38" s="39" t="str">
        <f t="shared" ca="1" si="7"/>
        <v/>
      </c>
      <c r="BZ38" s="39" t="str">
        <f t="shared" ca="1" si="74"/>
        <v/>
      </c>
      <c r="CA38" s="38"/>
    </row>
    <row r="39" spans="1:79" ht="15" customHeight="1" x14ac:dyDescent="0.2">
      <c r="A39" s="44"/>
      <c r="B39" s="21"/>
      <c r="C39" s="21"/>
      <c r="D39" s="20"/>
      <c r="E39" s="20"/>
      <c r="F39" s="100"/>
      <c r="G39" s="100"/>
      <c r="H39" s="151"/>
      <c r="I39" s="150"/>
      <c r="J39" s="156"/>
      <c r="K39" s="154"/>
      <c r="L39" s="54"/>
      <c r="M39" s="140"/>
      <c r="N39" s="112"/>
      <c r="O39" s="52"/>
      <c r="P39" s="113"/>
      <c r="Q39" s="112"/>
      <c r="R39" s="28"/>
      <c r="S39" s="28"/>
      <c r="T39" s="53"/>
      <c r="U39" s="53"/>
      <c r="V39" s="53"/>
      <c r="W39" s="54"/>
      <c r="X39" s="51"/>
      <c r="Y39" s="112"/>
      <c r="Z39" s="52"/>
      <c r="AA39" s="112"/>
      <c r="AB39" s="112"/>
      <c r="AC39" s="52"/>
      <c r="AD39" s="52"/>
      <c r="AE39" s="53"/>
      <c r="AF39" s="53"/>
      <c r="AG39" s="53"/>
      <c r="AH39" s="54"/>
      <c r="AI39" s="51"/>
      <c r="AJ39" s="112"/>
      <c r="AK39" s="52"/>
      <c r="AL39" s="112"/>
      <c r="AM39" s="112"/>
      <c r="AN39" s="52"/>
      <c r="AO39" s="52"/>
      <c r="AP39" s="53"/>
      <c r="AQ39" s="53"/>
      <c r="AR39" s="53"/>
      <c r="AS39" s="54"/>
      <c r="AT39" s="55"/>
      <c r="AU39" s="113"/>
      <c r="AV39" s="56"/>
      <c r="AW39" s="113"/>
      <c r="AX39" s="113"/>
      <c r="AY39" s="45"/>
      <c r="AZ39" s="45"/>
      <c r="BA39" s="45"/>
      <c r="BB39" s="57"/>
      <c r="BC39" s="57"/>
      <c r="BD39" s="57"/>
      <c r="BE39" s="58"/>
      <c r="BF39" s="59"/>
      <c r="BG39" s="60"/>
      <c r="BH39" s="61"/>
      <c r="BI39" s="62"/>
      <c r="BJ39" s="60"/>
      <c r="BK39" s="63"/>
      <c r="BL39" s="63"/>
      <c r="BM39" s="64"/>
      <c r="BN39" s="18"/>
      <c r="BO39" s="19"/>
      <c r="BP39" s="65"/>
      <c r="BQ39" s="37"/>
      <c r="BR39" s="39" t="str">
        <f t="shared" ca="1" si="0"/>
        <v/>
      </c>
      <c r="BS39" s="39" t="str">
        <f t="shared" ca="1" si="1"/>
        <v/>
      </c>
      <c r="BT39" s="39" t="str">
        <f t="shared" ca="1" si="2"/>
        <v/>
      </c>
      <c r="BU39" s="39" t="str">
        <f t="shared" ca="1" si="3"/>
        <v/>
      </c>
      <c r="BV39" s="39" t="str">
        <f t="shared" ca="1" si="4"/>
        <v/>
      </c>
      <c r="BW39" s="39" t="str">
        <f t="shared" ca="1" si="5"/>
        <v/>
      </c>
      <c r="BX39" s="39" t="str">
        <f t="shared" ca="1" si="6"/>
        <v/>
      </c>
      <c r="BY39" s="39" t="str">
        <f t="shared" ca="1" si="7"/>
        <v/>
      </c>
      <c r="BZ39" s="39" t="str">
        <f t="shared" ca="1" si="74"/>
        <v/>
      </c>
      <c r="CA39" s="38"/>
    </row>
    <row r="40" spans="1:79" ht="15" customHeight="1" x14ac:dyDescent="0.2">
      <c r="A40" s="44"/>
      <c r="B40" s="21"/>
      <c r="C40" s="21"/>
      <c r="D40" s="20"/>
      <c r="E40" s="20"/>
      <c r="F40" s="100"/>
      <c r="G40" s="100"/>
      <c r="H40" s="151"/>
      <c r="I40" s="150"/>
      <c r="J40" s="156"/>
      <c r="K40" s="154"/>
      <c r="L40" s="54"/>
      <c r="M40" s="140"/>
      <c r="N40" s="112"/>
      <c r="O40" s="52"/>
      <c r="P40" s="113"/>
      <c r="Q40" s="112"/>
      <c r="R40" s="28"/>
      <c r="S40" s="28"/>
      <c r="T40" s="53"/>
      <c r="U40" s="53"/>
      <c r="V40" s="53"/>
      <c r="W40" s="54"/>
      <c r="X40" s="51"/>
      <c r="Y40" s="112"/>
      <c r="Z40" s="52"/>
      <c r="AA40" s="112"/>
      <c r="AB40" s="112"/>
      <c r="AC40" s="52"/>
      <c r="AD40" s="52"/>
      <c r="AE40" s="53"/>
      <c r="AF40" s="53"/>
      <c r="AG40" s="53"/>
      <c r="AH40" s="54"/>
      <c r="AI40" s="51"/>
      <c r="AJ40" s="112"/>
      <c r="AK40" s="52"/>
      <c r="AL40" s="112"/>
      <c r="AM40" s="112"/>
      <c r="AN40" s="52"/>
      <c r="AO40" s="52"/>
      <c r="AP40" s="53"/>
      <c r="AQ40" s="53"/>
      <c r="AR40" s="53"/>
      <c r="AS40" s="54"/>
      <c r="AT40" s="55"/>
      <c r="AU40" s="113"/>
      <c r="AV40" s="56"/>
      <c r="AW40" s="113"/>
      <c r="AX40" s="113"/>
      <c r="AY40" s="45"/>
      <c r="AZ40" s="45"/>
      <c r="BA40" s="45"/>
      <c r="BB40" s="57"/>
      <c r="BC40" s="57"/>
      <c r="BD40" s="57"/>
      <c r="BE40" s="58"/>
      <c r="BF40" s="59"/>
      <c r="BG40" s="60"/>
      <c r="BH40" s="61"/>
      <c r="BI40" s="62"/>
      <c r="BJ40" s="60"/>
      <c r="BK40" s="63"/>
      <c r="BL40" s="63"/>
      <c r="BM40" s="64"/>
      <c r="BN40" s="18"/>
      <c r="BO40" s="19"/>
      <c r="BP40" s="65"/>
      <c r="BQ40" s="37"/>
      <c r="BR40" s="39" t="str">
        <f t="shared" ca="1" si="0"/>
        <v/>
      </c>
      <c r="BS40" s="39" t="str">
        <f t="shared" ca="1" si="1"/>
        <v/>
      </c>
      <c r="BT40" s="39" t="str">
        <f t="shared" ca="1" si="2"/>
        <v/>
      </c>
      <c r="BU40" s="39" t="str">
        <f t="shared" ca="1" si="3"/>
        <v/>
      </c>
      <c r="BV40" s="39" t="str">
        <f t="shared" ca="1" si="4"/>
        <v/>
      </c>
      <c r="BW40" s="39" t="str">
        <f t="shared" ca="1" si="5"/>
        <v/>
      </c>
      <c r="BX40" s="39" t="str">
        <f t="shared" ca="1" si="6"/>
        <v/>
      </c>
      <c r="BY40" s="39" t="str">
        <f t="shared" ca="1" si="7"/>
        <v/>
      </c>
      <c r="BZ40" s="39" t="str">
        <f t="shared" ca="1" si="74"/>
        <v/>
      </c>
      <c r="CA40" s="38"/>
    </row>
    <row r="41" spans="1:79" ht="15" customHeight="1" x14ac:dyDescent="0.2">
      <c r="A41" s="44"/>
      <c r="B41" s="21"/>
      <c r="C41" s="21"/>
      <c r="D41" s="20"/>
      <c r="E41" s="20"/>
      <c r="F41" s="100"/>
      <c r="G41" s="100"/>
      <c r="H41" s="151"/>
      <c r="I41" s="150"/>
      <c r="J41" s="156"/>
      <c r="K41" s="154"/>
      <c r="L41" s="54"/>
      <c r="M41" s="140"/>
      <c r="N41" s="112"/>
      <c r="O41" s="52"/>
      <c r="P41" s="113"/>
      <c r="Q41" s="112"/>
      <c r="R41" s="28"/>
      <c r="S41" s="28"/>
      <c r="T41" s="53"/>
      <c r="U41" s="53"/>
      <c r="V41" s="53"/>
      <c r="W41" s="54"/>
      <c r="X41" s="51"/>
      <c r="Y41" s="112"/>
      <c r="Z41" s="52"/>
      <c r="AA41" s="112"/>
      <c r="AB41" s="112"/>
      <c r="AC41" s="52"/>
      <c r="AD41" s="52"/>
      <c r="AE41" s="53"/>
      <c r="AF41" s="53"/>
      <c r="AG41" s="53"/>
      <c r="AH41" s="54"/>
      <c r="AI41" s="51"/>
      <c r="AJ41" s="112"/>
      <c r="AK41" s="52"/>
      <c r="AL41" s="112"/>
      <c r="AM41" s="112"/>
      <c r="AN41" s="52"/>
      <c r="AO41" s="52"/>
      <c r="AP41" s="53"/>
      <c r="AQ41" s="53"/>
      <c r="AR41" s="53"/>
      <c r="AS41" s="54"/>
      <c r="AT41" s="55"/>
      <c r="AU41" s="113"/>
      <c r="AV41" s="56"/>
      <c r="AW41" s="113"/>
      <c r="AX41" s="113"/>
      <c r="AY41" s="45"/>
      <c r="AZ41" s="45"/>
      <c r="BA41" s="45"/>
      <c r="BB41" s="57"/>
      <c r="BC41" s="57"/>
      <c r="BD41" s="57"/>
      <c r="BE41" s="58"/>
      <c r="BF41" s="59"/>
      <c r="BG41" s="60"/>
      <c r="BH41" s="61"/>
      <c r="BI41" s="62"/>
      <c r="BJ41" s="60"/>
      <c r="BK41" s="63"/>
      <c r="BL41" s="63"/>
      <c r="BM41" s="64"/>
      <c r="BN41" s="18"/>
      <c r="BO41" s="19"/>
      <c r="BP41" s="65"/>
      <c r="BQ41" s="37"/>
      <c r="BR41" s="39" t="str">
        <f t="shared" ca="1" si="0"/>
        <v/>
      </c>
      <c r="BS41" s="39" t="str">
        <f t="shared" ca="1" si="1"/>
        <v/>
      </c>
      <c r="BT41" s="39" t="str">
        <f t="shared" ca="1" si="2"/>
        <v/>
      </c>
      <c r="BU41" s="39" t="str">
        <f t="shared" ca="1" si="3"/>
        <v/>
      </c>
      <c r="BV41" s="39" t="str">
        <f t="shared" ca="1" si="4"/>
        <v/>
      </c>
      <c r="BW41" s="39" t="str">
        <f t="shared" ca="1" si="5"/>
        <v/>
      </c>
      <c r="BX41" s="39" t="str">
        <f t="shared" ca="1" si="6"/>
        <v/>
      </c>
      <c r="BY41" s="39" t="str">
        <f t="shared" ca="1" si="7"/>
        <v/>
      </c>
      <c r="BZ41" s="39" t="str">
        <f t="shared" ca="1" si="74"/>
        <v/>
      </c>
      <c r="CA41" s="38"/>
    </row>
    <row r="42" spans="1:79" ht="15" customHeight="1" x14ac:dyDescent="0.2">
      <c r="A42" s="44"/>
      <c r="B42" s="21"/>
      <c r="C42" s="21"/>
      <c r="D42" s="20"/>
      <c r="E42" s="20"/>
      <c r="F42" s="100"/>
      <c r="G42" s="100"/>
      <c r="H42" s="151"/>
      <c r="I42" s="150"/>
      <c r="J42" s="156"/>
      <c r="K42" s="154"/>
      <c r="L42" s="54"/>
      <c r="M42" s="140"/>
      <c r="N42" s="112"/>
      <c r="O42" s="52"/>
      <c r="P42" s="113"/>
      <c r="Q42" s="112"/>
      <c r="R42" s="28"/>
      <c r="S42" s="28"/>
      <c r="T42" s="53"/>
      <c r="U42" s="53"/>
      <c r="V42" s="53"/>
      <c r="W42" s="54"/>
      <c r="X42" s="51"/>
      <c r="Y42" s="112"/>
      <c r="Z42" s="52"/>
      <c r="AA42" s="112"/>
      <c r="AB42" s="112"/>
      <c r="AC42" s="52"/>
      <c r="AD42" s="52"/>
      <c r="AE42" s="53"/>
      <c r="AF42" s="53"/>
      <c r="AG42" s="53"/>
      <c r="AH42" s="54"/>
      <c r="AI42" s="51"/>
      <c r="AJ42" s="112"/>
      <c r="AK42" s="52"/>
      <c r="AL42" s="112"/>
      <c r="AM42" s="112"/>
      <c r="AN42" s="52"/>
      <c r="AO42" s="52"/>
      <c r="AP42" s="53"/>
      <c r="AQ42" s="53"/>
      <c r="AR42" s="53"/>
      <c r="AS42" s="54"/>
      <c r="AT42" s="55"/>
      <c r="AU42" s="113"/>
      <c r="AV42" s="56"/>
      <c r="AW42" s="113"/>
      <c r="AX42" s="113"/>
      <c r="AY42" s="45"/>
      <c r="AZ42" s="45"/>
      <c r="BA42" s="45"/>
      <c r="BB42" s="57"/>
      <c r="BC42" s="57"/>
      <c r="BD42" s="57"/>
      <c r="BE42" s="58"/>
      <c r="BF42" s="59"/>
      <c r="BG42" s="60"/>
      <c r="BH42" s="61"/>
      <c r="BI42" s="62"/>
      <c r="BJ42" s="60"/>
      <c r="BK42" s="63"/>
      <c r="BL42" s="63"/>
      <c r="BM42" s="64"/>
      <c r="BN42" s="18"/>
      <c r="BO42" s="19"/>
      <c r="BP42" s="65"/>
      <c r="BQ42" s="37"/>
      <c r="BR42" s="39" t="str">
        <f t="shared" ca="1" si="0"/>
        <v/>
      </c>
      <c r="BS42" s="39" t="str">
        <f t="shared" ca="1" si="1"/>
        <v/>
      </c>
      <c r="BT42" s="39" t="str">
        <f t="shared" ca="1" si="2"/>
        <v/>
      </c>
      <c r="BU42" s="39" t="str">
        <f t="shared" ca="1" si="3"/>
        <v/>
      </c>
      <c r="BV42" s="39" t="str">
        <f t="shared" ca="1" si="4"/>
        <v/>
      </c>
      <c r="BW42" s="39" t="str">
        <f t="shared" ca="1" si="5"/>
        <v/>
      </c>
      <c r="BX42" s="39" t="str">
        <f t="shared" ca="1" si="6"/>
        <v/>
      </c>
      <c r="BY42" s="39" t="str">
        <f t="shared" ca="1" si="7"/>
        <v/>
      </c>
      <c r="BZ42" s="39" t="str">
        <f t="shared" ca="1" si="74"/>
        <v/>
      </c>
      <c r="CA42" s="38"/>
    </row>
    <row r="43" spans="1:79" ht="15" customHeight="1" x14ac:dyDescent="0.2">
      <c r="A43" s="44"/>
      <c r="B43" s="21"/>
      <c r="C43" s="21"/>
      <c r="D43" s="20"/>
      <c r="E43" s="20"/>
      <c r="F43" s="100"/>
      <c r="G43" s="100"/>
      <c r="H43" s="151"/>
      <c r="I43" s="150"/>
      <c r="J43" s="156"/>
      <c r="K43" s="154"/>
      <c r="L43" s="54"/>
      <c r="M43" s="140"/>
      <c r="N43" s="112"/>
      <c r="O43" s="52"/>
      <c r="P43" s="113"/>
      <c r="Q43" s="112"/>
      <c r="R43" s="28"/>
      <c r="S43" s="28"/>
      <c r="T43" s="53"/>
      <c r="U43" s="53"/>
      <c r="V43" s="53"/>
      <c r="W43" s="54"/>
      <c r="X43" s="51"/>
      <c r="Y43" s="112"/>
      <c r="Z43" s="52"/>
      <c r="AA43" s="112"/>
      <c r="AB43" s="112"/>
      <c r="AC43" s="52"/>
      <c r="AD43" s="52"/>
      <c r="AE43" s="53"/>
      <c r="AF43" s="53"/>
      <c r="AG43" s="53"/>
      <c r="AH43" s="54"/>
      <c r="AI43" s="51"/>
      <c r="AJ43" s="112"/>
      <c r="AK43" s="52"/>
      <c r="AL43" s="112"/>
      <c r="AM43" s="112"/>
      <c r="AN43" s="52"/>
      <c r="AO43" s="52"/>
      <c r="AP43" s="53"/>
      <c r="AQ43" s="53"/>
      <c r="AR43" s="53"/>
      <c r="AS43" s="54"/>
      <c r="AT43" s="55"/>
      <c r="AU43" s="113"/>
      <c r="AV43" s="56"/>
      <c r="AW43" s="113"/>
      <c r="AX43" s="113"/>
      <c r="AY43" s="45"/>
      <c r="AZ43" s="45"/>
      <c r="BA43" s="45"/>
      <c r="BB43" s="57"/>
      <c r="BC43" s="57"/>
      <c r="BD43" s="57"/>
      <c r="BE43" s="58"/>
      <c r="BF43" s="59"/>
      <c r="BG43" s="60"/>
      <c r="BH43" s="61"/>
      <c r="BI43" s="62"/>
      <c r="BJ43" s="60"/>
      <c r="BK43" s="63"/>
      <c r="BL43" s="63"/>
      <c r="BM43" s="64"/>
      <c r="BN43" s="18"/>
      <c r="BO43" s="19"/>
      <c r="BP43" s="65"/>
      <c r="BQ43" s="37"/>
      <c r="BR43" s="39" t="str">
        <f t="shared" ca="1" si="0"/>
        <v/>
      </c>
      <c r="BS43" s="39" t="str">
        <f t="shared" ca="1" si="1"/>
        <v/>
      </c>
      <c r="BT43" s="39" t="str">
        <f t="shared" ca="1" si="2"/>
        <v/>
      </c>
      <c r="BU43" s="39" t="str">
        <f t="shared" ca="1" si="3"/>
        <v/>
      </c>
      <c r="BV43" s="39" t="str">
        <f t="shared" ca="1" si="4"/>
        <v/>
      </c>
      <c r="BW43" s="39" t="str">
        <f t="shared" ca="1" si="5"/>
        <v/>
      </c>
      <c r="BX43" s="39" t="str">
        <f t="shared" ca="1" si="6"/>
        <v/>
      </c>
      <c r="BY43" s="39" t="str">
        <f t="shared" ca="1" si="7"/>
        <v/>
      </c>
      <c r="BZ43" s="39" t="str">
        <f t="shared" ca="1" si="74"/>
        <v/>
      </c>
      <c r="CA43" s="38"/>
    </row>
    <row r="44" spans="1:79" ht="15" customHeight="1" x14ac:dyDescent="0.2">
      <c r="A44" s="44"/>
      <c r="B44" s="21"/>
      <c r="C44" s="21"/>
      <c r="D44" s="20"/>
      <c r="E44" s="20"/>
      <c r="F44" s="100"/>
      <c r="G44" s="100"/>
      <c r="H44" s="151"/>
      <c r="I44" s="150"/>
      <c r="J44" s="156"/>
      <c r="K44" s="154"/>
      <c r="L44" s="54"/>
      <c r="M44" s="140"/>
      <c r="N44" s="112"/>
      <c r="O44" s="52"/>
      <c r="P44" s="113"/>
      <c r="Q44" s="112"/>
      <c r="R44" s="28"/>
      <c r="S44" s="28"/>
      <c r="T44" s="53"/>
      <c r="U44" s="53"/>
      <c r="V44" s="53"/>
      <c r="W44" s="54"/>
      <c r="X44" s="51"/>
      <c r="Y44" s="112"/>
      <c r="Z44" s="52"/>
      <c r="AA44" s="112"/>
      <c r="AB44" s="112"/>
      <c r="AC44" s="52"/>
      <c r="AD44" s="52"/>
      <c r="AE44" s="53"/>
      <c r="AF44" s="53"/>
      <c r="AG44" s="53"/>
      <c r="AH44" s="54"/>
      <c r="AI44" s="51"/>
      <c r="AJ44" s="112"/>
      <c r="AK44" s="52"/>
      <c r="AL44" s="112"/>
      <c r="AM44" s="112"/>
      <c r="AN44" s="52"/>
      <c r="AO44" s="52"/>
      <c r="AP44" s="53"/>
      <c r="AQ44" s="53"/>
      <c r="AR44" s="53"/>
      <c r="AS44" s="54"/>
      <c r="AT44" s="55"/>
      <c r="AU44" s="113"/>
      <c r="AV44" s="56"/>
      <c r="AW44" s="113"/>
      <c r="AX44" s="113"/>
      <c r="AY44" s="45"/>
      <c r="AZ44" s="45"/>
      <c r="BA44" s="45"/>
      <c r="BB44" s="57"/>
      <c r="BC44" s="57"/>
      <c r="BD44" s="57"/>
      <c r="BE44" s="58"/>
      <c r="BF44" s="59"/>
      <c r="BG44" s="60"/>
      <c r="BH44" s="61"/>
      <c r="BI44" s="62"/>
      <c r="BJ44" s="60"/>
      <c r="BK44" s="63"/>
      <c r="BL44" s="63"/>
      <c r="BM44" s="64"/>
      <c r="BN44" s="18"/>
      <c r="BO44" s="19"/>
      <c r="BP44" s="65"/>
      <c r="BQ44" s="37"/>
      <c r="BR44" s="39" t="str">
        <f t="shared" ca="1" si="0"/>
        <v/>
      </c>
      <c r="BS44" s="39" t="str">
        <f t="shared" ca="1" si="1"/>
        <v/>
      </c>
      <c r="BT44" s="39" t="str">
        <f t="shared" ca="1" si="2"/>
        <v/>
      </c>
      <c r="BU44" s="39" t="str">
        <f t="shared" ca="1" si="3"/>
        <v/>
      </c>
      <c r="BV44" s="39" t="str">
        <f t="shared" ca="1" si="4"/>
        <v/>
      </c>
      <c r="BW44" s="39" t="str">
        <f t="shared" ca="1" si="5"/>
        <v/>
      </c>
      <c r="BX44" s="39" t="str">
        <f t="shared" ca="1" si="6"/>
        <v/>
      </c>
      <c r="BY44" s="39" t="str">
        <f t="shared" ca="1" si="7"/>
        <v/>
      </c>
      <c r="BZ44" s="39" t="str">
        <f t="shared" ca="1" si="74"/>
        <v/>
      </c>
      <c r="CA44" s="38"/>
    </row>
    <row r="45" spans="1:79" ht="15" customHeight="1" x14ac:dyDescent="0.2">
      <c r="A45" s="44"/>
      <c r="B45" s="21"/>
      <c r="C45" s="21"/>
      <c r="D45" s="20"/>
      <c r="E45" s="20"/>
      <c r="F45" s="100"/>
      <c r="G45" s="100"/>
      <c r="H45" s="151"/>
      <c r="I45" s="150"/>
      <c r="J45" s="156"/>
      <c r="K45" s="154"/>
      <c r="L45" s="54"/>
      <c r="M45" s="140"/>
      <c r="N45" s="112"/>
      <c r="O45" s="52"/>
      <c r="P45" s="113"/>
      <c r="Q45" s="112"/>
      <c r="R45" s="28"/>
      <c r="S45" s="28"/>
      <c r="T45" s="53"/>
      <c r="U45" s="53"/>
      <c r="V45" s="53"/>
      <c r="W45" s="54"/>
      <c r="X45" s="51"/>
      <c r="Y45" s="112"/>
      <c r="Z45" s="52"/>
      <c r="AA45" s="112"/>
      <c r="AB45" s="112"/>
      <c r="AC45" s="52"/>
      <c r="AD45" s="52"/>
      <c r="AE45" s="53"/>
      <c r="AF45" s="53"/>
      <c r="AG45" s="53"/>
      <c r="AH45" s="54"/>
      <c r="AI45" s="51"/>
      <c r="AJ45" s="112"/>
      <c r="AK45" s="52"/>
      <c r="AL45" s="112"/>
      <c r="AM45" s="112"/>
      <c r="AN45" s="52"/>
      <c r="AO45" s="52"/>
      <c r="AP45" s="53"/>
      <c r="AQ45" s="53"/>
      <c r="AR45" s="53"/>
      <c r="AS45" s="54"/>
      <c r="AT45" s="55"/>
      <c r="AU45" s="113"/>
      <c r="AV45" s="56"/>
      <c r="AW45" s="113"/>
      <c r="AX45" s="113"/>
      <c r="AY45" s="45"/>
      <c r="AZ45" s="45"/>
      <c r="BA45" s="45"/>
      <c r="BB45" s="57"/>
      <c r="BC45" s="57"/>
      <c r="BD45" s="57"/>
      <c r="BE45" s="58"/>
      <c r="BF45" s="59"/>
      <c r="BG45" s="60"/>
      <c r="BH45" s="61"/>
      <c r="BI45" s="62"/>
      <c r="BJ45" s="60"/>
      <c r="BK45" s="63"/>
      <c r="BL45" s="63"/>
      <c r="BM45" s="64"/>
      <c r="BN45" s="18"/>
      <c r="BO45" s="19"/>
      <c r="BP45" s="65"/>
      <c r="BQ45" s="37"/>
      <c r="BR45" s="39" t="str">
        <f t="shared" ca="1" si="0"/>
        <v/>
      </c>
      <c r="BS45" s="39" t="str">
        <f t="shared" ca="1" si="1"/>
        <v/>
      </c>
      <c r="BT45" s="39" t="str">
        <f t="shared" ca="1" si="2"/>
        <v/>
      </c>
      <c r="BU45" s="39" t="str">
        <f t="shared" ca="1" si="3"/>
        <v/>
      </c>
      <c r="BV45" s="39" t="str">
        <f t="shared" ca="1" si="4"/>
        <v/>
      </c>
      <c r="BW45" s="39" t="str">
        <f t="shared" ca="1" si="5"/>
        <v/>
      </c>
      <c r="BX45" s="39" t="str">
        <f t="shared" ca="1" si="6"/>
        <v/>
      </c>
      <c r="BY45" s="39" t="str">
        <f t="shared" ca="1" si="7"/>
        <v/>
      </c>
      <c r="BZ45" s="39" t="str">
        <f t="shared" ca="1" si="74"/>
        <v/>
      </c>
      <c r="CA45" s="38"/>
    </row>
    <row r="46" spans="1:79" ht="15" customHeight="1" x14ac:dyDescent="0.2">
      <c r="A46" s="44"/>
      <c r="B46" s="21"/>
      <c r="C46" s="21"/>
      <c r="D46" s="20"/>
      <c r="E46" s="20"/>
      <c r="F46" s="100"/>
      <c r="G46" s="100"/>
      <c r="H46" s="151"/>
      <c r="I46" s="150"/>
      <c r="J46" s="156"/>
      <c r="K46" s="154"/>
      <c r="L46" s="54"/>
      <c r="M46" s="140"/>
      <c r="N46" s="112"/>
      <c r="O46" s="52"/>
      <c r="P46" s="113"/>
      <c r="Q46" s="112"/>
      <c r="R46" s="28"/>
      <c r="S46" s="28"/>
      <c r="T46" s="53"/>
      <c r="U46" s="53"/>
      <c r="V46" s="53"/>
      <c r="W46" s="54"/>
      <c r="X46" s="51"/>
      <c r="Y46" s="112"/>
      <c r="Z46" s="52"/>
      <c r="AA46" s="112"/>
      <c r="AB46" s="112"/>
      <c r="AC46" s="52"/>
      <c r="AD46" s="52"/>
      <c r="AE46" s="53"/>
      <c r="AF46" s="53"/>
      <c r="AG46" s="53"/>
      <c r="AH46" s="54"/>
      <c r="AI46" s="51"/>
      <c r="AJ46" s="112"/>
      <c r="AK46" s="52"/>
      <c r="AL46" s="112"/>
      <c r="AM46" s="112"/>
      <c r="AN46" s="52"/>
      <c r="AO46" s="52"/>
      <c r="AP46" s="53"/>
      <c r="AQ46" s="53"/>
      <c r="AR46" s="53"/>
      <c r="AS46" s="54"/>
      <c r="AT46" s="55"/>
      <c r="AU46" s="113"/>
      <c r="AV46" s="56"/>
      <c r="AW46" s="113"/>
      <c r="AX46" s="113"/>
      <c r="AY46" s="45"/>
      <c r="AZ46" s="45"/>
      <c r="BA46" s="45"/>
      <c r="BB46" s="57"/>
      <c r="BC46" s="57"/>
      <c r="BD46" s="57"/>
      <c r="BE46" s="58"/>
      <c r="BF46" s="59"/>
      <c r="BG46" s="60"/>
      <c r="BH46" s="61"/>
      <c r="BI46" s="62"/>
      <c r="BJ46" s="60"/>
      <c r="BK46" s="63"/>
      <c r="BL46" s="63"/>
      <c r="BM46" s="64"/>
      <c r="BN46" s="18"/>
      <c r="BO46" s="19"/>
      <c r="BP46" s="65"/>
      <c r="BQ46" s="37"/>
      <c r="BR46" s="39" t="str">
        <f t="shared" ca="1" si="0"/>
        <v/>
      </c>
      <c r="BS46" s="39" t="str">
        <f t="shared" ca="1" si="1"/>
        <v/>
      </c>
      <c r="BT46" s="39" t="str">
        <f t="shared" ca="1" si="2"/>
        <v/>
      </c>
      <c r="BU46" s="39" t="str">
        <f t="shared" ca="1" si="3"/>
        <v/>
      </c>
      <c r="BV46" s="39" t="str">
        <f t="shared" ca="1" si="4"/>
        <v/>
      </c>
      <c r="BW46" s="39" t="str">
        <f t="shared" ca="1" si="5"/>
        <v/>
      </c>
      <c r="BX46" s="39" t="str">
        <f t="shared" ca="1" si="6"/>
        <v/>
      </c>
      <c r="BY46" s="39" t="str">
        <f t="shared" ca="1" si="7"/>
        <v/>
      </c>
      <c r="BZ46" s="39" t="str">
        <f t="shared" ca="1" si="74"/>
        <v/>
      </c>
      <c r="CA46" s="38"/>
    </row>
    <row r="47" spans="1:79" ht="15" customHeight="1" x14ac:dyDescent="0.2">
      <c r="A47" s="44"/>
      <c r="B47" s="21"/>
      <c r="C47" s="21"/>
      <c r="D47" s="20"/>
      <c r="E47" s="20"/>
      <c r="F47" s="100"/>
      <c r="G47" s="100"/>
      <c r="H47" s="151"/>
      <c r="I47" s="150"/>
      <c r="J47" s="156"/>
      <c r="K47" s="154"/>
      <c r="L47" s="54"/>
      <c r="M47" s="140"/>
      <c r="N47" s="112"/>
      <c r="O47" s="52"/>
      <c r="P47" s="113"/>
      <c r="Q47" s="112"/>
      <c r="R47" s="28"/>
      <c r="S47" s="28"/>
      <c r="T47" s="53"/>
      <c r="U47" s="53"/>
      <c r="V47" s="53"/>
      <c r="W47" s="54"/>
      <c r="X47" s="51"/>
      <c r="Y47" s="112"/>
      <c r="Z47" s="52"/>
      <c r="AA47" s="112"/>
      <c r="AB47" s="112"/>
      <c r="AC47" s="52"/>
      <c r="AD47" s="52"/>
      <c r="AE47" s="53"/>
      <c r="AF47" s="53"/>
      <c r="AG47" s="53"/>
      <c r="AH47" s="54"/>
      <c r="AI47" s="51"/>
      <c r="AJ47" s="112"/>
      <c r="AK47" s="52"/>
      <c r="AL47" s="112"/>
      <c r="AM47" s="112"/>
      <c r="AN47" s="52"/>
      <c r="AO47" s="52"/>
      <c r="AP47" s="53"/>
      <c r="AQ47" s="53"/>
      <c r="AR47" s="53"/>
      <c r="AS47" s="54"/>
      <c r="AT47" s="55"/>
      <c r="AU47" s="113"/>
      <c r="AV47" s="56"/>
      <c r="AW47" s="113"/>
      <c r="AX47" s="113"/>
      <c r="AY47" s="45"/>
      <c r="AZ47" s="45"/>
      <c r="BA47" s="45"/>
      <c r="BB47" s="57"/>
      <c r="BC47" s="57"/>
      <c r="BD47" s="57"/>
      <c r="BE47" s="58"/>
      <c r="BF47" s="59"/>
      <c r="BG47" s="60"/>
      <c r="BH47" s="61"/>
      <c r="BI47" s="62"/>
      <c r="BJ47" s="60"/>
      <c r="BK47" s="63"/>
      <c r="BL47" s="63"/>
      <c r="BM47" s="64"/>
      <c r="BN47" s="18"/>
      <c r="BO47" s="19"/>
      <c r="BP47" s="65"/>
      <c r="BQ47" s="37"/>
      <c r="BR47" s="39" t="str">
        <f t="shared" ca="1" si="0"/>
        <v/>
      </c>
      <c r="BS47" s="39" t="str">
        <f t="shared" ca="1" si="1"/>
        <v/>
      </c>
      <c r="BT47" s="39" t="str">
        <f t="shared" ca="1" si="2"/>
        <v/>
      </c>
      <c r="BU47" s="39" t="str">
        <f t="shared" ca="1" si="3"/>
        <v/>
      </c>
      <c r="BV47" s="39" t="str">
        <f t="shared" ca="1" si="4"/>
        <v/>
      </c>
      <c r="BW47" s="39" t="str">
        <f t="shared" ca="1" si="5"/>
        <v/>
      </c>
      <c r="BX47" s="39" t="str">
        <f t="shared" ca="1" si="6"/>
        <v/>
      </c>
      <c r="BY47" s="39" t="str">
        <f t="shared" ca="1" si="7"/>
        <v/>
      </c>
      <c r="BZ47" s="39" t="str">
        <f t="shared" ca="1" si="74"/>
        <v/>
      </c>
      <c r="CA47" s="38"/>
    </row>
    <row r="51" spans="66:66" x14ac:dyDescent="0.2">
      <c r="BN51" s="200"/>
    </row>
  </sheetData>
  <sheetProtection autoFilter="0"/>
  <protectedRanges>
    <protectedRange sqref="BN51 BN5:BO6 BN12:BO47" name="Range19"/>
    <protectedRange sqref="BA5:BA6 BA12:BA47" name="Range4"/>
    <protectedRange sqref="AX5:AX6 AX12:AX47" name="Range3"/>
    <protectedRange sqref="AW5:AW6 AW12:AW47" name="Range2"/>
    <protectedRange sqref="AU5:AU6 AU12:AU47" name="Range1"/>
    <protectedRange sqref="AJ5:AJ6 AJ12:AJ47" name="Range5"/>
    <protectedRange sqref="AL5:AL6 AL12:AL47" name="Range6"/>
    <protectedRange sqref="AM5:AM6 AM12:AM47" name="Range7"/>
    <protectedRange sqref="AO5:AO6 AO12:AO47" name="Range8"/>
    <protectedRange sqref="Y5:Y6 Y12:Y47" name="Range9"/>
    <protectedRange sqref="AA5:AB6 AA12:AB47" name="Range10"/>
    <protectedRange sqref="AD5:AD6 AD12:AD47" name="Range11"/>
    <protectedRange sqref="N5:N6 N12:N47" name="Range12"/>
    <protectedRange sqref="AA5:AB6 AA12:AB47" name="Range13"/>
    <protectedRange sqref="AD5:AD6 AD12:AD47" name="Range14"/>
    <protectedRange sqref="N5:N6 N12:N47" name="Range15"/>
    <protectedRange sqref="P5:Q6 P12:Q47" name="Range16"/>
    <protectedRange sqref="S5:S6 S12:S47" name="Range17"/>
    <protectedRange sqref="A5:L5 A35:G35 A36:H47 A6:J6 J36:J47 A12:J34" name="Range18"/>
    <protectedRange sqref="H35:L35 I36:I47 K6:L6 K36:L47 K12:L34" name="Range18_1"/>
    <protectedRange sqref="BN3:BO3" name="Range19_2"/>
    <protectedRange sqref="BA3" name="Range4_2"/>
    <protectedRange sqref="AX3" name="Range3_2"/>
    <protectedRange sqref="AW3" name="Range2_2"/>
    <protectedRange sqref="AU3" name="Range1_2"/>
    <protectedRange sqref="AJ3" name="Range5_2"/>
    <protectedRange sqref="AL3" name="Range6_2"/>
    <protectedRange sqref="AM3" name="Range7_2"/>
    <protectedRange sqref="AO3" name="Range8_2"/>
    <protectedRange sqref="Y3" name="Range9_2"/>
    <protectedRange sqref="AA3:AB3" name="Range10_2"/>
    <protectedRange sqref="AD3" name="Range11_2"/>
    <protectedRange sqref="N3" name="Range12_2"/>
    <protectedRange sqref="AA3:AB3" name="Range13_2"/>
    <protectedRange sqref="AD3" name="Range14_2"/>
    <protectedRange sqref="N3" name="Range15_2"/>
    <protectedRange sqref="P3:Q3" name="Range16_2"/>
    <protectedRange sqref="S3" name="Range17_2"/>
    <protectedRange sqref="A3:J3" name="Range18_3"/>
    <protectedRange sqref="K3:L3" name="Range18_1_2"/>
    <protectedRange sqref="BN4:BO4" name="Range19_1"/>
    <protectedRange sqref="BA4" name="Range4_1"/>
    <protectedRange sqref="AX4" name="Range3_1"/>
    <protectedRange sqref="AW4" name="Range2_1"/>
    <protectedRange sqref="AU4" name="Range1_1"/>
    <protectedRange sqref="AJ4" name="Range5_1"/>
    <protectedRange sqref="AL4" name="Range6_1"/>
    <protectedRange sqref="AM4" name="Range7_1"/>
    <protectedRange sqref="AO4" name="Range8_1"/>
    <protectedRange sqref="Y4" name="Range9_1"/>
    <protectedRange sqref="AA4:AB4" name="Range10_1"/>
    <protectedRange sqref="AD4" name="Range11_1"/>
    <protectedRange sqref="N4" name="Range12_1"/>
    <protectedRange sqref="AA4:AB4" name="Range13_1"/>
    <protectedRange sqref="AD4" name="Range14_1"/>
    <protectedRange sqref="N4" name="Range15_1"/>
    <protectedRange sqref="P4:Q4" name="Range16_1"/>
    <protectedRange sqref="S4" name="Range17_1"/>
    <protectedRange sqref="A4:J4" name="Range18_2"/>
    <protectedRange sqref="K4:L4" name="Range18_1_1"/>
    <protectedRange sqref="BG11" name="Range18_4"/>
    <protectedRange sqref="BA11" name="Range4_3"/>
    <protectedRange sqref="AX11" name="Range3_3"/>
    <protectedRange sqref="AW11" name="Range2_3"/>
    <protectedRange sqref="AU11" name="Range1_3"/>
    <protectedRange sqref="AJ11" name="Range5_3"/>
    <protectedRange sqref="AL11" name="Range6_3"/>
    <protectedRange sqref="AM11" name="Range7_3"/>
    <protectedRange sqref="AO11" name="Range8_3"/>
    <protectedRange sqref="Y11" name="Range9_3"/>
    <protectedRange sqref="AA11:AB11" name="Range10_3"/>
    <protectedRange sqref="AD11" name="Range11_3"/>
    <protectedRange sqref="N11" name="Range12_3"/>
    <protectedRange sqref="AA11:AB11" name="Range13_3"/>
    <protectedRange sqref="AD11" name="Range14_3"/>
    <protectedRange sqref="N11" name="Range15_3"/>
    <protectedRange sqref="P11:Q11" name="Range16_3"/>
    <protectedRange sqref="BN11:BO11" name="Range17_3"/>
    <protectedRange sqref="BG8" name="Range18_5"/>
    <protectedRange sqref="BA8" name="Range4_4"/>
    <protectedRange sqref="AX8" name="Range3_4"/>
    <protectedRange sqref="AW8" name="Range2_4"/>
    <protectedRange sqref="AU8" name="Range1_4"/>
    <protectedRange sqref="AJ8" name="Range5_4"/>
    <protectedRange sqref="AL8" name="Range6_4"/>
    <protectedRange sqref="AM8" name="Range7_4"/>
    <protectedRange sqref="AO8" name="Range8_4"/>
    <protectedRange sqref="Y8" name="Range9_4"/>
    <protectedRange sqref="AA8:AB8" name="Range10_4"/>
    <protectedRange sqref="AD8" name="Range11_4"/>
    <protectedRange sqref="N8" name="Range12_4"/>
    <protectedRange sqref="AA8:AB8" name="Range13_4"/>
    <protectedRange sqref="AD8" name="Range14_4"/>
    <protectedRange sqref="N8" name="Range15_4"/>
    <protectedRange sqref="P8:Q8" name="Range16_4"/>
    <protectedRange sqref="BN8:BO8" name="Range17_4"/>
    <protectedRange sqref="BG7" name="Range18_6"/>
    <protectedRange sqref="BA7" name="Range4_5"/>
    <protectedRange sqref="AX7" name="Range3_5"/>
    <protectedRange sqref="AW7" name="Range2_5"/>
    <protectedRange sqref="AU7" name="Range1_5"/>
    <protectedRange sqref="AJ7" name="Range5_5"/>
    <protectedRange sqref="AL7" name="Range6_5"/>
    <protectedRange sqref="AM7" name="Range7_5"/>
    <protectedRange sqref="AO7" name="Range8_5"/>
    <protectedRange sqref="Y7" name="Range9_5"/>
    <protectedRange sqref="AA7:AB7" name="Range10_5"/>
    <protectedRange sqref="AD7" name="Range11_5"/>
    <protectedRange sqref="N7" name="Range12_5"/>
    <protectedRange sqref="AA7:AB7" name="Range13_5"/>
    <protectedRange sqref="AD7" name="Range14_5"/>
    <protectedRange sqref="N7" name="Range15_5"/>
    <protectedRange sqref="P7:Q7" name="Range16_5"/>
    <protectedRange sqref="BN7:BO7" name="Range17_5"/>
    <protectedRange sqref="BG9" name="Range18_7"/>
    <protectedRange sqref="BA9" name="Range4_6"/>
    <protectedRange sqref="AX9" name="Range3_6"/>
    <protectedRange sqref="AW9" name="Range2_6"/>
    <protectedRange sqref="AU9" name="Range1_6"/>
    <protectedRange sqref="AJ9" name="Range5_6"/>
    <protectedRange sqref="AL9" name="Range6_6"/>
    <protectedRange sqref="AM9" name="Range7_6"/>
    <protectedRange sqref="AO9" name="Range8_6"/>
    <protectedRange sqref="Y9" name="Range9_6"/>
    <protectedRange sqref="AA9:AB9" name="Range10_6"/>
    <protectedRange sqref="AD9" name="Range11_6"/>
    <protectedRange sqref="N9" name="Range12_6"/>
    <protectedRange sqref="AA9:AB9" name="Range13_6"/>
    <protectedRange sqref="AD9" name="Range14_6"/>
    <protectedRange sqref="N9" name="Range15_6"/>
    <protectedRange sqref="P9:Q9" name="Range16_6"/>
    <protectedRange sqref="BN9:BO9" name="Range17_6"/>
    <protectedRange sqref="BG10" name="Range18_8"/>
    <protectedRange sqref="BA10" name="Range4_7"/>
    <protectedRange sqref="AX10" name="Range3_7"/>
    <protectedRange sqref="AW10" name="Range2_7"/>
    <protectedRange sqref="AU10" name="Range1_7"/>
    <protectedRange sqref="AJ10" name="Range5_7"/>
    <protectedRange sqref="AL10" name="Range6_7"/>
    <protectedRange sqref="AM10" name="Range7_7"/>
    <protectedRange sqref="AO10" name="Range8_7"/>
    <protectedRange sqref="Y10" name="Range9_7"/>
    <protectedRange sqref="AA10:AB10" name="Range10_7"/>
    <protectedRange sqref="AD10" name="Range11_7"/>
    <protectedRange sqref="N10" name="Range12_7"/>
    <protectedRange sqref="AA10:AB10" name="Range13_7"/>
    <protectedRange sqref="AD10" name="Range14_7"/>
    <protectedRange sqref="N10" name="Range15_7"/>
    <protectedRange sqref="P10:Q10" name="Range16_7"/>
    <protectedRange sqref="BN10:BO10" name="Range17_7"/>
  </protectedRanges>
  <autoFilter ref="A2:G47"/>
  <dataConsolidate/>
  <mergeCells count="10">
    <mergeCell ref="BF1:BM1"/>
    <mergeCell ref="BN1:BO1"/>
    <mergeCell ref="BP1:BQ1"/>
    <mergeCell ref="BR1:BZ1"/>
    <mergeCell ref="A1:G1"/>
    <mergeCell ref="H1:J1"/>
    <mergeCell ref="M1:W1"/>
    <mergeCell ref="X1:AH1"/>
    <mergeCell ref="AI1:AS1"/>
    <mergeCell ref="AT1:BE1"/>
  </mergeCells>
  <conditionalFormatting sqref="AE4:AH6 AP4:AS6 T4:T6 BP4:BP6 BM4:BM6 V4:W6 L4 BB4:BE6 BB12:BE47 V12:W47 BM12:BM47 BP12:BP47 T12:T47 AP12:AS47 AE12:AH47">
    <cfRule type="containsText" dxfId="90" priority="69" operator="containsText" text="A">
      <formula>NOT(ISERROR(SEARCH("A",L4)))</formula>
    </cfRule>
    <cfRule type="containsText" dxfId="89" priority="70" operator="containsText" text="G">
      <formula>NOT(ISERROR(SEARCH("G",L4)))</formula>
    </cfRule>
    <cfRule type="containsText" dxfId="88" priority="71" operator="containsText" text="R">
      <formula>NOT(ISERROR(SEARCH("R",L4)))</formula>
    </cfRule>
  </conditionalFormatting>
  <conditionalFormatting sqref="U4:U6 U12:U47">
    <cfRule type="containsText" dxfId="87" priority="66" operator="containsText" text="A">
      <formula>NOT(ISERROR(SEARCH("A",U4)))</formula>
    </cfRule>
    <cfRule type="containsText" dxfId="86" priority="67" operator="containsText" text="G">
      <formula>NOT(ISERROR(SEARCH("G",U4)))</formula>
    </cfRule>
    <cfRule type="containsText" dxfId="85" priority="68" operator="containsText" text="R">
      <formula>NOT(ISERROR(SEARCH("R",U4)))</formula>
    </cfRule>
  </conditionalFormatting>
  <conditionalFormatting sqref="W5:W6 W12:W28">
    <cfRule type="cellIs" dxfId="84" priority="65" operator="equal">
      <formula>"B"</formula>
    </cfRule>
  </conditionalFormatting>
  <conditionalFormatting sqref="L5">
    <cfRule type="containsText" dxfId="83" priority="62" operator="containsText" text="A">
      <formula>NOT(ISERROR(SEARCH("A",L5)))</formula>
    </cfRule>
    <cfRule type="containsText" dxfId="82" priority="63" operator="containsText" text="G">
      <formula>NOT(ISERROR(SEARCH("G",L5)))</formula>
    </cfRule>
    <cfRule type="containsText" dxfId="81" priority="64" operator="containsText" text="R">
      <formula>NOT(ISERROR(SEARCH("R",L5)))</formula>
    </cfRule>
  </conditionalFormatting>
  <conditionalFormatting sqref="L5">
    <cfRule type="cellIs" dxfId="80" priority="61" operator="equal">
      <formula>"B"</formula>
    </cfRule>
  </conditionalFormatting>
  <conditionalFormatting sqref="L6 L12:L47">
    <cfRule type="containsText" dxfId="79" priority="58" operator="containsText" text="A">
      <formula>NOT(ISERROR(SEARCH("A",L6)))</formula>
    </cfRule>
    <cfRule type="containsText" dxfId="78" priority="59" operator="containsText" text="G">
      <formula>NOT(ISERROR(SEARCH("G",L6)))</formula>
    </cfRule>
    <cfRule type="containsText" dxfId="77" priority="60" operator="containsText" text="R">
      <formula>NOT(ISERROR(SEARCH("R",L6)))</formula>
    </cfRule>
  </conditionalFormatting>
  <conditionalFormatting sqref="L6 L12:L47">
    <cfRule type="cellIs" dxfId="76" priority="57" operator="equal">
      <formula>"B"</formula>
    </cfRule>
  </conditionalFormatting>
  <conditionalFormatting sqref="L3">
    <cfRule type="cellIs" dxfId="75" priority="47" operator="equal">
      <formula>"B"</formula>
    </cfRule>
  </conditionalFormatting>
  <conditionalFormatting sqref="W4">
    <cfRule type="cellIs" dxfId="74" priority="40" operator="equal">
      <formula>"B"</formula>
    </cfRule>
  </conditionalFormatting>
  <conditionalFormatting sqref="L4">
    <cfRule type="cellIs" dxfId="73" priority="36" operator="equal">
      <formula>"B"</formula>
    </cfRule>
  </conditionalFormatting>
  <conditionalFormatting sqref="L11">
    <cfRule type="cellIs" dxfId="72" priority="29" operator="equal">
      <formula>"B"</formula>
    </cfRule>
  </conditionalFormatting>
  <conditionalFormatting sqref="L8">
    <cfRule type="cellIs" dxfId="71" priority="22" operator="equal">
      <formula>"B"</formula>
    </cfRule>
  </conditionalFormatting>
  <conditionalFormatting sqref="L7">
    <cfRule type="cellIs" dxfId="70" priority="15" operator="equal">
      <formula>"B"</formula>
    </cfRule>
  </conditionalFormatting>
  <conditionalFormatting sqref="W9 L9">
    <cfRule type="cellIs" dxfId="69" priority="8" operator="equal">
      <formula>"B"</formula>
    </cfRule>
  </conditionalFormatting>
  <conditionalFormatting sqref="W10 L10">
    <cfRule type="cellIs" dxfId="68" priority="1" operator="equal">
      <formula>"B"</formula>
    </cfRule>
  </conditionalFormatting>
  <hyperlinks>
    <hyperlink ref="A8" r:id="rId1"/>
    <hyperlink ref="A7" r:id="rId2"/>
    <hyperlink ref="A9" r:id="rId3"/>
    <hyperlink ref="A10" r:id="rId4"/>
  </hyperlinks>
  <pageMargins left="0.7" right="0.7" top="0.75" bottom="0.75" header="0.3" footer="0.3"/>
  <pageSetup paperSize="9" orientation="portrait" r:id="rId5"/>
  <legacyDrawing r:id="rId6"/>
  <extLst>
    <ext xmlns:x14="http://schemas.microsoft.com/office/spreadsheetml/2009/9/main" uri="{78C0D931-6437-407d-A8EE-F0AAD7539E65}">
      <x14:conditionalFormattings>
        <x14:conditionalFormatting xmlns:xm="http://schemas.microsoft.com/office/excel/2006/main">
          <x14:cfRule type="containsText" priority="54" operator="containsText" text="A" id="{CCAE430D-95BB-4DA0-A100-7F88B85AE1A6}">
            <xm:f>NOT(ISERROR(SEARCH("A",'Tracker Sheet'!BA6)))</xm:f>
            <x14:dxf>
              <font>
                <color rgb="FFFFC000"/>
              </font>
              <fill>
                <patternFill>
                  <bgColor rgb="FFFFC000"/>
                </patternFill>
              </fill>
            </x14:dxf>
          </x14:cfRule>
          <x14:cfRule type="containsText" priority="55" operator="containsText" text="G" id="{28A1DE02-3DB2-4F99-8EE9-063713AF05B1}">
            <xm:f>NOT(ISERROR(SEARCH("G",'Tracker Sheet'!BA6)))</xm:f>
            <x14:dxf>
              <font>
                <color rgb="FF00B050"/>
              </font>
              <fill>
                <patternFill>
                  <bgColor rgb="FF00B050"/>
                </patternFill>
              </fill>
            </x14:dxf>
          </x14:cfRule>
          <x14:cfRule type="containsText" priority="56" operator="containsText" text="R" id="{2A67F8D1-2F54-4237-83CA-5AA00AE1C2ED}">
            <xm:f>NOT(ISERROR(SEARCH("R",'Tracker Sheet'!BA6)))</xm:f>
            <x14:dxf>
              <font>
                <color rgb="FFFF0000"/>
              </font>
              <fill>
                <patternFill>
                  <bgColor rgb="FFFF0000"/>
                </patternFill>
              </fill>
            </x14:dxf>
          </x14:cfRule>
          <xm:sqref>BM11 BP11 BB11:BE11</xm:sqref>
        </x14:conditionalFormatting>
        <x14:conditionalFormatting xmlns:xm="http://schemas.microsoft.com/office/excel/2006/main">
          <x14:cfRule type="containsText" priority="51" operator="containsText" text="A" id="{16F65AC0-D75A-4E1D-90D4-34ED049B0320}">
            <xm:f>NOT(ISERROR(SEARCH("A",'Tracker Sheet'!U6)))</xm:f>
            <x14:dxf>
              <font>
                <color auto="1"/>
              </font>
              <fill>
                <patternFill>
                  <bgColor rgb="FFFFC000"/>
                </patternFill>
              </fill>
            </x14:dxf>
          </x14:cfRule>
          <x14:cfRule type="containsText" priority="52" operator="containsText" text="G" id="{5C6A79FA-2CA3-499B-A340-C5241096C196}">
            <xm:f>NOT(ISERROR(SEARCH("G",'Tracker Sheet'!U6)))</xm:f>
            <x14:dxf>
              <font>
                <color auto="1"/>
              </font>
              <fill>
                <patternFill>
                  <bgColor rgb="FF00B050"/>
                </patternFill>
              </fill>
            </x14:dxf>
          </x14:cfRule>
          <x14:cfRule type="containsText" priority="53" operator="containsText" text="R" id="{3C736942-FC4C-4A96-A30B-A296B27C9FFE}">
            <xm:f>NOT(ISERROR(SEARCH("R",'Tracker Sheet'!U6)))</xm:f>
            <x14:dxf>
              <font>
                <color auto="1"/>
              </font>
              <fill>
                <patternFill>
                  <bgColor rgb="FFFF0000"/>
                </patternFill>
              </fill>
            </x14:dxf>
          </x14:cfRule>
          <xm:sqref>U11</xm:sqref>
        </x14:conditionalFormatting>
        <x14:conditionalFormatting xmlns:xm="http://schemas.microsoft.com/office/excel/2006/main">
          <x14:cfRule type="containsText" priority="326" operator="containsText" text="A" id="{CCAE430D-95BB-4DA0-A100-7F88B85AE1A6}">
            <xm:f>NOT(ISERROR(SEARCH("A",'Tracker Sheet'!BA6)))</xm:f>
            <x14:dxf>
              <font>
                <color rgb="FFFFC000"/>
              </font>
              <fill>
                <patternFill>
                  <bgColor rgb="FFFFC000"/>
                </patternFill>
              </fill>
            </x14:dxf>
          </x14:cfRule>
          <x14:cfRule type="containsText" priority="327" operator="containsText" text="G" id="{28A1DE02-3DB2-4F99-8EE9-063713AF05B1}">
            <xm:f>NOT(ISERROR(SEARCH("G",'Tracker Sheet'!BA6)))</xm:f>
            <x14:dxf>
              <font>
                <color rgb="FF00B050"/>
              </font>
              <fill>
                <patternFill>
                  <bgColor rgb="FF00B050"/>
                </patternFill>
              </fill>
            </x14:dxf>
          </x14:cfRule>
          <x14:cfRule type="containsText" priority="328" operator="containsText" text="R" id="{2A67F8D1-2F54-4237-83CA-5AA00AE1C2ED}">
            <xm:f>NOT(ISERROR(SEARCH("R",'Tracker Sheet'!BA6)))</xm:f>
            <x14:dxf>
              <font>
                <color rgb="FFFF0000"/>
              </font>
              <fill>
                <patternFill>
                  <bgColor rgb="FFFF0000"/>
                </patternFill>
              </fill>
            </x14:dxf>
          </x14:cfRule>
          <xm:sqref>BB8:BE10 BP8:BP10 BM8:BM10</xm:sqref>
        </x14:conditionalFormatting>
        <x14:conditionalFormatting xmlns:xm="http://schemas.microsoft.com/office/excel/2006/main">
          <x14:cfRule type="containsText" priority="371" operator="containsText" text="A" id="{16F65AC0-D75A-4E1D-90D4-34ED049B0320}">
            <xm:f>NOT(ISERROR(SEARCH("A",'Tracker Sheet'!U6)))</xm:f>
            <x14:dxf>
              <font>
                <color auto="1"/>
              </font>
              <fill>
                <patternFill>
                  <bgColor rgb="FFFFC000"/>
                </patternFill>
              </fill>
            </x14:dxf>
          </x14:cfRule>
          <x14:cfRule type="containsText" priority="372" operator="containsText" text="G" id="{5C6A79FA-2CA3-499B-A340-C5241096C196}">
            <xm:f>NOT(ISERROR(SEARCH("G",'Tracker Sheet'!U6)))</xm:f>
            <x14:dxf>
              <font>
                <color auto="1"/>
              </font>
              <fill>
                <patternFill>
                  <bgColor rgb="FF00B050"/>
                </patternFill>
              </fill>
            </x14:dxf>
          </x14:cfRule>
          <x14:cfRule type="containsText" priority="373" operator="containsText" text="R" id="{3C736942-FC4C-4A96-A30B-A296B27C9FFE}">
            <xm:f>NOT(ISERROR(SEARCH("R",'Tracker Sheet'!U6)))</xm:f>
            <x14:dxf>
              <font>
                <color auto="1"/>
              </font>
              <fill>
                <patternFill>
                  <bgColor rgb="FFFF0000"/>
                </patternFill>
              </fill>
            </x14:dxf>
          </x14:cfRule>
          <xm:sqref>U8:U9</xm:sqref>
        </x14:conditionalFormatting>
        <x14:conditionalFormatting xmlns:xm="http://schemas.microsoft.com/office/excel/2006/main">
          <x14:cfRule type="containsText" priority="457" operator="containsText" text="A" id="{CCAE430D-95BB-4DA0-A100-7F88B85AE1A6}">
            <xm:f>NOT(ISERROR(SEARCH("A",'Tracker Sheet'!BA6)))</xm:f>
            <x14:dxf>
              <font>
                <color rgb="FFFFC000"/>
              </font>
              <fill>
                <patternFill>
                  <bgColor rgb="FFFFC000"/>
                </patternFill>
              </fill>
            </x14:dxf>
          </x14:cfRule>
          <x14:cfRule type="containsText" priority="458" operator="containsText" text="G" id="{28A1DE02-3DB2-4F99-8EE9-063713AF05B1}">
            <xm:f>NOT(ISERROR(SEARCH("G",'Tracker Sheet'!BA6)))</xm:f>
            <x14:dxf>
              <font>
                <color rgb="FF00B050"/>
              </font>
              <fill>
                <patternFill>
                  <bgColor rgb="FF00B050"/>
                </patternFill>
              </fill>
            </x14:dxf>
          </x14:cfRule>
          <x14:cfRule type="containsText" priority="459" operator="containsText" text="R" id="{2A67F8D1-2F54-4237-83CA-5AA00AE1C2ED}">
            <xm:f>NOT(ISERROR(SEARCH("R",'Tracker Sheet'!BA6)))</xm:f>
            <x14:dxf>
              <font>
                <color rgb="FFFF0000"/>
              </font>
              <fill>
                <patternFill>
                  <bgColor rgb="FFFF0000"/>
                </patternFill>
              </fill>
            </x14:dxf>
          </x14:cfRule>
          <xm:sqref>BB7:BE7 BP7 BM7</xm:sqref>
        </x14:conditionalFormatting>
        <x14:conditionalFormatting xmlns:xm="http://schemas.microsoft.com/office/excel/2006/main">
          <x14:cfRule type="containsText" priority="526" operator="containsText" text="A" id="{16F65AC0-D75A-4E1D-90D4-34ED049B0320}">
            <xm:f>NOT(ISERROR(SEARCH("A",'Tracker Sheet'!U6)))</xm:f>
            <x14:dxf>
              <font>
                <color auto="1"/>
              </font>
              <fill>
                <patternFill>
                  <bgColor rgb="FFFFC000"/>
                </patternFill>
              </fill>
            </x14:dxf>
          </x14:cfRule>
          <x14:cfRule type="containsText" priority="527" operator="containsText" text="G" id="{5C6A79FA-2CA3-499B-A340-C5241096C196}">
            <xm:f>NOT(ISERROR(SEARCH("G",'Tracker Sheet'!U6)))</xm:f>
            <x14:dxf>
              <font>
                <color auto="1"/>
              </font>
              <fill>
                <patternFill>
                  <bgColor rgb="FF00B050"/>
                </patternFill>
              </fill>
            </x14:dxf>
          </x14:cfRule>
          <x14:cfRule type="containsText" priority="528" operator="containsText" text="R" id="{3C736942-FC4C-4A96-A30B-A296B27C9FFE}">
            <xm:f>NOT(ISERROR(SEARCH("R",'Tracker Sheet'!U6)))</xm:f>
            <x14:dxf>
              <font>
                <color auto="1"/>
              </font>
              <fill>
                <patternFill>
                  <bgColor rgb="FFFF0000"/>
                </patternFill>
              </fill>
            </x14:dxf>
          </x14:cfRule>
          <xm:sqref>U7</xm:sqref>
        </x14:conditionalFormatting>
        <x14:conditionalFormatting xmlns:xm="http://schemas.microsoft.com/office/excel/2006/main">
          <x14:cfRule type="containsText" priority="529" operator="containsText" text="A" id="{CCAE430D-95BB-4DA0-A100-7F88B85AE1A6}">
            <xm:f>NOT(ISERROR(SEARCH("A",'Tracker Sheet'!L6)))</xm:f>
            <x14:dxf>
              <font>
                <color rgb="FFFFC000"/>
              </font>
              <fill>
                <patternFill>
                  <bgColor rgb="FFFFC000"/>
                </patternFill>
              </fill>
            </x14:dxf>
          </x14:cfRule>
          <x14:cfRule type="containsText" priority="530" operator="containsText" text="G" id="{28A1DE02-3DB2-4F99-8EE9-063713AF05B1}">
            <xm:f>NOT(ISERROR(SEARCH("G",'Tracker Sheet'!L6)))</xm:f>
            <x14:dxf>
              <font>
                <color rgb="FF00B050"/>
              </font>
              <fill>
                <patternFill>
                  <bgColor rgb="FF00B050"/>
                </patternFill>
              </fill>
            </x14:dxf>
          </x14:cfRule>
          <x14:cfRule type="containsText" priority="531" operator="containsText" text="R" id="{2A67F8D1-2F54-4237-83CA-5AA00AE1C2ED}">
            <xm:f>NOT(ISERROR(SEARCH("R",'Tracker Sheet'!L6)))</xm:f>
            <x14:dxf>
              <font>
                <color rgb="FFFF0000"/>
              </font>
              <fill>
                <patternFill>
                  <bgColor rgb="FFFF0000"/>
                </patternFill>
              </fill>
            </x14:dxf>
          </x14:cfRule>
          <xm:sqref>V11:W11 T11 AP11:AS11 AE11:AH11 L11</xm:sqref>
        </x14:conditionalFormatting>
        <x14:conditionalFormatting xmlns:xm="http://schemas.microsoft.com/office/excel/2006/main">
          <x14:cfRule type="containsText" priority="553" operator="containsText" text="A" id="{CCAE430D-95BB-4DA0-A100-7F88B85AE1A6}">
            <xm:f>NOT(ISERROR(SEARCH("A",'Tracker Sheet'!L6)))</xm:f>
            <x14:dxf>
              <font>
                <color rgb="FFFFC000"/>
              </font>
              <fill>
                <patternFill>
                  <bgColor rgb="FFFFC000"/>
                </patternFill>
              </fill>
            </x14:dxf>
          </x14:cfRule>
          <x14:cfRule type="containsText" priority="554" operator="containsText" text="G" id="{28A1DE02-3DB2-4F99-8EE9-063713AF05B1}">
            <xm:f>NOT(ISERROR(SEARCH("G",'Tracker Sheet'!L6)))</xm:f>
            <x14:dxf>
              <font>
                <color rgb="FF00B050"/>
              </font>
              <fill>
                <patternFill>
                  <bgColor rgb="FF00B050"/>
                </patternFill>
              </fill>
            </x14:dxf>
          </x14:cfRule>
          <x14:cfRule type="containsText" priority="555" operator="containsText" text="R" id="{2A67F8D1-2F54-4237-83CA-5AA00AE1C2ED}">
            <xm:f>NOT(ISERROR(SEARCH("R",'Tracker Sheet'!L6)))</xm:f>
            <x14:dxf>
              <font>
                <color rgb="FFFF0000"/>
              </font>
              <fill>
                <patternFill>
                  <bgColor rgb="FFFF0000"/>
                </patternFill>
              </fill>
            </x14:dxf>
          </x14:cfRule>
          <xm:sqref>L8:L9 AE8:AH9 AP8:AS9 T8:T9 V8:W9</xm:sqref>
        </x14:conditionalFormatting>
        <x14:conditionalFormatting xmlns:xm="http://schemas.microsoft.com/office/excel/2006/main">
          <x14:cfRule type="containsText" priority="577" operator="containsText" text="A" id="{CCAE430D-95BB-4DA0-A100-7F88B85AE1A6}">
            <xm:f>NOT(ISERROR(SEARCH("A",'Tracker Sheet'!L6)))</xm:f>
            <x14:dxf>
              <font>
                <color rgb="FFFFC000"/>
              </font>
              <fill>
                <patternFill>
                  <bgColor rgb="FFFFC000"/>
                </patternFill>
              </fill>
            </x14:dxf>
          </x14:cfRule>
          <x14:cfRule type="containsText" priority="578" operator="containsText" text="G" id="{28A1DE02-3DB2-4F99-8EE9-063713AF05B1}">
            <xm:f>NOT(ISERROR(SEARCH("G",'Tracker Sheet'!L6)))</xm:f>
            <x14:dxf>
              <font>
                <color rgb="FF00B050"/>
              </font>
              <fill>
                <patternFill>
                  <bgColor rgb="FF00B050"/>
                </patternFill>
              </fill>
            </x14:dxf>
          </x14:cfRule>
          <x14:cfRule type="containsText" priority="579" operator="containsText" text="R" id="{2A67F8D1-2F54-4237-83CA-5AA00AE1C2ED}">
            <xm:f>NOT(ISERROR(SEARCH("R",'Tracker Sheet'!L6)))</xm:f>
            <x14:dxf>
              <font>
                <color rgb="FFFF0000"/>
              </font>
              <fill>
                <patternFill>
                  <bgColor rgb="FFFF0000"/>
                </patternFill>
              </fill>
            </x14:dxf>
          </x14:cfRule>
          <xm:sqref>L7 AE7:AH7 AP7:AS7 T7 V7:W7</xm:sqref>
        </x14:conditionalFormatting>
        <x14:conditionalFormatting xmlns:xm="http://schemas.microsoft.com/office/excel/2006/main">
          <x14:cfRule type="containsText" priority="660" operator="containsText" text="A" id="{16F65AC0-D75A-4E1D-90D4-34ED049B0320}">
            <xm:f>NOT(ISERROR(SEARCH("A",'Tracker Sheet'!#REF!)))</xm:f>
            <x14:dxf>
              <font>
                <color auto="1"/>
              </font>
              <fill>
                <patternFill>
                  <bgColor rgb="FFFFC000"/>
                </patternFill>
              </fill>
            </x14:dxf>
          </x14:cfRule>
          <x14:cfRule type="containsText" priority="661" operator="containsText" text="G" id="{5C6A79FA-2CA3-499B-A340-C5241096C196}">
            <xm:f>NOT(ISERROR(SEARCH("G",'Tracker Sheet'!#REF!)))</xm:f>
            <x14:dxf>
              <font>
                <color auto="1"/>
              </font>
              <fill>
                <patternFill>
                  <bgColor rgb="FF00B050"/>
                </patternFill>
              </fill>
            </x14:dxf>
          </x14:cfRule>
          <x14:cfRule type="containsText" priority="662" operator="containsText" text="R" id="{3C736942-FC4C-4A96-A30B-A296B27C9FFE}">
            <xm:f>NOT(ISERROR(SEARCH("R",'Tracker Sheet'!#REF!)))</xm:f>
            <x14:dxf>
              <font>
                <color auto="1"/>
              </font>
              <fill>
                <patternFill>
                  <bgColor rgb="FFFF0000"/>
                </patternFill>
              </fill>
            </x14:dxf>
          </x14:cfRule>
          <xm:sqref>U10</xm:sqref>
        </x14:conditionalFormatting>
        <x14:conditionalFormatting xmlns:xm="http://schemas.microsoft.com/office/excel/2006/main">
          <x14:cfRule type="containsText" priority="705" operator="containsText" text="A" id="{CCAE430D-95BB-4DA0-A100-7F88B85AE1A6}">
            <xm:f>NOT(ISERROR(SEARCH("A",'Tracker Sheet'!#REF!)))</xm:f>
            <x14:dxf>
              <font>
                <color rgb="FFFFC000"/>
              </font>
              <fill>
                <patternFill>
                  <bgColor rgb="FFFFC000"/>
                </patternFill>
              </fill>
            </x14:dxf>
          </x14:cfRule>
          <x14:cfRule type="containsText" priority="706" operator="containsText" text="G" id="{28A1DE02-3DB2-4F99-8EE9-063713AF05B1}">
            <xm:f>NOT(ISERROR(SEARCH("G",'Tracker Sheet'!#REF!)))</xm:f>
            <x14:dxf>
              <font>
                <color rgb="FF00B050"/>
              </font>
              <fill>
                <patternFill>
                  <bgColor rgb="FF00B050"/>
                </patternFill>
              </fill>
            </x14:dxf>
          </x14:cfRule>
          <x14:cfRule type="containsText" priority="707" operator="containsText" text="R" id="{2A67F8D1-2F54-4237-83CA-5AA00AE1C2ED}">
            <xm:f>NOT(ISERROR(SEARCH("R",'Tracker Sheet'!#REF!)))</xm:f>
            <x14:dxf>
              <font>
                <color rgb="FFFF0000"/>
              </font>
              <fill>
                <patternFill>
                  <bgColor rgb="FFFF0000"/>
                </patternFill>
              </fill>
            </x14:dxf>
          </x14:cfRule>
          <xm:sqref>L10 AE10:AH10 AP10:AS10 T10 V10:W10</xm:sqref>
        </x14:conditionalFormatting>
        <x14:conditionalFormatting xmlns:xm="http://schemas.microsoft.com/office/excel/2006/main">
          <x14:cfRule type="containsText" priority="776" operator="containsText" text="A" id="{CCAE430D-95BB-4DA0-A100-7F88B85AE1A6}">
            <xm:f>NOT(ISERROR(SEARCH("A",'Tracker Sheet'!BA3)))</xm:f>
            <x14:dxf>
              <font>
                <color rgb="FFFFC000"/>
              </font>
              <fill>
                <patternFill>
                  <bgColor rgb="FFFFC000"/>
                </patternFill>
              </fill>
            </x14:dxf>
          </x14:cfRule>
          <x14:cfRule type="containsText" priority="777" operator="containsText" text="G" id="{28A1DE02-3DB2-4F99-8EE9-063713AF05B1}">
            <xm:f>NOT(ISERROR(SEARCH("G",'Tracker Sheet'!BA3)))</xm:f>
            <x14:dxf>
              <font>
                <color rgb="FF00B050"/>
              </font>
              <fill>
                <patternFill>
                  <bgColor rgb="FF00B050"/>
                </patternFill>
              </fill>
            </x14:dxf>
          </x14:cfRule>
          <x14:cfRule type="containsText" priority="778" operator="containsText" text="R" id="{2A67F8D1-2F54-4237-83CA-5AA00AE1C2ED}">
            <xm:f>NOT(ISERROR(SEARCH("R",'Tracker Sheet'!BA3)))</xm:f>
            <x14:dxf>
              <font>
                <color rgb="FFFF0000"/>
              </font>
              <fill>
                <patternFill>
                  <bgColor rgb="FFFF0000"/>
                </patternFill>
              </fill>
            </x14:dxf>
          </x14:cfRule>
          <xm:sqref>BM3 BP3 BB3:BE3</xm:sqref>
        </x14:conditionalFormatting>
        <x14:conditionalFormatting xmlns:xm="http://schemas.microsoft.com/office/excel/2006/main">
          <x14:cfRule type="containsText" priority="791" operator="containsText" text="A" id="{16F65AC0-D75A-4E1D-90D4-34ED049B0320}">
            <xm:f>NOT(ISERROR(SEARCH("A",'Tracker Sheet'!U3)))</xm:f>
            <x14:dxf>
              <font>
                <color auto="1"/>
              </font>
              <fill>
                <patternFill>
                  <bgColor rgb="FFFFC000"/>
                </patternFill>
              </fill>
            </x14:dxf>
          </x14:cfRule>
          <x14:cfRule type="containsText" priority="792" operator="containsText" text="G" id="{5C6A79FA-2CA3-499B-A340-C5241096C196}">
            <xm:f>NOT(ISERROR(SEARCH("G",'Tracker Sheet'!U3)))</xm:f>
            <x14:dxf>
              <font>
                <color auto="1"/>
              </font>
              <fill>
                <patternFill>
                  <bgColor rgb="FF00B050"/>
                </patternFill>
              </fill>
            </x14:dxf>
          </x14:cfRule>
          <x14:cfRule type="containsText" priority="793" operator="containsText" text="R" id="{3C736942-FC4C-4A96-A30B-A296B27C9FFE}">
            <xm:f>NOT(ISERROR(SEARCH("R",'Tracker Sheet'!U3)))</xm:f>
            <x14:dxf>
              <font>
                <color auto="1"/>
              </font>
              <fill>
                <patternFill>
                  <bgColor rgb="FFFF0000"/>
                </patternFill>
              </fill>
            </x14:dxf>
          </x14:cfRule>
          <xm:sqref>U3</xm:sqref>
        </x14:conditionalFormatting>
        <x14:conditionalFormatting xmlns:xm="http://schemas.microsoft.com/office/excel/2006/main">
          <x14:cfRule type="containsText" priority="818" operator="containsText" text="A" id="{CCAE430D-95BB-4DA0-A100-7F88B85AE1A6}">
            <xm:f>NOT(ISERROR(SEARCH("A",'Tracker Sheet'!L3)))</xm:f>
            <x14:dxf>
              <font>
                <color rgb="FFFFC000"/>
              </font>
              <fill>
                <patternFill>
                  <bgColor rgb="FFFFC000"/>
                </patternFill>
              </fill>
            </x14:dxf>
          </x14:cfRule>
          <x14:cfRule type="containsText" priority="819" operator="containsText" text="G" id="{28A1DE02-3DB2-4F99-8EE9-063713AF05B1}">
            <xm:f>NOT(ISERROR(SEARCH("G",'Tracker Sheet'!L3)))</xm:f>
            <x14:dxf>
              <font>
                <color rgb="FF00B050"/>
              </font>
              <fill>
                <patternFill>
                  <bgColor rgb="FF00B050"/>
                </patternFill>
              </fill>
            </x14:dxf>
          </x14:cfRule>
          <x14:cfRule type="containsText" priority="820" operator="containsText" text="R" id="{2A67F8D1-2F54-4237-83CA-5AA00AE1C2ED}">
            <xm:f>NOT(ISERROR(SEARCH("R",'Tracker Sheet'!L3)))</xm:f>
            <x14:dxf>
              <font>
                <color rgb="FFFF0000"/>
              </font>
              <fill>
                <patternFill>
                  <bgColor rgb="FFFF0000"/>
                </patternFill>
              </fill>
            </x14:dxf>
          </x14:cfRule>
          <xm:sqref>V3:W3 T3 AP3:AS3 AE3:AH3 L3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'Head Office Buildings'!$A$1:$A$96</xm:f>
          </x14:formula1>
          <xm:sqref>D3:D47</xm:sqref>
        </x14:dataValidation>
        <x14:dataValidation type="list" allowBlank="1" showInputMessage="1" showErrorMessage="1">
          <x14:formula1>
            <xm:f>Sponsors!$A$1:$A$19</xm:f>
          </x14:formula1>
          <xm:sqref>G3:G47</xm:sqref>
        </x14:dataValidation>
        <x14:dataValidation type="list" allowBlank="1" showInputMessage="1" showErrorMessage="1">
          <x14:formula1>
            <xm:f>'Project Managers &amp; FacOps Reps'!$A$1:$A$20</xm:f>
          </x14:formula1>
          <xm:sqref>F3:F4 E32:F47 F12:F31 F6 E3:E31</xm:sqref>
        </x14:dataValidation>
        <x14:dataValidation type="list" allowBlank="1" showInputMessage="1" showErrorMessage="1">
          <x14:formula1>
            <xm:f>'Project Managers &amp; FacOps Reps'!$C$1:$C$5</xm:f>
          </x14:formula1>
          <xm:sqref>F7 F9:F11</xm:sqref>
        </x14:dataValidation>
        <x14:dataValidation type="list" allowBlank="1" showInputMessage="1" showErrorMessage="1">
          <x14:formula1>
            <xm:f>'Project Managers &amp; FacOps Reps'!$C$1:$C$11</xm:f>
          </x14:formula1>
          <xm:sqref>F8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70C0"/>
  </sheetPr>
  <dimension ref="A1:J49"/>
  <sheetViews>
    <sheetView workbookViewId="0">
      <selection activeCell="D34" sqref="D34"/>
    </sheetView>
  </sheetViews>
  <sheetFormatPr defaultRowHeight="15" x14ac:dyDescent="0.2"/>
  <cols>
    <col min="1" max="1" width="14.6640625" customWidth="1"/>
    <col min="2" max="2" width="31.88671875" customWidth="1"/>
    <col min="3" max="3" width="23" customWidth="1"/>
    <col min="4" max="4" width="33.21875" customWidth="1"/>
    <col min="5" max="5" width="37.6640625" customWidth="1"/>
    <col min="6" max="6" width="9.109375" customWidth="1"/>
    <col min="7" max="7" width="8.5546875" customWidth="1"/>
    <col min="8" max="8" width="9.44140625" customWidth="1"/>
    <col min="9" max="9" width="13.21875" customWidth="1"/>
    <col min="10" max="10" width="13.33203125" customWidth="1"/>
  </cols>
  <sheetData>
    <row r="1" spans="1:10" ht="17.25" thickBot="1" x14ac:dyDescent="0.25">
      <c r="A1" s="448" t="s">
        <v>354</v>
      </c>
      <c r="B1" s="449"/>
      <c r="C1" s="449"/>
      <c r="D1" s="449"/>
      <c r="E1" s="449"/>
      <c r="F1" s="449"/>
      <c r="G1" s="449"/>
      <c r="H1" s="449"/>
      <c r="I1" s="449"/>
      <c r="J1" s="450"/>
    </row>
    <row r="2" spans="1:10" ht="45.75" thickBot="1" x14ac:dyDescent="0.25">
      <c r="A2" s="189" t="s">
        <v>194</v>
      </c>
      <c r="B2" s="188" t="s">
        <v>193</v>
      </c>
      <c r="C2" s="188" t="s">
        <v>355</v>
      </c>
      <c r="D2" s="188" t="s">
        <v>356</v>
      </c>
      <c r="E2" s="188" t="s">
        <v>246</v>
      </c>
      <c r="F2" s="188" t="s">
        <v>357</v>
      </c>
      <c r="G2" s="190" t="s">
        <v>358</v>
      </c>
      <c r="H2" s="188" t="s">
        <v>359</v>
      </c>
      <c r="I2" s="188" t="s">
        <v>360</v>
      </c>
    </row>
    <row r="3" spans="1:10" ht="26.25" hidden="1" thickBot="1" x14ac:dyDescent="0.25">
      <c r="A3" s="198" t="s">
        <v>121</v>
      </c>
      <c r="B3" s="199" t="s">
        <v>123</v>
      </c>
      <c r="C3" s="193" t="s">
        <v>377</v>
      </c>
      <c r="D3" s="191" t="s">
        <v>378</v>
      </c>
      <c r="E3" s="191" t="s">
        <v>379</v>
      </c>
      <c r="F3" s="191" t="s">
        <v>108</v>
      </c>
      <c r="G3" s="196">
        <v>42011</v>
      </c>
      <c r="H3" s="197">
        <v>42025</v>
      </c>
      <c r="I3" s="191" t="s">
        <v>380</v>
      </c>
    </row>
    <row r="4" spans="1:10" ht="64.5" hidden="1" thickBot="1" x14ac:dyDescent="0.25">
      <c r="A4" s="198" t="s">
        <v>121</v>
      </c>
      <c r="B4" s="199" t="s">
        <v>123</v>
      </c>
      <c r="C4" s="193" t="s">
        <v>413</v>
      </c>
      <c r="D4" s="191" t="s">
        <v>414</v>
      </c>
      <c r="E4" s="191" t="s">
        <v>415</v>
      </c>
      <c r="F4" s="191" t="s">
        <v>108</v>
      </c>
      <c r="G4" s="196">
        <v>42328</v>
      </c>
      <c r="H4" s="197">
        <v>42332</v>
      </c>
      <c r="I4" s="191" t="s">
        <v>366</v>
      </c>
    </row>
    <row r="5" spans="1:10" ht="64.5" hidden="1" thickBot="1" x14ac:dyDescent="0.25">
      <c r="A5" s="198" t="s">
        <v>121</v>
      </c>
      <c r="B5" s="199" t="s">
        <v>123</v>
      </c>
      <c r="C5" s="193" t="s">
        <v>413</v>
      </c>
      <c r="D5" s="191" t="s">
        <v>430</v>
      </c>
      <c r="E5" s="191" t="s">
        <v>431</v>
      </c>
      <c r="F5" s="191" t="s">
        <v>108</v>
      </c>
      <c r="G5" s="196">
        <v>42401</v>
      </c>
      <c r="H5" s="197">
        <v>42404</v>
      </c>
      <c r="I5" s="191" t="s">
        <v>366</v>
      </c>
    </row>
    <row r="6" spans="1:10" ht="51.75" hidden="1" thickBot="1" x14ac:dyDescent="0.25">
      <c r="A6" s="198" t="s">
        <v>121</v>
      </c>
      <c r="B6" s="199" t="s">
        <v>123</v>
      </c>
      <c r="C6" s="193" t="s">
        <v>384</v>
      </c>
      <c r="D6" s="191" t="s">
        <v>448</v>
      </c>
      <c r="E6" s="191" t="s">
        <v>449</v>
      </c>
      <c r="F6" s="191" t="s">
        <v>108</v>
      </c>
      <c r="G6" s="196">
        <v>42542</v>
      </c>
      <c r="H6" s="197">
        <v>42543</v>
      </c>
      <c r="I6" s="191" t="s">
        <v>366</v>
      </c>
    </row>
    <row r="7" spans="1:10" ht="64.5" hidden="1" thickBot="1" x14ac:dyDescent="0.25">
      <c r="A7" s="198" t="s">
        <v>121</v>
      </c>
      <c r="B7" s="199" t="s">
        <v>123</v>
      </c>
      <c r="C7" s="193" t="s">
        <v>388</v>
      </c>
      <c r="D7" s="191" t="s">
        <v>450</v>
      </c>
      <c r="E7" s="191" t="s">
        <v>451</v>
      </c>
      <c r="F7" s="191" t="s">
        <v>108</v>
      </c>
      <c r="G7" s="196">
        <v>42542</v>
      </c>
      <c r="H7" s="197">
        <v>42543</v>
      </c>
      <c r="I7" s="191" t="s">
        <v>366</v>
      </c>
    </row>
    <row r="8" spans="1:10" ht="39" hidden="1" thickBot="1" x14ac:dyDescent="0.25">
      <c r="A8" s="198" t="s">
        <v>121</v>
      </c>
      <c r="B8" s="199" t="s">
        <v>123</v>
      </c>
      <c r="C8" s="193" t="s">
        <v>413</v>
      </c>
      <c r="D8" s="191" t="s">
        <v>452</v>
      </c>
      <c r="E8" s="191" t="s">
        <v>453</v>
      </c>
      <c r="F8" s="191" t="s">
        <v>108</v>
      </c>
      <c r="G8" s="196">
        <v>42542</v>
      </c>
      <c r="H8" s="197">
        <v>42543</v>
      </c>
      <c r="I8" s="191" t="s">
        <v>366</v>
      </c>
    </row>
    <row r="9" spans="1:10" ht="26.25" hidden="1" thickBot="1" x14ac:dyDescent="0.25">
      <c r="A9" s="192" t="s">
        <v>367</v>
      </c>
      <c r="B9" s="199" t="s">
        <v>368</v>
      </c>
      <c r="C9" s="193" t="s">
        <v>369</v>
      </c>
      <c r="D9" s="191" t="s">
        <v>370</v>
      </c>
      <c r="E9" s="191" t="s">
        <v>371</v>
      </c>
      <c r="F9" s="191" t="s">
        <v>108</v>
      </c>
      <c r="G9" s="196">
        <v>41795</v>
      </c>
      <c r="H9" s="197"/>
      <c r="I9" s="191"/>
    </row>
    <row r="10" spans="1:10" ht="26.25" hidden="1" thickBot="1" x14ac:dyDescent="0.25">
      <c r="A10" s="192" t="s">
        <v>367</v>
      </c>
      <c r="B10" s="199" t="s">
        <v>368</v>
      </c>
      <c r="C10" s="193" t="s">
        <v>375</v>
      </c>
      <c r="D10" s="191" t="s">
        <v>376</v>
      </c>
      <c r="E10" s="191"/>
      <c r="F10" s="191" t="s">
        <v>108</v>
      </c>
      <c r="G10" s="196">
        <v>41977</v>
      </c>
      <c r="H10" s="197"/>
      <c r="I10" s="191"/>
    </row>
    <row r="11" spans="1:10" ht="39" thickBot="1" x14ac:dyDescent="0.25">
      <c r="A11" s="192" t="s">
        <v>361</v>
      </c>
      <c r="B11" s="199" t="s">
        <v>362</v>
      </c>
      <c r="C11" s="192" t="s">
        <v>363</v>
      </c>
      <c r="D11" s="191" t="s">
        <v>364</v>
      </c>
      <c r="E11" s="191" t="s">
        <v>365</v>
      </c>
      <c r="F11" s="191" t="s">
        <v>101</v>
      </c>
      <c r="G11" s="194">
        <v>41711</v>
      </c>
      <c r="H11" s="195">
        <v>41743</v>
      </c>
      <c r="I11" s="191" t="s">
        <v>366</v>
      </c>
    </row>
    <row r="12" spans="1:10" ht="26.25" thickBot="1" x14ac:dyDescent="0.25">
      <c r="A12" s="198" t="s">
        <v>361</v>
      </c>
      <c r="B12" s="199" t="s">
        <v>362</v>
      </c>
      <c r="C12" s="193" t="s">
        <v>372</v>
      </c>
      <c r="D12" s="191" t="s">
        <v>373</v>
      </c>
      <c r="E12" s="191" t="s">
        <v>374</v>
      </c>
      <c r="F12" s="191" t="s">
        <v>101</v>
      </c>
      <c r="G12" s="196">
        <v>41969</v>
      </c>
      <c r="H12" s="197"/>
      <c r="I12" s="191"/>
    </row>
    <row r="13" spans="1:10" ht="39" thickBot="1" x14ac:dyDescent="0.25">
      <c r="A13" s="198" t="s">
        <v>361</v>
      </c>
      <c r="B13" s="199" t="s">
        <v>362</v>
      </c>
      <c r="C13" s="193" t="s">
        <v>395</v>
      </c>
      <c r="D13" s="191" t="s">
        <v>396</v>
      </c>
      <c r="E13" s="192" t="s">
        <v>397</v>
      </c>
      <c r="F13" s="191" t="s">
        <v>101</v>
      </c>
      <c r="G13" s="196">
        <v>42229</v>
      </c>
      <c r="H13" s="197">
        <v>42229</v>
      </c>
      <c r="I13" s="191" t="s">
        <v>366</v>
      </c>
    </row>
    <row r="14" spans="1:10" ht="39" thickBot="1" x14ac:dyDescent="0.25">
      <c r="A14" s="198" t="s">
        <v>361</v>
      </c>
      <c r="B14" s="199" t="s">
        <v>362</v>
      </c>
      <c r="C14" s="193" t="s">
        <v>421</v>
      </c>
      <c r="D14" s="191" t="s">
        <v>422</v>
      </c>
      <c r="E14" s="191" t="s">
        <v>423</v>
      </c>
      <c r="F14" s="191" t="s">
        <v>101</v>
      </c>
      <c r="G14" s="196">
        <v>42319</v>
      </c>
      <c r="H14" s="197">
        <v>42345</v>
      </c>
      <c r="I14" s="191" t="s">
        <v>366</v>
      </c>
    </row>
    <row r="15" spans="1:10" ht="51.75" hidden="1" thickBot="1" x14ac:dyDescent="0.25">
      <c r="A15" s="198" t="s">
        <v>409</v>
      </c>
      <c r="B15" s="199" t="s">
        <v>410</v>
      </c>
      <c r="C15" s="193" t="s">
        <v>388</v>
      </c>
      <c r="D15" s="191" t="s">
        <v>411</v>
      </c>
      <c r="E15" s="191" t="s">
        <v>412</v>
      </c>
      <c r="F15" s="191" t="s">
        <v>108</v>
      </c>
      <c r="G15" s="196">
        <v>42319</v>
      </c>
      <c r="H15" s="197">
        <v>42325</v>
      </c>
      <c r="I15" s="191" t="s">
        <v>366</v>
      </c>
    </row>
    <row r="16" spans="1:10" ht="26.25" thickBot="1" x14ac:dyDescent="0.25">
      <c r="A16" s="198" t="s">
        <v>206</v>
      </c>
      <c r="B16" s="199" t="s">
        <v>425</v>
      </c>
      <c r="C16" s="193" t="s">
        <v>384</v>
      </c>
      <c r="D16" s="191" t="s">
        <v>426</v>
      </c>
      <c r="E16" s="191" t="s">
        <v>427</v>
      </c>
      <c r="F16" s="191" t="s">
        <v>101</v>
      </c>
      <c r="G16" s="196">
        <v>42383</v>
      </c>
      <c r="H16" s="197">
        <v>42389</v>
      </c>
      <c r="I16" s="191" t="s">
        <v>366</v>
      </c>
    </row>
    <row r="17" spans="1:9" ht="39" thickBot="1" x14ac:dyDescent="0.25">
      <c r="A17" s="198" t="s">
        <v>206</v>
      </c>
      <c r="B17" s="199" t="s">
        <v>425</v>
      </c>
      <c r="C17" s="193" t="s">
        <v>413</v>
      </c>
      <c r="D17" s="191" t="s">
        <v>439</v>
      </c>
      <c r="E17" s="191" t="s">
        <v>440</v>
      </c>
      <c r="F17" s="191" t="s">
        <v>101</v>
      </c>
      <c r="G17" s="196">
        <v>42445</v>
      </c>
      <c r="H17" s="197">
        <v>42452</v>
      </c>
      <c r="I17" s="191" t="s">
        <v>366</v>
      </c>
    </row>
    <row r="18" spans="1:9" ht="39" hidden="1" thickBot="1" x14ac:dyDescent="0.25">
      <c r="A18" s="198" t="s">
        <v>124</v>
      </c>
      <c r="B18" s="199" t="s">
        <v>208</v>
      </c>
      <c r="C18" s="193" t="s">
        <v>413</v>
      </c>
      <c r="D18" s="191" t="s">
        <v>441</v>
      </c>
      <c r="E18" s="191" t="s">
        <v>442</v>
      </c>
      <c r="F18" s="191" t="s">
        <v>249</v>
      </c>
      <c r="G18" s="196">
        <v>42478</v>
      </c>
      <c r="H18" s="197">
        <v>42487</v>
      </c>
      <c r="I18" s="191" t="s">
        <v>366</v>
      </c>
    </row>
    <row r="19" spans="1:9" ht="39" hidden="1" thickBot="1" x14ac:dyDescent="0.25">
      <c r="A19" s="198" t="s">
        <v>128</v>
      </c>
      <c r="B19" s="199" t="s">
        <v>130</v>
      </c>
      <c r="C19" s="193" t="s">
        <v>381</v>
      </c>
      <c r="D19" s="191" t="s">
        <v>382</v>
      </c>
      <c r="E19" s="191" t="s">
        <v>383</v>
      </c>
      <c r="F19" s="191" t="s">
        <v>108</v>
      </c>
      <c r="G19" s="196">
        <v>42158</v>
      </c>
      <c r="H19" s="197">
        <v>42179</v>
      </c>
      <c r="I19" s="191" t="s">
        <v>366</v>
      </c>
    </row>
    <row r="20" spans="1:9" ht="26.25" hidden="1" thickBot="1" x14ac:dyDescent="0.25">
      <c r="A20" s="198" t="s">
        <v>128</v>
      </c>
      <c r="B20" s="199" t="s">
        <v>130</v>
      </c>
      <c r="C20" s="193" t="s">
        <v>384</v>
      </c>
      <c r="D20" s="191" t="s">
        <v>385</v>
      </c>
      <c r="E20" s="191" t="s">
        <v>386</v>
      </c>
      <c r="F20" s="191" t="s">
        <v>108</v>
      </c>
      <c r="G20" s="196">
        <v>42158</v>
      </c>
      <c r="H20" s="197">
        <v>42179</v>
      </c>
      <c r="I20" s="191" t="s">
        <v>366</v>
      </c>
    </row>
    <row r="21" spans="1:9" ht="64.5" hidden="1" thickBot="1" x14ac:dyDescent="0.25">
      <c r="A21" s="198" t="s">
        <v>128</v>
      </c>
      <c r="B21" s="199" t="s">
        <v>130</v>
      </c>
      <c r="C21" s="193" t="s">
        <v>402</v>
      </c>
      <c r="D21" s="191" t="s">
        <v>403</v>
      </c>
      <c r="E21" s="191" t="s">
        <v>404</v>
      </c>
      <c r="F21" s="191" t="s">
        <v>108</v>
      </c>
      <c r="G21" s="196">
        <v>42293</v>
      </c>
      <c r="H21" s="197">
        <v>42293</v>
      </c>
      <c r="I21" s="191" t="s">
        <v>366</v>
      </c>
    </row>
    <row r="22" spans="1:9" ht="39" hidden="1" thickBot="1" x14ac:dyDescent="0.25">
      <c r="A22" s="198" t="s">
        <v>128</v>
      </c>
      <c r="B22" s="199" t="s">
        <v>130</v>
      </c>
      <c r="C22" s="193" t="s">
        <v>384</v>
      </c>
      <c r="D22" s="191" t="s">
        <v>437</v>
      </c>
      <c r="E22" s="191" t="s">
        <v>438</v>
      </c>
      <c r="F22" s="191" t="s">
        <v>108</v>
      </c>
      <c r="G22" s="196">
        <v>42426</v>
      </c>
      <c r="H22" s="197">
        <v>42445</v>
      </c>
      <c r="I22" s="191" t="s">
        <v>366</v>
      </c>
    </row>
    <row r="23" spans="1:9" ht="39" hidden="1" thickBot="1" x14ac:dyDescent="0.25">
      <c r="A23" s="198" t="s">
        <v>128</v>
      </c>
      <c r="B23" s="199" t="s">
        <v>130</v>
      </c>
      <c r="C23" s="193" t="s">
        <v>413</v>
      </c>
      <c r="D23" s="191" t="s">
        <v>471</v>
      </c>
      <c r="E23" s="191" t="s">
        <v>472</v>
      </c>
      <c r="F23" s="191" t="s">
        <v>108</v>
      </c>
      <c r="G23" s="196">
        <v>42601</v>
      </c>
      <c r="H23" s="197">
        <v>42613</v>
      </c>
      <c r="I23" s="191" t="s">
        <v>366</v>
      </c>
    </row>
    <row r="24" spans="1:9" ht="64.5" hidden="1" thickBot="1" x14ac:dyDescent="0.25">
      <c r="A24" s="198" t="s">
        <v>138</v>
      </c>
      <c r="B24" s="199" t="s">
        <v>265</v>
      </c>
      <c r="C24" s="193" t="s">
        <v>388</v>
      </c>
      <c r="D24" s="191" t="s">
        <v>407</v>
      </c>
      <c r="E24" s="191" t="s">
        <v>408</v>
      </c>
      <c r="F24" s="191" t="s">
        <v>249</v>
      </c>
      <c r="G24" s="196">
        <v>42307</v>
      </c>
      <c r="H24" s="197">
        <v>42307</v>
      </c>
      <c r="I24" s="191" t="s">
        <v>366</v>
      </c>
    </row>
    <row r="25" spans="1:9" ht="39" hidden="1" thickBot="1" x14ac:dyDescent="0.25">
      <c r="A25" s="198" t="s">
        <v>141</v>
      </c>
      <c r="B25" s="199" t="s">
        <v>445</v>
      </c>
      <c r="C25" s="193" t="s">
        <v>413</v>
      </c>
      <c r="D25" s="191" t="s">
        <v>446</v>
      </c>
      <c r="E25" s="191" t="s">
        <v>447</v>
      </c>
      <c r="F25" s="191" t="s">
        <v>249</v>
      </c>
      <c r="G25" s="196">
        <v>42537</v>
      </c>
      <c r="H25" s="197">
        <v>42543</v>
      </c>
      <c r="I25" s="191" t="s">
        <v>366</v>
      </c>
    </row>
    <row r="26" spans="1:9" ht="26.25" hidden="1" thickBot="1" x14ac:dyDescent="0.25">
      <c r="A26" s="198" t="s">
        <v>141</v>
      </c>
      <c r="B26" s="199" t="s">
        <v>445</v>
      </c>
      <c r="C26" s="193" t="s">
        <v>384</v>
      </c>
      <c r="D26" s="191" t="s">
        <v>473</v>
      </c>
      <c r="E26" s="191" t="s">
        <v>474</v>
      </c>
      <c r="F26" s="191" t="s">
        <v>249</v>
      </c>
      <c r="G26" s="196">
        <v>42594</v>
      </c>
      <c r="H26" s="197">
        <v>42599</v>
      </c>
      <c r="I26" s="191" t="s">
        <v>366</v>
      </c>
    </row>
    <row r="27" spans="1:9" ht="26.25" hidden="1" thickBot="1" x14ac:dyDescent="0.25">
      <c r="A27" s="198" t="s">
        <v>141</v>
      </c>
      <c r="B27" s="199" t="s">
        <v>445</v>
      </c>
      <c r="C27" s="193" t="s">
        <v>384</v>
      </c>
      <c r="D27" s="191" t="s">
        <v>470</v>
      </c>
      <c r="E27" s="191"/>
      <c r="F27" s="191" t="s">
        <v>249</v>
      </c>
      <c r="G27" s="196">
        <v>42604</v>
      </c>
      <c r="H27" s="197">
        <v>42613</v>
      </c>
      <c r="I27" s="191" t="s">
        <v>366</v>
      </c>
    </row>
    <row r="28" spans="1:9" ht="26.25" hidden="1" thickBot="1" x14ac:dyDescent="0.25">
      <c r="A28" s="198" t="s">
        <v>141</v>
      </c>
      <c r="B28" s="199" t="s">
        <v>445</v>
      </c>
      <c r="C28" s="193" t="s">
        <v>384</v>
      </c>
      <c r="D28" s="191" t="s">
        <v>465</v>
      </c>
      <c r="E28" s="191" t="s">
        <v>466</v>
      </c>
      <c r="F28" s="191" t="s">
        <v>249</v>
      </c>
      <c r="G28" s="196">
        <v>42636</v>
      </c>
      <c r="H28" s="197">
        <v>42641</v>
      </c>
      <c r="I28" s="191" t="s">
        <v>366</v>
      </c>
    </row>
    <row r="29" spans="1:9" ht="39" hidden="1" thickBot="1" x14ac:dyDescent="0.25">
      <c r="A29" s="198" t="s">
        <v>141</v>
      </c>
      <c r="B29" s="199" t="s">
        <v>445</v>
      </c>
      <c r="C29" s="193" t="s">
        <v>384</v>
      </c>
      <c r="D29" s="191" t="s">
        <v>454</v>
      </c>
      <c r="E29" s="191" t="s">
        <v>455</v>
      </c>
      <c r="F29" s="191" t="s">
        <v>249</v>
      </c>
      <c r="G29" s="196">
        <v>42664</v>
      </c>
      <c r="H29" s="197">
        <v>42669</v>
      </c>
      <c r="I29" s="191" t="s">
        <v>366</v>
      </c>
    </row>
    <row r="30" spans="1:9" ht="26.25" hidden="1" thickBot="1" x14ac:dyDescent="0.25">
      <c r="A30" s="198" t="s">
        <v>416</v>
      </c>
      <c r="B30" s="199" t="s">
        <v>417</v>
      </c>
      <c r="C30" s="193" t="s">
        <v>418</v>
      </c>
      <c r="D30" s="191" t="s">
        <v>419</v>
      </c>
      <c r="E30" s="191" t="s">
        <v>420</v>
      </c>
      <c r="F30" s="191" t="s">
        <v>110</v>
      </c>
      <c r="G30" s="196">
        <v>42328</v>
      </c>
      <c r="H30" s="197">
        <v>42345</v>
      </c>
      <c r="I30" s="191" t="s">
        <v>366</v>
      </c>
    </row>
    <row r="31" spans="1:9" ht="64.5" hidden="1" thickBot="1" x14ac:dyDescent="0.25">
      <c r="A31" s="198" t="s">
        <v>416</v>
      </c>
      <c r="B31" s="199" t="s">
        <v>417</v>
      </c>
      <c r="C31" s="193" t="s">
        <v>388</v>
      </c>
      <c r="D31" s="191" t="s">
        <v>428</v>
      </c>
      <c r="E31" s="191" t="s">
        <v>429</v>
      </c>
      <c r="F31" s="191" t="s">
        <v>110</v>
      </c>
      <c r="G31" s="196">
        <v>42390</v>
      </c>
      <c r="H31" s="197">
        <v>42390</v>
      </c>
      <c r="I31" s="191" t="s">
        <v>366</v>
      </c>
    </row>
    <row r="32" spans="1:9" ht="64.5" thickBot="1" x14ac:dyDescent="0.25">
      <c r="A32" s="198" t="s">
        <v>217</v>
      </c>
      <c r="B32" s="199" t="s">
        <v>398</v>
      </c>
      <c r="C32" s="193" t="s">
        <v>399</v>
      </c>
      <c r="D32" s="191" t="s">
        <v>400</v>
      </c>
      <c r="E32" s="192" t="s">
        <v>401</v>
      </c>
      <c r="F32" s="191" t="s">
        <v>101</v>
      </c>
      <c r="G32" s="196">
        <v>42242</v>
      </c>
      <c r="H32" s="197">
        <v>42254</v>
      </c>
      <c r="I32" s="191" t="s">
        <v>366</v>
      </c>
    </row>
    <row r="33" spans="1:9" ht="39" thickBot="1" x14ac:dyDescent="0.25">
      <c r="A33" s="198" t="s">
        <v>150</v>
      </c>
      <c r="B33" s="199" t="s">
        <v>267</v>
      </c>
      <c r="C33" s="193" t="s">
        <v>467</v>
      </c>
      <c r="D33" s="191" t="s">
        <v>468</v>
      </c>
      <c r="E33" s="191" t="s">
        <v>469</v>
      </c>
      <c r="F33" s="191" t="s">
        <v>101</v>
      </c>
      <c r="G33" s="196">
        <v>42620</v>
      </c>
      <c r="H33" s="197">
        <v>42627</v>
      </c>
      <c r="I33" s="191" t="s">
        <v>366</v>
      </c>
    </row>
    <row r="34" spans="1:9" ht="15.75" thickBot="1" x14ac:dyDescent="0.25">
      <c r="A34" s="198" t="s">
        <v>150</v>
      </c>
      <c r="B34" s="199" t="s">
        <v>267</v>
      </c>
      <c r="C34" s="193" t="s">
        <v>413</v>
      </c>
      <c r="D34" s="191" t="s">
        <v>456</v>
      </c>
      <c r="E34" s="191" t="s">
        <v>457</v>
      </c>
      <c r="F34" s="191" t="s">
        <v>101</v>
      </c>
      <c r="G34" s="196">
        <v>42662</v>
      </c>
      <c r="H34" s="197">
        <v>42669</v>
      </c>
      <c r="I34" s="191" t="s">
        <v>366</v>
      </c>
    </row>
    <row r="35" spans="1:9" ht="39" hidden="1" thickBot="1" x14ac:dyDescent="0.25">
      <c r="A35" s="198" t="s">
        <v>242</v>
      </c>
      <c r="B35" s="199" t="s">
        <v>277</v>
      </c>
      <c r="C35" s="193" t="s">
        <v>384</v>
      </c>
      <c r="D35" s="191" t="s">
        <v>435</v>
      </c>
      <c r="E35" s="191" t="s">
        <v>436</v>
      </c>
      <c r="F35" s="191" t="s">
        <v>107</v>
      </c>
      <c r="G35" s="196">
        <v>42438</v>
      </c>
      <c r="H35" s="197">
        <v>42445</v>
      </c>
      <c r="I35" s="191" t="s">
        <v>366</v>
      </c>
    </row>
    <row r="36" spans="1:9" ht="64.5" hidden="1" thickBot="1" x14ac:dyDescent="0.25">
      <c r="A36" s="198" t="s">
        <v>156</v>
      </c>
      <c r="B36" s="199" t="s">
        <v>157</v>
      </c>
      <c r="C36" s="193" t="s">
        <v>384</v>
      </c>
      <c r="D36" s="191" t="s">
        <v>479</v>
      </c>
      <c r="E36" s="191" t="s">
        <v>478</v>
      </c>
      <c r="F36" s="191" t="s">
        <v>106</v>
      </c>
      <c r="G36" s="196">
        <v>42678</v>
      </c>
      <c r="H36" s="197">
        <v>42683</v>
      </c>
      <c r="I36" s="191" t="s">
        <v>366</v>
      </c>
    </row>
    <row r="37" spans="1:9" ht="51.75" hidden="1" thickBot="1" x14ac:dyDescent="0.25">
      <c r="A37" s="198" t="s">
        <v>484</v>
      </c>
      <c r="B37" s="199" t="s">
        <v>179</v>
      </c>
      <c r="C37" s="193" t="s">
        <v>384</v>
      </c>
      <c r="D37" s="191" t="s">
        <v>483</v>
      </c>
      <c r="E37" s="191" t="s">
        <v>485</v>
      </c>
      <c r="F37" s="191" t="s">
        <v>104</v>
      </c>
      <c r="G37" s="196">
        <v>42678</v>
      </c>
      <c r="H37" s="197">
        <v>42683</v>
      </c>
      <c r="I37" s="191" t="s">
        <v>366</v>
      </c>
    </row>
    <row r="38" spans="1:9" ht="51.75" thickBot="1" x14ac:dyDescent="0.25">
      <c r="A38" s="198" t="s">
        <v>391</v>
      </c>
      <c r="B38" s="199" t="s">
        <v>392</v>
      </c>
      <c r="C38" s="193" t="s">
        <v>388</v>
      </c>
      <c r="D38" s="191" t="s">
        <v>393</v>
      </c>
      <c r="E38" s="191" t="s">
        <v>394</v>
      </c>
      <c r="F38" s="191" t="s">
        <v>101</v>
      </c>
      <c r="G38" s="196">
        <v>42216</v>
      </c>
      <c r="H38" s="197">
        <v>42226</v>
      </c>
      <c r="I38" s="191" t="s">
        <v>366</v>
      </c>
    </row>
    <row r="39" spans="1:9" ht="26.25" hidden="1" thickBot="1" x14ac:dyDescent="0.25">
      <c r="A39" s="198" t="s">
        <v>480</v>
      </c>
      <c r="B39" s="199" t="s">
        <v>171</v>
      </c>
      <c r="C39" s="193" t="s">
        <v>384</v>
      </c>
      <c r="D39" s="191" t="s">
        <v>482</v>
      </c>
      <c r="E39" s="191" t="s">
        <v>481</v>
      </c>
      <c r="F39" s="191" t="s">
        <v>106</v>
      </c>
      <c r="G39" s="196">
        <v>42678</v>
      </c>
      <c r="H39" s="197">
        <v>42683</v>
      </c>
      <c r="I39" s="191" t="s">
        <v>366</v>
      </c>
    </row>
    <row r="40" spans="1:9" ht="26.25" hidden="1" thickBot="1" x14ac:dyDescent="0.25">
      <c r="A40" s="198" t="s">
        <v>461</v>
      </c>
      <c r="B40" s="199" t="s">
        <v>462</v>
      </c>
      <c r="C40" s="193" t="s">
        <v>384</v>
      </c>
      <c r="D40" s="191" t="s">
        <v>463</v>
      </c>
      <c r="E40" s="191" t="s">
        <v>464</v>
      </c>
      <c r="F40" s="191" t="s">
        <v>109</v>
      </c>
      <c r="G40" s="196">
        <v>42664</v>
      </c>
      <c r="H40" s="197">
        <v>42669</v>
      </c>
      <c r="I40" s="191" t="s">
        <v>366</v>
      </c>
    </row>
    <row r="41" spans="1:9" s="202" customFormat="1" ht="64.5" hidden="1" thickBot="1" x14ac:dyDescent="0.25">
      <c r="A41" s="205" t="s">
        <v>313</v>
      </c>
      <c r="B41" s="199" t="s">
        <v>486</v>
      </c>
      <c r="C41" s="206" t="s">
        <v>388</v>
      </c>
      <c r="D41" s="191" t="s">
        <v>487</v>
      </c>
      <c r="E41" s="191" t="s">
        <v>488</v>
      </c>
      <c r="F41" s="191" t="s">
        <v>109</v>
      </c>
      <c r="G41" s="196">
        <v>42692</v>
      </c>
      <c r="H41" s="197">
        <v>42697</v>
      </c>
      <c r="I41" s="207" t="s">
        <v>366</v>
      </c>
    </row>
    <row r="42" spans="1:9" ht="26.25" hidden="1" thickBot="1" x14ac:dyDescent="0.25">
      <c r="A42" s="198" t="s">
        <v>458</v>
      </c>
      <c r="B42" s="199" t="s">
        <v>459</v>
      </c>
      <c r="C42" s="193" t="s">
        <v>467</v>
      </c>
      <c r="D42" s="191" t="s">
        <v>460</v>
      </c>
      <c r="E42" s="191"/>
      <c r="F42" s="191" t="s">
        <v>109</v>
      </c>
      <c r="G42" s="196">
        <v>42664</v>
      </c>
      <c r="H42" s="197">
        <v>42669</v>
      </c>
      <c r="I42" s="191" t="s">
        <v>366</v>
      </c>
    </row>
    <row r="43" spans="1:9" ht="51.75" hidden="1" thickBot="1" x14ac:dyDescent="0.25">
      <c r="A43" s="198" t="s">
        <v>304</v>
      </c>
      <c r="B43" s="199" t="s">
        <v>387</v>
      </c>
      <c r="C43" s="193" t="s">
        <v>388</v>
      </c>
      <c r="D43" s="191" t="s">
        <v>389</v>
      </c>
      <c r="E43" s="191" t="s">
        <v>390</v>
      </c>
      <c r="F43" s="191" t="s">
        <v>105</v>
      </c>
      <c r="G43" s="196">
        <v>42220</v>
      </c>
      <c r="H43" s="197">
        <v>42222</v>
      </c>
      <c r="I43" s="191" t="s">
        <v>366</v>
      </c>
    </row>
    <row r="44" spans="1:9" ht="64.5" hidden="1" thickBot="1" x14ac:dyDescent="0.25">
      <c r="A44" s="198" t="s">
        <v>304</v>
      </c>
      <c r="B44" s="199" t="s">
        <v>387</v>
      </c>
      <c r="C44" s="193" t="s">
        <v>388</v>
      </c>
      <c r="D44" s="191" t="s">
        <v>405</v>
      </c>
      <c r="E44" s="191" t="s">
        <v>406</v>
      </c>
      <c r="F44" s="191" t="s">
        <v>105</v>
      </c>
      <c r="G44" s="196">
        <v>42299</v>
      </c>
      <c r="H44" s="197">
        <v>42305</v>
      </c>
      <c r="I44" s="191" t="s">
        <v>366</v>
      </c>
    </row>
    <row r="45" spans="1:9" ht="39" hidden="1" thickBot="1" x14ac:dyDescent="0.25">
      <c r="A45" s="198" t="s">
        <v>304</v>
      </c>
      <c r="B45" s="199" t="s">
        <v>387</v>
      </c>
      <c r="C45" s="193" t="s">
        <v>384</v>
      </c>
      <c r="D45" s="191" t="s">
        <v>424</v>
      </c>
      <c r="E45" s="191" t="s">
        <v>406</v>
      </c>
      <c r="F45" s="191" t="s">
        <v>105</v>
      </c>
      <c r="G45" s="196">
        <v>42373</v>
      </c>
      <c r="H45" s="197">
        <v>42375</v>
      </c>
      <c r="I45" s="191" t="s">
        <v>366</v>
      </c>
    </row>
    <row r="46" spans="1:9" ht="39" hidden="1" thickBot="1" x14ac:dyDescent="0.25">
      <c r="A46" s="198" t="s">
        <v>304</v>
      </c>
      <c r="B46" s="199" t="s">
        <v>432</v>
      </c>
      <c r="C46" s="193" t="s">
        <v>384</v>
      </c>
      <c r="D46" s="191" t="s">
        <v>433</v>
      </c>
      <c r="E46" s="191" t="s">
        <v>434</v>
      </c>
      <c r="F46" s="191" t="s">
        <v>105</v>
      </c>
      <c r="G46" s="196">
        <v>42440</v>
      </c>
      <c r="H46" s="197">
        <v>42445</v>
      </c>
      <c r="I46" s="191" t="s">
        <v>366</v>
      </c>
    </row>
    <row r="47" spans="1:9" ht="39" hidden="1" thickBot="1" x14ac:dyDescent="0.25">
      <c r="A47" s="198" t="s">
        <v>304</v>
      </c>
      <c r="B47" s="199" t="s">
        <v>432</v>
      </c>
      <c r="C47" s="193" t="s">
        <v>384</v>
      </c>
      <c r="D47" s="191" t="s">
        <v>443</v>
      </c>
      <c r="E47" s="191" t="s">
        <v>444</v>
      </c>
      <c r="F47" s="191" t="s">
        <v>105</v>
      </c>
      <c r="G47" s="196">
        <v>42481</v>
      </c>
      <c r="H47" s="197">
        <v>42683</v>
      </c>
      <c r="I47" s="191" t="s">
        <v>366</v>
      </c>
    </row>
    <row r="48" spans="1:9" ht="51" hidden="1" x14ac:dyDescent="0.2">
      <c r="A48" s="377" t="s">
        <v>599</v>
      </c>
      <c r="B48" s="378" t="s">
        <v>600</v>
      </c>
      <c r="C48" s="379" t="s">
        <v>384</v>
      </c>
      <c r="D48" s="380" t="s">
        <v>601</v>
      </c>
      <c r="E48" s="380" t="s">
        <v>602</v>
      </c>
      <c r="F48" s="380" t="s">
        <v>108</v>
      </c>
      <c r="G48" s="381">
        <v>42682</v>
      </c>
      <c r="H48" s="382">
        <v>42776</v>
      </c>
      <c r="I48" s="383" t="s">
        <v>366</v>
      </c>
    </row>
    <row r="49" spans="1:9" ht="63.75" hidden="1" x14ac:dyDescent="0.2">
      <c r="A49" s="377" t="s">
        <v>128</v>
      </c>
      <c r="B49" s="378" t="s">
        <v>130</v>
      </c>
      <c r="C49" s="379" t="s">
        <v>384</v>
      </c>
      <c r="D49" s="380" t="s">
        <v>603</v>
      </c>
      <c r="E49" s="380" t="s">
        <v>604</v>
      </c>
      <c r="F49" s="380" t="s">
        <v>108</v>
      </c>
      <c r="G49" s="381">
        <v>42682</v>
      </c>
      <c r="H49" s="382">
        <v>42776</v>
      </c>
      <c r="I49" s="383" t="s">
        <v>366</v>
      </c>
    </row>
  </sheetData>
  <mergeCells count="1">
    <mergeCell ref="A1:J1"/>
  </mergeCells>
  <hyperlinks>
    <hyperlink ref="A3" r:id="rId1" display="../../../livelink/llisapi.dll?func=ll&amp;objaction=overview&amp;objid=339321226"/>
    <hyperlink ref="A19" r:id="rId2" display="../../../livelink/llisapi.dll/properties/343270103"/>
    <hyperlink ref="A43" r:id="rId3" display="../../../livelink/llisapi.dll?func=ll&amp;objaction=overview&amp;objid=344814193"/>
    <hyperlink ref="A38" r:id="rId4" display="../../../livelink/llisapi.dll?func=ll&amp;objaction=overview&amp;objid=344651261"/>
    <hyperlink ref="A32" r:id="rId5" display="../../../livelink/llisapi.dll?func=ll&amp;objaction=overview&amp;objid=345547942"/>
    <hyperlink ref="A44" r:id="rId6" display="../../../livelink/llisapi.dll?func=ll&amp;objaction=overview&amp;objid=346810357"/>
    <hyperlink ref="A24" r:id="rId7" display="../../../livelink/llisapi.dll?func=ll&amp;objaction=overview&amp;objid=346919573"/>
    <hyperlink ref="A15" r:id="rId8" display="../../../livelink/llisapi.dll?func=ll&amp;objaction=overview&amp;objid=347184540"/>
    <hyperlink ref="A30" r:id="rId9" display="../../../livelink/llisapi.dll?func=ll&amp;objaction=overview&amp;objid=347740992"/>
    <hyperlink ref="A45" r:id="rId10" display="../../../livelink/llisapi.dll?func=ll&amp;objaction=overview&amp;objid=349091271"/>
    <hyperlink ref="A16" r:id="rId11" display="\\ONELONDON.TFL.LOCAL\SHARED\FACILITIES_DATA\Share\PROJECTS\Fire Compartmentation\Post Contract\Finance\Change Control\Budget increase and sign off"/>
    <hyperlink ref="A18" r:id="rId12" display="../../../livelink/llisapi.dll?func=ll&amp;objaction=overview&amp;objid=353310777"/>
    <hyperlink ref="A25" r:id="rId13" display="../../../livelink/llisapi.dll?func=ll&amp;objaction=overview&amp;objid=357674878"/>
    <hyperlink ref="A31" r:id="rId14" display="../../../livelink/llisapi.dll/fetch/2000/316342085/330811523/333105533/342972123/344257912/344277468/344262870/CCR_Air_Test.pdf?nodeid=349085048&amp;vernum=-2"/>
    <hyperlink ref="A22" r:id="rId15" display="../../../livelink/llisapi.dll?func=ll&amp;objaction=overview&amp;objid=349819089"/>
    <hyperlink ref="A21" r:id="rId16" display="../../../livelink/llisapi.dll?func=ll&amp;objaction=overview&amp;objid=345948721"/>
    <hyperlink ref="A20" r:id="rId17" display="../../../livelink/llisapi.dll/properties/343298893"/>
    <hyperlink ref="A17" r:id="rId18" display="\\ONELONDON.TFL.LOCAL\SHARED\FACILITIES_DATA\Share\PROJECTS\Fire Compartmentation\Post Contract\Finance\Change Control"/>
    <hyperlink ref="A14" r:id="rId19" display="../../../livelink/llisapi.dll?func=ll&amp;objaction=overview&amp;objid=347642695"/>
    <hyperlink ref="A13" r:id="rId20" display="\\ONELONDON.TFL.LOCAL\SHARED\FACILITIES_DATA\Share\PROJECTS\12-13 Property Care Programme\OCH_BMS_connection\2.0 Project Governance\2.09 Change Control\Signed CRF2.pdf"/>
    <hyperlink ref="A12" r:id="rId21" display="\\ONELONDON.TFL.LOCAL\SHARED\FACILITIES_DATA\Share\PROJECTS\12-13 Property Care Programme\OCH_BMS_connection\2.0 Project Governance\2.09 Change Control\PCP-13-010 OCH-BMS Connectivity.pdf"/>
    <hyperlink ref="A7" r:id="rId22" display="../../../livelink/llisapi.dll?func=ll&amp;objaction=overview&amp;objid=357551211"/>
    <hyperlink ref="A6" r:id="rId23" display="../../../livelink/llisapi.dll?func=ll&amp;objaction=overview&amp;objid=357551210"/>
    <hyperlink ref="A5" r:id="rId24" display="../../../livelink/llisapi.dll/fetch/2000/316342085/330811523/333105533/335757796/335745045/335745047/Albany_House_Signed_VO_3.pdf?nodeid=349480263&amp;vernum=-2"/>
    <hyperlink ref="A4" r:id="rId25" display="../../../livelink/llisapi.dll?func=ll&amp;objaction=overview&amp;objid=347392329"/>
  </hyperlinks>
  <pageMargins left="0.7" right="0.7" top="0.75" bottom="0.75" header="0.3" footer="0.3"/>
  <legacyDrawing r:id="rId26"/>
  <tableParts count="1">
    <tablePart r:id="rId2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38"/>
  <sheetViews>
    <sheetView workbookViewId="0">
      <selection activeCell="C18" sqref="C18"/>
    </sheetView>
  </sheetViews>
  <sheetFormatPr defaultRowHeight="15" x14ac:dyDescent="0.2"/>
  <cols>
    <col min="1" max="1" width="15.5546875" bestFit="1" customWidth="1"/>
    <col min="2" max="2" width="18.6640625" customWidth="1"/>
    <col min="3" max="3" width="29.109375" bestFit="1" customWidth="1"/>
    <col min="4" max="4" width="13.21875" bestFit="1" customWidth="1"/>
    <col min="5" max="5" width="17.109375" bestFit="1" customWidth="1"/>
    <col min="8" max="8" width="10.77734375" bestFit="1" customWidth="1"/>
  </cols>
  <sheetData>
    <row r="1" spans="1:10" ht="16.5" thickBot="1" x14ac:dyDescent="0.3">
      <c r="A1" s="70"/>
      <c r="B1" s="71"/>
      <c r="C1" s="71" t="s">
        <v>193</v>
      </c>
      <c r="D1" s="71"/>
      <c r="E1" s="71"/>
      <c r="F1" s="72"/>
      <c r="G1" s="73"/>
      <c r="H1" s="451" t="s">
        <v>687</v>
      </c>
      <c r="I1" s="452"/>
      <c r="J1" s="452"/>
    </row>
    <row r="2" spans="1:10" ht="15.75" thickBot="1" x14ac:dyDescent="0.25">
      <c r="A2" s="74" t="s">
        <v>194</v>
      </c>
      <c r="B2" s="75" t="s">
        <v>9</v>
      </c>
      <c r="C2" s="75" t="s">
        <v>10</v>
      </c>
      <c r="D2" s="75" t="s">
        <v>195</v>
      </c>
      <c r="E2" s="75" t="s">
        <v>18</v>
      </c>
      <c r="F2" s="76" t="s">
        <v>196</v>
      </c>
      <c r="G2" s="73"/>
      <c r="H2" s="74" t="s">
        <v>197</v>
      </c>
      <c r="I2" s="75" t="s">
        <v>198</v>
      </c>
      <c r="J2" s="75" t="s">
        <v>199</v>
      </c>
    </row>
    <row r="3" spans="1:10" x14ac:dyDescent="0.2">
      <c r="A3" s="208" t="s">
        <v>202</v>
      </c>
      <c r="B3" s="77" t="s">
        <v>203</v>
      </c>
      <c r="C3" s="77" t="s">
        <v>202</v>
      </c>
      <c r="D3" s="77">
        <v>0</v>
      </c>
      <c r="E3" s="77" t="s">
        <v>200</v>
      </c>
      <c r="F3" s="78" t="s">
        <v>201</v>
      </c>
      <c r="G3" s="73"/>
      <c r="H3" s="79">
        <v>-565</v>
      </c>
      <c r="I3" s="80">
        <v>0</v>
      </c>
      <c r="J3" s="81">
        <v>-565</v>
      </c>
    </row>
    <row r="4" spans="1:10" x14ac:dyDescent="0.2">
      <c r="A4" s="209" t="s">
        <v>121</v>
      </c>
      <c r="B4" s="77" t="s">
        <v>122</v>
      </c>
      <c r="C4" s="77" t="s">
        <v>123</v>
      </c>
      <c r="D4" s="82" t="s">
        <v>204</v>
      </c>
      <c r="E4" s="77" t="s">
        <v>95</v>
      </c>
      <c r="F4" s="78" t="s">
        <v>205</v>
      </c>
      <c r="G4" s="73"/>
      <c r="H4" s="79">
        <v>-28623</v>
      </c>
      <c r="I4" s="80">
        <v>0</v>
      </c>
      <c r="J4" s="81">
        <v>-28623</v>
      </c>
    </row>
    <row r="5" spans="1:10" x14ac:dyDescent="0.2">
      <c r="A5" s="209" t="s">
        <v>128</v>
      </c>
      <c r="B5" s="77" t="s">
        <v>129</v>
      </c>
      <c r="C5" s="77" t="s">
        <v>210</v>
      </c>
      <c r="D5" s="82" t="s">
        <v>204</v>
      </c>
      <c r="E5" s="77" t="s">
        <v>211</v>
      </c>
      <c r="F5" s="78" t="s">
        <v>205</v>
      </c>
      <c r="G5" s="73"/>
      <c r="H5" s="79">
        <v>-25414</v>
      </c>
      <c r="I5" s="80">
        <v>44996</v>
      </c>
      <c r="J5" s="81">
        <v>19582</v>
      </c>
    </row>
    <row r="6" spans="1:10" x14ac:dyDescent="0.2">
      <c r="A6" s="209" t="s">
        <v>138</v>
      </c>
      <c r="B6" s="83" t="s">
        <v>212</v>
      </c>
      <c r="C6" s="83" t="s">
        <v>213</v>
      </c>
      <c r="D6" s="83" t="s">
        <v>204</v>
      </c>
      <c r="E6" s="83" t="s">
        <v>215</v>
      </c>
      <c r="F6" s="84" t="s">
        <v>209</v>
      </c>
      <c r="G6" s="85"/>
      <c r="H6" s="86">
        <v>22776</v>
      </c>
      <c r="I6" s="80">
        <v>17460</v>
      </c>
      <c r="J6" s="81">
        <v>40236</v>
      </c>
    </row>
    <row r="7" spans="1:10" x14ac:dyDescent="0.2">
      <c r="A7" s="209" t="s">
        <v>141</v>
      </c>
      <c r="B7" s="87" t="s">
        <v>142</v>
      </c>
      <c r="C7" s="87" t="s">
        <v>143</v>
      </c>
      <c r="D7" s="83" t="s">
        <v>214</v>
      </c>
      <c r="E7" s="87" t="s">
        <v>216</v>
      </c>
      <c r="F7" s="88" t="s">
        <v>209</v>
      </c>
      <c r="G7" s="73"/>
      <c r="H7" s="79">
        <v>-5935</v>
      </c>
      <c r="I7" s="80">
        <v>0</v>
      </c>
      <c r="J7" s="81">
        <v>-5935</v>
      </c>
    </row>
    <row r="8" spans="1:10" x14ac:dyDescent="0.2">
      <c r="A8" s="209" t="s">
        <v>144</v>
      </c>
      <c r="B8" s="77" t="s">
        <v>218</v>
      </c>
      <c r="C8" s="77" t="s">
        <v>146</v>
      </c>
      <c r="D8" s="82" t="s">
        <v>214</v>
      </c>
      <c r="E8" s="77" t="s">
        <v>216</v>
      </c>
      <c r="F8" s="78" t="s">
        <v>209</v>
      </c>
      <c r="G8" s="73"/>
      <c r="H8" s="79">
        <v>2506</v>
      </c>
      <c r="I8" s="80">
        <v>322558</v>
      </c>
      <c r="J8" s="81">
        <v>325064</v>
      </c>
    </row>
    <row r="9" spans="1:10" x14ac:dyDescent="0.2">
      <c r="A9" s="209" t="s">
        <v>134</v>
      </c>
      <c r="B9" s="77" t="s">
        <v>135</v>
      </c>
      <c r="C9" s="77" t="s">
        <v>136</v>
      </c>
      <c r="D9" s="82" t="s">
        <v>219</v>
      </c>
      <c r="E9" s="77" t="s">
        <v>220</v>
      </c>
      <c r="F9" s="78" t="s">
        <v>207</v>
      </c>
      <c r="G9" s="73"/>
      <c r="H9" s="79">
        <v>0</v>
      </c>
      <c r="I9" s="80">
        <v>5182</v>
      </c>
      <c r="J9" s="81">
        <v>5182</v>
      </c>
    </row>
    <row r="10" spans="1:10" x14ac:dyDescent="0.2">
      <c r="A10" s="209" t="s">
        <v>150</v>
      </c>
      <c r="B10" s="77" t="s">
        <v>151</v>
      </c>
      <c r="C10" s="77" t="s">
        <v>225</v>
      </c>
      <c r="D10" s="82" t="s">
        <v>204</v>
      </c>
      <c r="E10" s="77" t="s">
        <v>226</v>
      </c>
      <c r="F10" s="78" t="s">
        <v>207</v>
      </c>
      <c r="G10" s="73"/>
      <c r="H10" s="79">
        <v>-1407</v>
      </c>
      <c r="I10" s="80">
        <v>0</v>
      </c>
      <c r="J10" s="81">
        <v>-1407</v>
      </c>
    </row>
    <row r="11" spans="1:10" x14ac:dyDescent="0.2">
      <c r="A11" s="209" t="s">
        <v>153</v>
      </c>
      <c r="B11" s="89" t="s">
        <v>154</v>
      </c>
      <c r="C11" s="77" t="s">
        <v>227</v>
      </c>
      <c r="D11" s="82" t="s">
        <v>219</v>
      </c>
      <c r="E11" s="77" t="s">
        <v>88</v>
      </c>
      <c r="F11" s="78" t="s">
        <v>209</v>
      </c>
      <c r="G11" s="73"/>
      <c r="H11" s="79">
        <v>-9230</v>
      </c>
      <c r="I11" s="80">
        <v>532569</v>
      </c>
      <c r="J11" s="81">
        <v>523339</v>
      </c>
    </row>
    <row r="12" spans="1:10" x14ac:dyDescent="0.2">
      <c r="A12" s="209" t="s">
        <v>156</v>
      </c>
      <c r="B12" s="90" t="s">
        <v>228</v>
      </c>
      <c r="C12" s="77" t="s">
        <v>157</v>
      </c>
      <c r="D12" s="82" t="s">
        <v>214</v>
      </c>
      <c r="E12" s="77" t="s">
        <v>229</v>
      </c>
      <c r="F12" s="78" t="s">
        <v>230</v>
      </c>
      <c r="G12" s="73"/>
      <c r="H12" s="79">
        <v>-3181</v>
      </c>
      <c r="I12" s="80">
        <v>335476</v>
      </c>
      <c r="J12" s="81">
        <v>332295</v>
      </c>
    </row>
    <row r="13" spans="1:10" x14ac:dyDescent="0.2">
      <c r="A13" s="210" t="s">
        <v>115</v>
      </c>
      <c r="B13" s="91" t="s">
        <v>116</v>
      </c>
      <c r="C13" s="92" t="s">
        <v>231</v>
      </c>
      <c r="D13" s="93" t="s">
        <v>232</v>
      </c>
      <c r="E13" s="92" t="s">
        <v>233</v>
      </c>
      <c r="F13" s="94" t="s">
        <v>207</v>
      </c>
      <c r="G13" s="73"/>
      <c r="H13" s="79">
        <v>4100</v>
      </c>
      <c r="I13" s="80">
        <v>41883</v>
      </c>
      <c r="J13" s="81">
        <v>45983</v>
      </c>
    </row>
    <row r="14" spans="1:10" s="408" customFormat="1" x14ac:dyDescent="0.2">
      <c r="A14" s="401" t="s">
        <v>234</v>
      </c>
      <c r="B14" s="402" t="s">
        <v>159</v>
      </c>
      <c r="C14" s="403" t="s">
        <v>235</v>
      </c>
      <c r="D14" s="403" t="s">
        <v>214</v>
      </c>
      <c r="E14" s="403" t="s">
        <v>229</v>
      </c>
      <c r="F14" s="404" t="s">
        <v>207</v>
      </c>
      <c r="G14" s="405"/>
      <c r="H14" s="406">
        <v>0</v>
      </c>
      <c r="I14" s="407">
        <v>0</v>
      </c>
      <c r="J14" s="407">
        <v>0</v>
      </c>
    </row>
    <row r="15" spans="1:10" s="408" customFormat="1" x14ac:dyDescent="0.2">
      <c r="A15" s="409" t="s">
        <v>161</v>
      </c>
      <c r="B15" s="402" t="s">
        <v>236</v>
      </c>
      <c r="C15" s="403" t="s">
        <v>162</v>
      </c>
      <c r="D15" s="403" t="s">
        <v>214</v>
      </c>
      <c r="E15" s="403" t="s">
        <v>237</v>
      </c>
      <c r="F15" s="404" t="s">
        <v>221</v>
      </c>
      <c r="G15" s="405"/>
      <c r="H15" s="406">
        <v>0</v>
      </c>
      <c r="I15" s="407">
        <v>0</v>
      </c>
      <c r="J15" s="407">
        <v>0</v>
      </c>
    </row>
    <row r="16" spans="1:10" x14ac:dyDescent="0.2">
      <c r="A16" s="210" t="s">
        <v>238</v>
      </c>
      <c r="B16" s="91" t="s">
        <v>239</v>
      </c>
      <c r="C16" s="92" t="s">
        <v>240</v>
      </c>
      <c r="D16" s="93" t="s">
        <v>219</v>
      </c>
      <c r="E16" s="92" t="s">
        <v>241</v>
      </c>
      <c r="F16" s="94" t="s">
        <v>207</v>
      </c>
      <c r="G16" s="73"/>
      <c r="H16" s="79">
        <v>4680</v>
      </c>
      <c r="I16" s="80">
        <v>23018</v>
      </c>
      <c r="J16" s="81">
        <v>27698</v>
      </c>
    </row>
    <row r="17" spans="1:10" x14ac:dyDescent="0.2">
      <c r="A17" s="210" t="s">
        <v>343</v>
      </c>
      <c r="B17" s="91" t="s">
        <v>489</v>
      </c>
      <c r="C17" s="92" t="s">
        <v>490</v>
      </c>
      <c r="D17" s="93" t="s">
        <v>214</v>
      </c>
      <c r="E17" s="92" t="s">
        <v>224</v>
      </c>
      <c r="F17" s="94" t="s">
        <v>209</v>
      </c>
      <c r="G17" s="73"/>
      <c r="H17" s="79">
        <v>5350</v>
      </c>
      <c r="I17" s="80">
        <v>742903</v>
      </c>
      <c r="J17" s="81">
        <v>748253</v>
      </c>
    </row>
    <row r="18" spans="1:10" x14ac:dyDescent="0.2">
      <c r="A18" s="210" t="s">
        <v>623</v>
      </c>
      <c r="B18" s="91" t="s">
        <v>491</v>
      </c>
      <c r="C18" s="92" t="s">
        <v>492</v>
      </c>
      <c r="D18" s="93" t="s">
        <v>214</v>
      </c>
      <c r="E18" s="92" t="s">
        <v>224</v>
      </c>
      <c r="F18" s="94" t="s">
        <v>209</v>
      </c>
      <c r="G18" s="73"/>
      <c r="H18" s="79">
        <v>0</v>
      </c>
      <c r="I18" s="80">
        <v>445500</v>
      </c>
      <c r="J18" s="81">
        <v>445500</v>
      </c>
    </row>
    <row r="19" spans="1:10" x14ac:dyDescent="0.2">
      <c r="A19" s="209" t="s">
        <v>624</v>
      </c>
      <c r="B19" s="77" t="s">
        <v>625</v>
      </c>
      <c r="C19" s="77" t="s">
        <v>626</v>
      </c>
      <c r="D19" s="82" t="s">
        <v>493</v>
      </c>
      <c r="E19" s="77" t="s">
        <v>216</v>
      </c>
      <c r="F19" s="78" t="s">
        <v>627</v>
      </c>
      <c r="G19" s="73"/>
      <c r="H19" s="79">
        <v>0</v>
      </c>
      <c r="I19" s="80">
        <v>630000</v>
      </c>
      <c r="J19" s="81">
        <v>630000</v>
      </c>
    </row>
    <row r="20" spans="1:10" x14ac:dyDescent="0.2">
      <c r="A20" s="210" t="s">
        <v>628</v>
      </c>
      <c r="B20" s="91" t="s">
        <v>629</v>
      </c>
      <c r="C20" s="92" t="s">
        <v>630</v>
      </c>
      <c r="D20" s="93" t="s">
        <v>493</v>
      </c>
      <c r="E20" s="92" t="s">
        <v>233</v>
      </c>
      <c r="F20" s="94" t="s">
        <v>196</v>
      </c>
      <c r="G20" s="73"/>
      <c r="H20" s="79">
        <v>0</v>
      </c>
      <c r="I20" s="80">
        <v>100000</v>
      </c>
      <c r="J20" s="81">
        <v>100000</v>
      </c>
    </row>
    <row r="21" spans="1:10" x14ac:dyDescent="0.2">
      <c r="A21" s="209"/>
      <c r="B21" s="77"/>
      <c r="C21" s="77"/>
      <c r="D21" s="82"/>
      <c r="E21" s="77"/>
      <c r="F21" s="78"/>
      <c r="G21" s="73"/>
      <c r="H21" s="79"/>
      <c r="I21" s="80"/>
      <c r="J21" s="81"/>
    </row>
    <row r="22" spans="1:10" x14ac:dyDescent="0.2">
      <c r="A22" s="209"/>
      <c r="B22" s="77"/>
      <c r="C22" s="77"/>
      <c r="D22" s="82"/>
      <c r="E22" s="77"/>
      <c r="F22" s="78"/>
      <c r="G22" s="73"/>
      <c r="H22" s="79"/>
      <c r="I22" s="80"/>
      <c r="J22" s="81"/>
    </row>
    <row r="23" spans="1:10" x14ac:dyDescent="0.2">
      <c r="A23" s="209"/>
      <c r="B23" s="77"/>
      <c r="C23" s="77"/>
      <c r="D23" s="82"/>
      <c r="E23" s="77"/>
      <c r="F23" s="78"/>
      <c r="G23" s="73"/>
      <c r="H23" s="79"/>
      <c r="I23" s="80"/>
      <c r="J23" s="81"/>
    </row>
    <row r="24" spans="1:10" x14ac:dyDescent="0.2">
      <c r="A24" s="209"/>
      <c r="B24" s="77"/>
      <c r="C24" s="77"/>
      <c r="D24" s="82"/>
      <c r="E24" s="77"/>
      <c r="F24" s="78"/>
      <c r="G24" s="73"/>
      <c r="H24" s="79"/>
      <c r="I24" s="80"/>
      <c r="J24" s="81"/>
    </row>
    <row r="25" spans="1:10" x14ac:dyDescent="0.2">
      <c r="A25" s="209"/>
      <c r="B25" s="77"/>
      <c r="C25" s="77"/>
      <c r="D25" s="82"/>
      <c r="E25" s="77"/>
      <c r="F25" s="78"/>
      <c r="G25" s="73"/>
      <c r="H25" s="79"/>
      <c r="I25" s="80"/>
      <c r="J25" s="81"/>
    </row>
    <row r="26" spans="1:10" x14ac:dyDescent="0.2">
      <c r="A26" s="209"/>
      <c r="B26" s="77"/>
      <c r="C26" s="77"/>
      <c r="D26" s="82"/>
      <c r="E26" s="77"/>
      <c r="F26" s="78"/>
      <c r="G26" s="73"/>
      <c r="H26" s="79"/>
      <c r="I26" s="80"/>
      <c r="J26" s="81"/>
    </row>
    <row r="27" spans="1:10" x14ac:dyDescent="0.2">
      <c r="A27" s="209"/>
      <c r="B27" s="77"/>
      <c r="C27" s="77"/>
      <c r="D27" s="82"/>
      <c r="E27" s="77"/>
      <c r="F27" s="78"/>
      <c r="G27" s="73"/>
      <c r="H27" s="79"/>
      <c r="I27" s="80"/>
      <c r="J27" s="81"/>
    </row>
    <row r="28" spans="1:10" x14ac:dyDescent="0.2">
      <c r="A28" s="209"/>
      <c r="B28" s="77"/>
      <c r="C28" s="77"/>
      <c r="D28" s="82"/>
      <c r="E28" s="77"/>
      <c r="F28" s="78"/>
      <c r="G28" s="73"/>
      <c r="H28" s="79"/>
      <c r="I28" s="80"/>
      <c r="J28" s="81"/>
    </row>
    <row r="29" spans="1:10" x14ac:dyDescent="0.2">
      <c r="A29" s="209"/>
      <c r="B29" s="77"/>
      <c r="C29" s="77"/>
      <c r="D29" s="82"/>
      <c r="E29" s="77"/>
      <c r="F29" s="78"/>
      <c r="G29" s="73"/>
      <c r="H29" s="79"/>
      <c r="I29" s="80"/>
      <c r="J29" s="81"/>
    </row>
    <row r="30" spans="1:10" x14ac:dyDescent="0.2">
      <c r="A30" s="209"/>
      <c r="B30" s="77"/>
      <c r="C30" s="77"/>
      <c r="D30" s="82"/>
      <c r="E30" s="77"/>
      <c r="F30" s="78"/>
      <c r="G30" s="73"/>
      <c r="H30" s="79"/>
      <c r="I30" s="80"/>
      <c r="J30" s="81"/>
    </row>
    <row r="31" spans="1:10" x14ac:dyDescent="0.2">
      <c r="A31" s="209"/>
      <c r="B31" s="77"/>
      <c r="C31" s="77"/>
      <c r="D31" s="82"/>
      <c r="E31" s="77"/>
      <c r="F31" s="78"/>
      <c r="G31" s="73"/>
      <c r="H31" s="79"/>
      <c r="I31" s="80"/>
      <c r="J31" s="81"/>
    </row>
    <row r="32" spans="1:10" x14ac:dyDescent="0.2">
      <c r="A32" s="209"/>
      <c r="B32" s="77"/>
      <c r="C32" s="77"/>
      <c r="D32" s="82"/>
      <c r="E32" s="77"/>
      <c r="F32" s="78"/>
      <c r="G32" s="73"/>
      <c r="H32" s="79"/>
      <c r="I32" s="80"/>
      <c r="J32" s="81"/>
    </row>
    <row r="33" spans="1:10" x14ac:dyDescent="0.2">
      <c r="A33" s="209"/>
      <c r="B33" s="77"/>
      <c r="C33" s="77"/>
      <c r="D33" s="82"/>
      <c r="E33" s="77"/>
      <c r="F33" s="78"/>
      <c r="G33" s="73"/>
      <c r="H33" s="79"/>
      <c r="I33" s="80"/>
      <c r="J33" s="81"/>
    </row>
    <row r="34" spans="1:10" x14ac:dyDescent="0.2">
      <c r="A34" s="209"/>
      <c r="B34" s="77"/>
      <c r="C34" s="77"/>
      <c r="D34" s="82"/>
      <c r="E34" s="77"/>
      <c r="F34" s="78"/>
      <c r="G34" s="73"/>
      <c r="H34" s="79"/>
      <c r="I34" s="80"/>
      <c r="J34" s="81"/>
    </row>
    <row r="35" spans="1:10" x14ac:dyDescent="0.2">
      <c r="A35" s="209"/>
      <c r="B35" s="77"/>
      <c r="C35" s="77"/>
      <c r="D35" s="82"/>
      <c r="E35" s="77"/>
      <c r="F35" s="78"/>
      <c r="G35" s="73"/>
      <c r="H35" s="79"/>
      <c r="I35" s="80"/>
      <c r="J35" s="81"/>
    </row>
    <row r="36" spans="1:10" x14ac:dyDescent="0.2">
      <c r="A36" s="209"/>
      <c r="B36" s="77"/>
      <c r="C36" s="77"/>
      <c r="D36" s="82"/>
      <c r="E36" s="77"/>
      <c r="F36" s="78"/>
      <c r="G36" s="73"/>
      <c r="H36" s="79"/>
      <c r="I36" s="80"/>
      <c r="J36" s="81"/>
    </row>
    <row r="37" spans="1:10" x14ac:dyDescent="0.2">
      <c r="A37" s="209"/>
      <c r="B37" s="77"/>
      <c r="C37" s="77"/>
      <c r="D37" s="82"/>
      <c r="E37" s="77"/>
      <c r="F37" s="78"/>
      <c r="G37" s="73"/>
      <c r="H37" s="79"/>
      <c r="I37" s="80"/>
      <c r="J37" s="81"/>
    </row>
    <row r="38" spans="1:10" ht="15.75" thickBot="1" x14ac:dyDescent="0.25">
      <c r="A38" s="95"/>
      <c r="B38" s="96"/>
      <c r="C38" s="96"/>
      <c r="D38" s="96"/>
      <c r="E38" s="96"/>
      <c r="F38" s="97"/>
      <c r="G38" s="73"/>
      <c r="H38" s="98"/>
      <c r="I38" s="99"/>
      <c r="J38" s="99"/>
    </row>
  </sheetData>
  <mergeCells count="1">
    <mergeCell ref="H1:J1"/>
  </mergeCells>
  <hyperlinks>
    <hyperlink ref="A20" location="'Working Doc-FacOps'!PCP_16_017" display="PCP/16/017"/>
    <hyperlink ref="A16" location="PCP_16_022" display="PCP/16/022"/>
    <hyperlink ref="A15" location="PCP_16_022" display="PCP/16/022"/>
    <hyperlink ref="A14" location="FacOps_16_001" display="FacOps/16/001"/>
    <hyperlink ref="A11" location="PCP_16_018" display="PCP/16/018"/>
    <hyperlink ref="A12" location="PCP_16_019" display="PCP/16/019"/>
    <hyperlink ref="A13" location="PCP_16_020" display="PCP/16/020"/>
    <hyperlink ref="A7" location="PCP_15_009" display="PCP/15/009"/>
    <hyperlink ref="A8" location="PCP_16_006" display="PCP/16/006"/>
    <hyperlink ref="A10" location="PCP_16_016" display="PCP/16/016"/>
    <hyperlink ref="A9" location="PCP_16_007" display="PCP/16/007"/>
    <hyperlink ref="A6" location="PCP_15_007" display="PCP/15/007"/>
    <hyperlink ref="A5" location="PCP_15_006" display="PCP/15/006"/>
    <hyperlink ref="A3" location="Project_Management" display="Project Management"/>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9"/>
  <sheetViews>
    <sheetView workbookViewId="0">
      <selection activeCell="J15" sqref="J15"/>
    </sheetView>
  </sheetViews>
  <sheetFormatPr defaultRowHeight="15" x14ac:dyDescent="0.2"/>
  <cols>
    <col min="8" max="8" width="9.88671875" bestFit="1" customWidth="1"/>
  </cols>
  <sheetData>
    <row r="1" spans="1:9" x14ac:dyDescent="0.2">
      <c r="A1" s="5" t="s">
        <v>32</v>
      </c>
      <c r="B1" s="12" t="s">
        <v>28</v>
      </c>
      <c r="D1" t="s">
        <v>318</v>
      </c>
      <c r="E1" t="s">
        <v>318</v>
      </c>
      <c r="F1" t="s">
        <v>318</v>
      </c>
      <c r="H1" s="241">
        <f ca="1">TODAY()</f>
        <v>42943</v>
      </c>
      <c r="I1">
        <v>0</v>
      </c>
    </row>
    <row r="2" spans="1:9" x14ac:dyDescent="0.2">
      <c r="A2" s="5" t="s">
        <v>36</v>
      </c>
      <c r="B2" s="12" t="s">
        <v>28</v>
      </c>
      <c r="D2" t="s">
        <v>320</v>
      </c>
      <c r="E2" t="s">
        <v>319</v>
      </c>
      <c r="F2" t="s">
        <v>353</v>
      </c>
      <c r="H2" s="241">
        <f ca="1">TODAY()</f>
        <v>42943</v>
      </c>
      <c r="I2">
        <v>1</v>
      </c>
    </row>
    <row r="3" spans="1:9" x14ac:dyDescent="0.2">
      <c r="A3" s="5" t="s">
        <v>37</v>
      </c>
      <c r="B3" s="12" t="s">
        <v>28</v>
      </c>
      <c r="E3" t="s">
        <v>320</v>
      </c>
      <c r="F3" t="s">
        <v>320</v>
      </c>
    </row>
    <row r="4" spans="1:9" x14ac:dyDescent="0.2">
      <c r="A4" s="5" t="s">
        <v>38</v>
      </c>
      <c r="B4" s="12" t="s">
        <v>28</v>
      </c>
    </row>
    <row r="5" spans="1:9" x14ac:dyDescent="0.2">
      <c r="A5" s="6" t="s">
        <v>33</v>
      </c>
      <c r="B5" s="12" t="s">
        <v>28</v>
      </c>
    </row>
    <row r="6" spans="1:9" x14ac:dyDescent="0.2">
      <c r="A6" s="6" t="s">
        <v>39</v>
      </c>
      <c r="B6" s="12" t="s">
        <v>28</v>
      </c>
    </row>
    <row r="7" spans="1:9" x14ac:dyDescent="0.2">
      <c r="A7" s="6" t="s">
        <v>40</v>
      </c>
      <c r="B7" s="12" t="s">
        <v>28</v>
      </c>
    </row>
    <row r="8" spans="1:9" x14ac:dyDescent="0.2">
      <c r="A8" s="6" t="s">
        <v>41</v>
      </c>
      <c r="B8" s="12" t="s">
        <v>28</v>
      </c>
    </row>
    <row r="9" spans="1:9" x14ac:dyDescent="0.2">
      <c r="A9" s="6" t="s">
        <v>42</v>
      </c>
      <c r="B9" s="12" t="s">
        <v>28</v>
      </c>
    </row>
    <row r="10" spans="1:9" x14ac:dyDescent="0.2">
      <c r="A10" s="6" t="s">
        <v>43</v>
      </c>
      <c r="B10" s="12" t="s">
        <v>28</v>
      </c>
    </row>
    <row r="11" spans="1:9" x14ac:dyDescent="0.2">
      <c r="A11" s="2" t="s">
        <v>34</v>
      </c>
      <c r="B11" s="11" t="s">
        <v>30</v>
      </c>
    </row>
    <row r="12" spans="1:9" x14ac:dyDescent="0.2">
      <c r="A12" s="2" t="s">
        <v>44</v>
      </c>
      <c r="B12" s="11" t="s">
        <v>30</v>
      </c>
    </row>
    <row r="13" spans="1:9" x14ac:dyDescent="0.2">
      <c r="A13" s="2" t="s">
        <v>45</v>
      </c>
      <c r="B13" s="11" t="s">
        <v>30</v>
      </c>
    </row>
    <row r="14" spans="1:9" x14ac:dyDescent="0.2">
      <c r="A14" s="2" t="s">
        <v>46</v>
      </c>
      <c r="B14" s="11" t="s">
        <v>30</v>
      </c>
    </row>
    <row r="15" spans="1:9" x14ac:dyDescent="0.2">
      <c r="A15" s="7" t="s">
        <v>35</v>
      </c>
      <c r="B15" s="11" t="s">
        <v>30</v>
      </c>
    </row>
    <row r="16" spans="1:9" x14ac:dyDescent="0.2">
      <c r="A16" s="7" t="s">
        <v>47</v>
      </c>
      <c r="B16" s="12" t="s">
        <v>28</v>
      </c>
    </row>
    <row r="17" spans="1:2" x14ac:dyDescent="0.2">
      <c r="A17" s="2" t="s">
        <v>28</v>
      </c>
      <c r="B17" s="12" t="s">
        <v>28</v>
      </c>
    </row>
    <row r="18" spans="1:2" x14ac:dyDescent="0.2">
      <c r="A18" s="2" t="s">
        <v>48</v>
      </c>
      <c r="B18" s="12" t="s">
        <v>28</v>
      </c>
    </row>
    <row r="19" spans="1:2" x14ac:dyDescent="0.2">
      <c r="A19" s="2" t="s">
        <v>49</v>
      </c>
      <c r="B19" s="12" t="s">
        <v>28</v>
      </c>
    </row>
    <row r="20" spans="1:2" x14ac:dyDescent="0.2">
      <c r="A20" s="2" t="s">
        <v>30</v>
      </c>
      <c r="B20" s="11" t="s">
        <v>30</v>
      </c>
    </row>
    <row r="21" spans="1:2" x14ac:dyDescent="0.2">
      <c r="A21" s="2" t="s">
        <v>50</v>
      </c>
      <c r="B21" s="11" t="s">
        <v>30</v>
      </c>
    </row>
    <row r="22" spans="1:2" x14ac:dyDescent="0.2">
      <c r="A22" s="2" t="s">
        <v>51</v>
      </c>
      <c r="B22" s="11" t="s">
        <v>30</v>
      </c>
    </row>
    <row r="23" spans="1:2" x14ac:dyDescent="0.2">
      <c r="A23" s="2" t="s">
        <v>52</v>
      </c>
      <c r="B23" s="12" t="s">
        <v>28</v>
      </c>
    </row>
    <row r="24" spans="1:2" x14ac:dyDescent="0.2">
      <c r="A24" s="2" t="s">
        <v>53</v>
      </c>
      <c r="B24" s="12" t="s">
        <v>28</v>
      </c>
    </row>
    <row r="25" spans="1:2" x14ac:dyDescent="0.2">
      <c r="A25" s="2" t="s">
        <v>54</v>
      </c>
      <c r="B25" s="11" t="s">
        <v>30</v>
      </c>
    </row>
    <row r="26" spans="1:2" x14ac:dyDescent="0.2">
      <c r="A26" s="2" t="s">
        <v>55</v>
      </c>
      <c r="B26" s="12" t="s">
        <v>28</v>
      </c>
    </row>
    <row r="27" spans="1:2" x14ac:dyDescent="0.2">
      <c r="A27" s="2" t="s">
        <v>56</v>
      </c>
      <c r="B27" s="12" t="s">
        <v>28</v>
      </c>
    </row>
    <row r="28" spans="1:2" x14ac:dyDescent="0.2">
      <c r="A28" s="2" t="s">
        <v>57</v>
      </c>
      <c r="B28" s="11" t="s">
        <v>30</v>
      </c>
    </row>
    <row r="29" spans="1:2" x14ac:dyDescent="0.2">
      <c r="A29" s="2" t="s">
        <v>58</v>
      </c>
      <c r="B29" s="11" t="s">
        <v>30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3:C4"/>
  <sheetViews>
    <sheetView showGridLines="0" workbookViewId="0">
      <selection activeCell="C4" sqref="C4"/>
    </sheetView>
  </sheetViews>
  <sheetFormatPr defaultRowHeight="15" x14ac:dyDescent="0.2"/>
  <cols>
    <col min="2" max="2" width="13" customWidth="1"/>
    <col min="3" max="3" width="17.77734375" customWidth="1"/>
  </cols>
  <sheetData>
    <row r="3" spans="2:3" ht="15.75" thickBot="1" x14ac:dyDescent="0.25"/>
    <row r="4" spans="2:3" ht="15.75" thickBot="1" x14ac:dyDescent="0.25">
      <c r="B4" s="9" t="s">
        <v>59</v>
      </c>
      <c r="C4" s="10" t="s">
        <v>31</v>
      </c>
    </row>
  </sheetData>
  <dataValidations count="1">
    <dataValidation type="list" allowBlank="1" showInputMessage="1" showErrorMessage="1" sqref="C4">
      <formula1>#REF!</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4"/>
  <sheetViews>
    <sheetView workbookViewId="0">
      <selection activeCell="B34" sqref="B34"/>
    </sheetView>
  </sheetViews>
  <sheetFormatPr defaultRowHeight="11.25" x14ac:dyDescent="0.2"/>
  <cols>
    <col min="1" max="1" width="36.6640625" style="1" bestFit="1" customWidth="1"/>
    <col min="2" max="2" width="28.21875" style="1" bestFit="1" customWidth="1"/>
    <col min="3" max="16384" width="8.88671875" style="1"/>
  </cols>
  <sheetData>
    <row r="1" spans="1:2" x14ac:dyDescent="0.2">
      <c r="A1" s="1" t="s">
        <v>82</v>
      </c>
      <c r="B1" s="1" t="s">
        <v>82</v>
      </c>
    </row>
    <row r="2" spans="1:2" x14ac:dyDescent="0.2">
      <c r="A2" s="1" t="s">
        <v>83</v>
      </c>
      <c r="B2" s="1" t="s">
        <v>83</v>
      </c>
    </row>
    <row r="3" spans="1:2" x14ac:dyDescent="0.2">
      <c r="A3" s="1" t="s">
        <v>95</v>
      </c>
      <c r="B3" s="1" t="s">
        <v>95</v>
      </c>
    </row>
    <row r="4" spans="1:2" x14ac:dyDescent="0.2">
      <c r="A4" s="1" t="s">
        <v>549</v>
      </c>
      <c r="B4" s="1" t="s">
        <v>70</v>
      </c>
    </row>
    <row r="5" spans="1:2" x14ac:dyDescent="0.2">
      <c r="A5" s="1" t="s">
        <v>550</v>
      </c>
      <c r="B5" s="1" t="s">
        <v>68</v>
      </c>
    </row>
    <row r="6" spans="1:2" x14ac:dyDescent="0.2">
      <c r="A6" s="1" t="s">
        <v>551</v>
      </c>
      <c r="B6" s="1" t="s">
        <v>67</v>
      </c>
    </row>
    <row r="7" spans="1:2" x14ac:dyDescent="0.2">
      <c r="A7" s="1" t="s">
        <v>552</v>
      </c>
      <c r="B7" s="1" t="s">
        <v>61</v>
      </c>
    </row>
    <row r="8" spans="1:2" x14ac:dyDescent="0.2">
      <c r="A8" s="1" t="s">
        <v>553</v>
      </c>
      <c r="B8" s="1" t="s">
        <v>65</v>
      </c>
    </row>
    <row r="9" spans="1:2" x14ac:dyDescent="0.2">
      <c r="A9" s="1" t="s">
        <v>554</v>
      </c>
      <c r="B9" s="1" t="s">
        <v>65</v>
      </c>
    </row>
    <row r="10" spans="1:2" x14ac:dyDescent="0.2">
      <c r="A10" s="1" t="s">
        <v>555</v>
      </c>
      <c r="B10" s="1" t="s">
        <v>66</v>
      </c>
    </row>
    <row r="11" spans="1:2" x14ac:dyDescent="0.2">
      <c r="A11" s="1" t="s">
        <v>556</v>
      </c>
      <c r="B11" s="1" t="s">
        <v>64</v>
      </c>
    </row>
    <row r="12" spans="1:2" x14ac:dyDescent="0.2">
      <c r="A12" s="1" t="s">
        <v>557</v>
      </c>
      <c r="B12" s="1" t="s">
        <v>63</v>
      </c>
    </row>
    <row r="13" spans="1:2" x14ac:dyDescent="0.2">
      <c r="A13" s="1" t="s">
        <v>558</v>
      </c>
      <c r="B13" s="1" t="s">
        <v>72</v>
      </c>
    </row>
    <row r="14" spans="1:2" x14ac:dyDescent="0.2">
      <c r="A14" s="1" t="s">
        <v>559</v>
      </c>
      <c r="B14" s="1" t="s">
        <v>81</v>
      </c>
    </row>
    <row r="15" spans="1:2" x14ac:dyDescent="0.2">
      <c r="A15" s="1" t="s">
        <v>560</v>
      </c>
      <c r="B15" s="1" t="s">
        <v>71</v>
      </c>
    </row>
    <row r="16" spans="1:2" x14ac:dyDescent="0.2">
      <c r="A16" s="1" t="s">
        <v>561</v>
      </c>
      <c r="B16" s="1" t="s">
        <v>62</v>
      </c>
    </row>
    <row r="17" spans="1:2" x14ac:dyDescent="0.2">
      <c r="A17" s="1" t="s">
        <v>562</v>
      </c>
      <c r="B17" s="1" t="s">
        <v>562</v>
      </c>
    </row>
    <row r="18" spans="1:2" x14ac:dyDescent="0.2">
      <c r="A18" s="1" t="s">
        <v>563</v>
      </c>
      <c r="B18" s="1" t="s">
        <v>75</v>
      </c>
    </row>
    <row r="19" spans="1:2" x14ac:dyDescent="0.2">
      <c r="A19" s="1" t="s">
        <v>564</v>
      </c>
      <c r="B19" s="1" t="s">
        <v>73</v>
      </c>
    </row>
    <row r="20" spans="1:2" x14ac:dyDescent="0.2">
      <c r="A20" s="1" t="s">
        <v>216</v>
      </c>
      <c r="B20" s="1" t="s">
        <v>92</v>
      </c>
    </row>
    <row r="21" spans="1:2" x14ac:dyDescent="0.2">
      <c r="A21" s="1" t="s">
        <v>565</v>
      </c>
      <c r="B21" s="1" t="s">
        <v>76</v>
      </c>
    </row>
    <row r="22" spans="1:2" x14ac:dyDescent="0.2">
      <c r="A22" s="1" t="s">
        <v>566</v>
      </c>
      <c r="B22" s="1" t="s">
        <v>60</v>
      </c>
    </row>
    <row r="23" spans="1:2" x14ac:dyDescent="0.2">
      <c r="A23" s="1" t="s">
        <v>495</v>
      </c>
      <c r="B23" s="1" t="s">
        <v>495</v>
      </c>
    </row>
    <row r="24" spans="1:2" x14ac:dyDescent="0.2">
      <c r="A24" s="1" t="s">
        <v>567</v>
      </c>
      <c r="B24" s="1" t="s">
        <v>74</v>
      </c>
    </row>
    <row r="25" spans="1:2" x14ac:dyDescent="0.2">
      <c r="A25" s="1" t="s">
        <v>568</v>
      </c>
      <c r="B25" s="1" t="s">
        <v>69</v>
      </c>
    </row>
    <row r="26" spans="1:2" x14ac:dyDescent="0.2">
      <c r="A26" s="1" t="s">
        <v>226</v>
      </c>
      <c r="B26" s="1" t="s">
        <v>226</v>
      </c>
    </row>
    <row r="27" spans="1:2" x14ac:dyDescent="0.2">
      <c r="A27" s="1" t="s">
        <v>496</v>
      </c>
      <c r="B27" s="1" t="s">
        <v>496</v>
      </c>
    </row>
    <row r="28" spans="1:2" x14ac:dyDescent="0.2">
      <c r="A28" s="1" t="s">
        <v>569</v>
      </c>
      <c r="B28" s="1" t="s">
        <v>77</v>
      </c>
    </row>
    <row r="29" spans="1:2" x14ac:dyDescent="0.2">
      <c r="A29" s="1" t="s">
        <v>570</v>
      </c>
      <c r="B29" s="1" t="s">
        <v>78</v>
      </c>
    </row>
    <row r="30" spans="1:2" x14ac:dyDescent="0.2">
      <c r="A30" s="1" t="s">
        <v>571</v>
      </c>
      <c r="B30" s="1" t="s">
        <v>79</v>
      </c>
    </row>
    <row r="31" spans="1:2" x14ac:dyDescent="0.2">
      <c r="A31" s="1" t="s">
        <v>88</v>
      </c>
      <c r="B31" s="1" t="s">
        <v>88</v>
      </c>
    </row>
    <row r="32" spans="1:2" x14ac:dyDescent="0.2">
      <c r="A32" s="1" t="s">
        <v>572</v>
      </c>
      <c r="B32" s="1" t="s">
        <v>80</v>
      </c>
    </row>
    <row r="33" spans="1:2" x14ac:dyDescent="0.2">
      <c r="A33" s="1" t="s">
        <v>331</v>
      </c>
      <c r="B33" s="1" t="s">
        <v>332</v>
      </c>
    </row>
    <row r="34" spans="1:2" x14ac:dyDescent="0.2">
      <c r="A34" s="1" t="s">
        <v>348</v>
      </c>
      <c r="B34" s="1" t="s">
        <v>349</v>
      </c>
    </row>
  </sheetData>
  <sortState ref="A1:B34">
    <sortCondition ref="A5:A3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7"/>
  <sheetViews>
    <sheetView workbookViewId="0">
      <selection activeCell="B9" sqref="B9"/>
    </sheetView>
  </sheetViews>
  <sheetFormatPr defaultRowHeight="11.25" x14ac:dyDescent="0.2"/>
  <cols>
    <col min="1" max="1" width="18.44140625" style="1" customWidth="1"/>
    <col min="2" max="16384" width="8.88671875" style="1"/>
  </cols>
  <sheetData>
    <row r="1" spans="1:1" x14ac:dyDescent="0.2">
      <c r="A1" s="1" t="s">
        <v>97</v>
      </c>
    </row>
    <row r="2" spans="1:1" x14ac:dyDescent="0.2">
      <c r="A2" s="1" t="s">
        <v>98</v>
      </c>
    </row>
    <row r="3" spans="1:1" x14ac:dyDescent="0.2">
      <c r="A3" s="1" t="s">
        <v>99</v>
      </c>
    </row>
    <row r="4" spans="1:1" x14ac:dyDescent="0.2">
      <c r="A4" s="1" t="s">
        <v>177</v>
      </c>
    </row>
    <row r="5" spans="1:1" x14ac:dyDescent="0.2">
      <c r="A5" s="1" t="s">
        <v>100</v>
      </c>
    </row>
    <row r="6" spans="1:1" x14ac:dyDescent="0.2">
      <c r="A6" s="1" t="s">
        <v>176</v>
      </c>
    </row>
    <row r="7" spans="1:1" x14ac:dyDescent="0.2">
      <c r="A7" s="1" t="s">
        <v>178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0"/>
  <sheetViews>
    <sheetView topLeftCell="A4" workbookViewId="0">
      <selection activeCell="A11" sqref="A11"/>
    </sheetView>
  </sheetViews>
  <sheetFormatPr defaultRowHeight="12.75" x14ac:dyDescent="0.2"/>
  <cols>
    <col min="1" max="1" width="11.21875" style="8" bestFit="1" customWidth="1"/>
    <col min="2" max="16384" width="8.88671875" style="8"/>
  </cols>
  <sheetData>
    <row r="1" spans="1:3" x14ac:dyDescent="0.2">
      <c r="A1" s="8" t="s">
        <v>101</v>
      </c>
      <c r="C1" s="8" t="s">
        <v>527</v>
      </c>
    </row>
    <row r="2" spans="1:3" x14ac:dyDescent="0.2">
      <c r="A2" s="8" t="s">
        <v>249</v>
      </c>
      <c r="C2" s="8" t="s">
        <v>531</v>
      </c>
    </row>
    <row r="3" spans="1:3" x14ac:dyDescent="0.2">
      <c r="A3" s="8" t="s">
        <v>102</v>
      </c>
      <c r="C3" s="8" t="s">
        <v>528</v>
      </c>
    </row>
    <row r="4" spans="1:3" x14ac:dyDescent="0.2">
      <c r="A4" s="8" t="s">
        <v>109</v>
      </c>
      <c r="C4" s="8" t="s">
        <v>529</v>
      </c>
    </row>
    <row r="5" spans="1:3" x14ac:dyDescent="0.2">
      <c r="A5" s="8" t="s">
        <v>107</v>
      </c>
      <c r="C5" s="8" t="s">
        <v>530</v>
      </c>
    </row>
    <row r="6" spans="1:3" x14ac:dyDescent="0.2">
      <c r="A6" s="8" t="s">
        <v>103</v>
      </c>
    </row>
    <row r="7" spans="1:3" x14ac:dyDescent="0.2">
      <c r="A7" s="8" t="s">
        <v>104</v>
      </c>
    </row>
    <row r="8" spans="1:3" x14ac:dyDescent="0.2">
      <c r="A8" s="8" t="s">
        <v>105</v>
      </c>
    </row>
    <row r="9" spans="1:3" x14ac:dyDescent="0.2">
      <c r="A9" s="8" t="s">
        <v>106</v>
      </c>
    </row>
    <row r="10" spans="1:3" x14ac:dyDescent="0.2">
      <c r="A10" s="8" t="s">
        <v>108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10"/>
  <sheetViews>
    <sheetView zoomScaleNormal="100" workbookViewId="0">
      <selection activeCell="C15" sqref="C15"/>
    </sheetView>
  </sheetViews>
  <sheetFormatPr defaultRowHeight="15" x14ac:dyDescent="0.2"/>
  <cols>
    <col min="1" max="1" width="22.5546875" bestFit="1" customWidth="1"/>
    <col min="2" max="2" width="17.6640625" style="240" bestFit="1" customWidth="1"/>
    <col min="3" max="3" width="51.5546875" style="240" bestFit="1" customWidth="1"/>
    <col min="4" max="4" width="62.88671875" customWidth="1"/>
    <col min="5" max="5" width="22.5546875" bestFit="1" customWidth="1"/>
    <col min="6" max="6" width="15.21875" customWidth="1"/>
    <col min="7" max="7" width="17.5546875" customWidth="1"/>
    <col min="8" max="8" width="16.109375" customWidth="1"/>
    <col min="9" max="9" width="11.33203125" customWidth="1"/>
    <col min="10" max="10" width="9.88671875" bestFit="1" customWidth="1"/>
    <col min="11" max="12" width="20.21875" customWidth="1"/>
  </cols>
  <sheetData>
    <row r="1" spans="1:12" ht="15.75" x14ac:dyDescent="0.25">
      <c r="A1" s="283" t="s">
        <v>194</v>
      </c>
      <c r="B1" s="283" t="s">
        <v>523</v>
      </c>
      <c r="C1" s="283" t="s">
        <v>519</v>
      </c>
      <c r="D1" s="283" t="s">
        <v>515</v>
      </c>
      <c r="E1" s="283" t="s">
        <v>524</v>
      </c>
      <c r="F1" s="283" t="s">
        <v>516</v>
      </c>
      <c r="G1" s="283" t="s">
        <v>520</v>
      </c>
      <c r="H1" s="283" t="s">
        <v>517</v>
      </c>
      <c r="I1" s="283" t="s">
        <v>521</v>
      </c>
      <c r="J1" s="283" t="s">
        <v>518</v>
      </c>
      <c r="K1" s="283" t="s">
        <v>522</v>
      </c>
      <c r="L1" s="283" t="s">
        <v>525</v>
      </c>
    </row>
    <row r="2" spans="1:12" ht="15.75" x14ac:dyDescent="0.25">
      <c r="A2" s="277" t="s">
        <v>138</v>
      </c>
      <c r="B2" s="276" t="str">
        <f>IF(OR(E2="John Murphy",E2="John Cousins", E2="Helena Healy",E2="Martina Perkins"), E2, "Outside Consultant")</f>
        <v>John Cousins</v>
      </c>
      <c r="C2" s="277" t="str">
        <f t="shared" ref="C2:C10" si="0">IF(D2="","",CONCATENATE(LEFT(D2,54),"...."))</f>
        <v>172 BPR &amp; Windsor House Chiller Remedial....</v>
      </c>
      <c r="D2" s="277" t="str">
        <f>VLOOKUP($A2,'Tracker Sheet'!$A$3:$BP$40,3,FALSE)</f>
        <v>172 BPR &amp; Windsor House Chiller Remedial</v>
      </c>
      <c r="E2" s="277" t="str">
        <f>IFERROR(VLOOKUP($A2,'Tracker Sheet'!$A$3:$BP$40,5,FALSE),"")</f>
        <v>John Cousins</v>
      </c>
      <c r="F2" s="271">
        <v>41645</v>
      </c>
      <c r="G2" s="278">
        <f>IF(VLOOKUP($A2,'Tracker Sheet'!$A$3:$BP$40,49,FALSE)&lt;&gt;"",VLOOKUP($A2,'Tracker Sheet'!$A$3:$BP$40,49,FALSE),IF(VLOOKUP($A2,'Tracker Sheet'!$A$3:$BP$40,48,FALSE)&lt;&gt;"",VLOOKUP($A2,'Tracker Sheet'!$A$3:$BP$40,48,FALSE),IF(VLOOKUP($A2,'Tracker Sheet'!$A$3:$BP$40,38,FALSE)&lt;&gt;"",VLOOKUP($A2,'Tracker Sheet'!$A$3:$BP$40,38,FALSE),IF(VLOOKUP($A2,'Tracker Sheet'!$A$3:$BP$40,37,FALSE)&lt;&gt;"",VLOOKUP($A2,'Tracker Sheet'!$A$3:$BP$40,37,FALSE),IF(VLOOKUP($A2,'Tracker Sheet'!$A$3:$BP$40,27,FALSE)&lt;&gt;"",VLOOKUP($A2,'Tracker Sheet'!$A$3:$BP$40,27,FALSE),IF(VLOOKUP($A2,'Tracker Sheet'!$A$3:$BP$40,40,FALSE)&lt;&gt;"",VLOOKUP($A2,'Tracker Sheet'!$A$3:$BP$40,40,FALSE),IF(VLOOKUP($A2,'Tracker Sheet'!$A$3:$BP$40,16,FALSE)&lt;&gt;"",VLOOKUP($A2,'Tracker Sheet'!$A$3:$BP$40,16,FALSE),IF(VLOOKUP($A2,'Tracker Sheet'!$A$3:$BP$40,15,FALSE)&lt;&gt;"",VLOOKUP($A2,'Tracker Sheet'!$A$3:$BP$40,15,FALSE),""))))))))</f>
        <v>42814</v>
      </c>
      <c r="H2" s="278">
        <f t="shared" ref="H2:H10" si="1">IF(G2=0/1/1900,"",G2)</f>
        <v>42814</v>
      </c>
      <c r="I2" s="277">
        <f t="shared" ref="I2:I10" si="2">IF(K2&gt;=0,K2,0)</f>
        <v>1169</v>
      </c>
      <c r="J2" s="271">
        <v>42719</v>
      </c>
      <c r="K2" s="277">
        <f t="shared" ref="K2:K10" si="3">SUM(G2-F2)</f>
        <v>1169</v>
      </c>
      <c r="L2" s="277" t="str">
        <f>IFERROR(VLOOKUP($A2,'Tracker Sheet'!$A$3:$BZ$40,79,FALSE), "")</f>
        <v/>
      </c>
    </row>
    <row r="3" spans="1:12" ht="15.75" x14ac:dyDescent="0.25">
      <c r="A3" s="277" t="s">
        <v>144</v>
      </c>
      <c r="B3" s="276"/>
      <c r="C3" s="277" t="str">
        <f t="shared" si="0"/>
        <v>Toilet Flushing Upgrade....</v>
      </c>
      <c r="D3" s="277" t="str">
        <f>VLOOKUP($A3,'Tracker Sheet'!$A$3:$BP$40,3,FALSE)</f>
        <v>Toilet Flushing Upgrade</v>
      </c>
      <c r="E3" s="277" t="str">
        <f>IFERROR(VLOOKUP($A3,'Tracker Sheet'!$A$3:$BP$40,5,FALSE),"")</f>
        <v>John Cousins</v>
      </c>
      <c r="F3" s="271">
        <v>42262</v>
      </c>
      <c r="G3" s="278">
        <f>IF(VLOOKUP($A3,'Tracker Sheet'!$A$3:$BP$40,49,FALSE)&lt;&gt;"",VLOOKUP($A3,'Tracker Sheet'!$A$3:$BP$40,49,FALSE),IF(VLOOKUP($A3,'Tracker Sheet'!$A$3:$BP$40,48,FALSE)&lt;&gt;"",VLOOKUP($A3,'Tracker Sheet'!$A$3:$BP$40,48,FALSE),IF(VLOOKUP($A3,'Tracker Sheet'!$A$3:$BP$40,38,FALSE)&lt;&gt;"",VLOOKUP($A3,'Tracker Sheet'!$A$3:$BP$40,38,FALSE),IF(VLOOKUP($A3,'Tracker Sheet'!$A$3:$BP$40,37,FALSE)&lt;&gt;"",VLOOKUP($A3,'Tracker Sheet'!$A$3:$BP$40,37,FALSE),IF(VLOOKUP($A3,'Tracker Sheet'!$A$3:$BP$40,27,FALSE)&lt;&gt;"",VLOOKUP($A3,'Tracker Sheet'!$A$3:$BP$40,27,FALSE),IF(VLOOKUP($A3,'Tracker Sheet'!$A$3:$BP$40,40,FALSE)&lt;&gt;"",VLOOKUP($A3,'Tracker Sheet'!$A$3:$BP$40,40,FALSE),IF(VLOOKUP($A3,'Tracker Sheet'!$A$3:$BP$40,16,FALSE)&lt;&gt;"",VLOOKUP($A3,'Tracker Sheet'!$A$3:$BP$40,16,FALSE),IF(VLOOKUP($A3,'Tracker Sheet'!$A$3:$BP$40,15,FALSE)&lt;&gt;"",VLOOKUP($A3,'Tracker Sheet'!$A$3:$BP$40,15,FALSE),""))))))))</f>
        <v>42815</v>
      </c>
      <c r="H3" s="278">
        <f t="shared" si="1"/>
        <v>42815</v>
      </c>
      <c r="I3" s="277">
        <f t="shared" si="2"/>
        <v>553</v>
      </c>
      <c r="J3" s="271">
        <v>42719</v>
      </c>
      <c r="K3" s="277">
        <f t="shared" si="3"/>
        <v>553</v>
      </c>
      <c r="L3" s="277" t="str">
        <f>IFERROR(VLOOKUP($A3,'Tracker Sheet'!$A$3:$BZ$40,79,FALSE), "")</f>
        <v/>
      </c>
    </row>
    <row r="4" spans="1:12" ht="15.75" x14ac:dyDescent="0.25">
      <c r="A4" s="277" t="s">
        <v>153</v>
      </c>
      <c r="B4" s="276"/>
      <c r="C4" s="277" t="str">
        <f t="shared" si="0"/>
        <v>VSH Roof and Facades Repairs....</v>
      </c>
      <c r="D4" s="277" t="str">
        <f>VLOOKUP($A4,'Tracker Sheet'!$A$3:$BP$40,3,FALSE)</f>
        <v>VSH Roof and Facades Repairs</v>
      </c>
      <c r="E4" s="277" t="str">
        <f>IFERROR(VLOOKUP($A4,'Tracker Sheet'!$A$3:$BP$40,5,FALSE),"")</f>
        <v>John Cousins</v>
      </c>
      <c r="F4" s="271">
        <v>42269</v>
      </c>
      <c r="G4" s="278">
        <f>IF(VLOOKUP($A4,'Tracker Sheet'!$A$3:$BP$40,49,FALSE)&lt;&gt;"",VLOOKUP($A4,'Tracker Sheet'!$A$3:$BP$40,49,FALSE),IF(VLOOKUP($A4,'Tracker Sheet'!$A$3:$BP$40,48,FALSE)&lt;&gt;"",VLOOKUP($A4,'Tracker Sheet'!$A$3:$BP$40,48,FALSE),IF(VLOOKUP($A4,'Tracker Sheet'!$A$3:$BP$40,38,FALSE)&lt;&gt;"",VLOOKUP($A4,'Tracker Sheet'!$A$3:$BP$40,38,FALSE),IF(VLOOKUP($A4,'Tracker Sheet'!$A$3:$BP$40,37,FALSE)&lt;&gt;"",VLOOKUP($A4,'Tracker Sheet'!$A$3:$BP$40,37,FALSE),IF(VLOOKUP($A4,'Tracker Sheet'!$A$3:$BP$40,27,FALSE)&lt;&gt;"",VLOOKUP($A4,'Tracker Sheet'!$A$3:$BP$40,27,FALSE),IF(VLOOKUP($A4,'Tracker Sheet'!$A$3:$BP$40,40,FALSE)&lt;&gt;"",VLOOKUP($A4,'Tracker Sheet'!$A$3:$BP$40,40,FALSE),IF(VLOOKUP($A4,'Tracker Sheet'!$A$3:$BP$40,16,FALSE)&lt;&gt;"",VLOOKUP($A4,'Tracker Sheet'!$A$3:$BP$40,16,FALSE),IF(VLOOKUP($A4,'Tracker Sheet'!$A$3:$BP$40,15,FALSE)&lt;&gt;"",VLOOKUP($A4,'Tracker Sheet'!$A$3:$BP$40,15,FALSE),""))))))))</f>
        <v>42888</v>
      </c>
      <c r="H4" s="278">
        <f t="shared" si="1"/>
        <v>42888</v>
      </c>
      <c r="I4" s="277">
        <f t="shared" si="2"/>
        <v>619</v>
      </c>
      <c r="J4" s="271">
        <v>42719</v>
      </c>
      <c r="K4" s="277">
        <f t="shared" si="3"/>
        <v>619</v>
      </c>
      <c r="L4" s="277" t="str">
        <f>IFERROR(VLOOKUP($A4,'Tracker Sheet'!$A$3:$BZ$40,79,FALSE), "")</f>
        <v/>
      </c>
    </row>
    <row r="5" spans="1:12" ht="15.75" x14ac:dyDescent="0.25">
      <c r="A5" s="277" t="s">
        <v>343</v>
      </c>
      <c r="B5" s="276"/>
      <c r="C5" s="277" t="str">
        <f t="shared" si="0"/>
        <v>Griffith House Facade Repairs....</v>
      </c>
      <c r="D5" s="277" t="str">
        <f>VLOOKUP($A5,'Tracker Sheet'!$A$3:$BP$40,3,FALSE)</f>
        <v>Griffith House Facade Repairs</v>
      </c>
      <c r="E5" s="277" t="str">
        <f>IFERROR(VLOOKUP($A5,'Tracker Sheet'!$A$3:$BP$40,5,FALSE),"")</f>
        <v>John Cousins</v>
      </c>
      <c r="F5" s="271">
        <v>42689</v>
      </c>
      <c r="G5" s="278" t="str">
        <f>IF(VLOOKUP($A5,'Tracker Sheet'!$A$3:$BP$40,49,FALSE)&lt;&gt;"",VLOOKUP($A5,'Tracker Sheet'!$A$3:$BP$40,49,FALSE),IF(VLOOKUP($A5,'Tracker Sheet'!$A$3:$BP$40,48,FALSE)&lt;&gt;"",VLOOKUP($A5,'Tracker Sheet'!$A$3:$BP$40,48,FALSE),IF(VLOOKUP($A5,'Tracker Sheet'!$A$3:$BP$40,38,FALSE)&lt;&gt;"",VLOOKUP($A5,'Tracker Sheet'!$A$3:$BP$40,38,FALSE),IF(VLOOKUP($A5,'Tracker Sheet'!$A$3:$BP$40,37,FALSE)&lt;&gt;"",VLOOKUP($A5,'Tracker Sheet'!$A$3:$BP$40,37,FALSE),IF(VLOOKUP($A5,'Tracker Sheet'!$A$3:$BP$40,27,FALSE)&lt;&gt;"",VLOOKUP($A5,'Tracker Sheet'!$A$3:$BP$40,27,FALSE),IF(VLOOKUP($A5,'Tracker Sheet'!$A$3:$BP$40,40,FALSE)&lt;&gt;"",VLOOKUP($A5,'Tracker Sheet'!$A$3:$BP$40,40,FALSE),IF(VLOOKUP($A5,'Tracker Sheet'!$A$3:$BP$40,16,FALSE)&lt;&gt;"",VLOOKUP($A5,'Tracker Sheet'!$A$3:$BP$40,16,FALSE),IF(VLOOKUP($A5,'Tracker Sheet'!$A$3:$BP$40,15,FALSE)&lt;&gt;"",VLOOKUP($A5,'Tracker Sheet'!$A$3:$BP$40,15,FALSE),""))))))))</f>
        <v/>
      </c>
      <c r="H5" s="278" t="str">
        <f t="shared" si="1"/>
        <v/>
      </c>
      <c r="I5" s="277" t="e">
        <f t="shared" si="2"/>
        <v>#VALUE!</v>
      </c>
      <c r="J5" s="271">
        <v>42719</v>
      </c>
      <c r="K5" s="277" t="e">
        <f t="shared" si="3"/>
        <v>#VALUE!</v>
      </c>
      <c r="L5" s="277" t="str">
        <f>IFERROR(VLOOKUP($A5,'Tracker Sheet'!$A$3:$BZ$40,79,FALSE), "")</f>
        <v/>
      </c>
    </row>
    <row r="6" spans="1:12" ht="15.75" x14ac:dyDescent="0.25">
      <c r="A6" s="277" t="s">
        <v>115</v>
      </c>
      <c r="B6" s="276" t="str">
        <f>IF(OR(E6="John Murphy",E6="John Cousins", E6="Helena Healy",E6="Martina Perkins"), E6, "Outside Consultant")</f>
        <v>John Murphy</v>
      </c>
      <c r="C6" s="277" t="str">
        <f t="shared" si="0"/>
        <v>Building Facades Risk Assessments (7 Building)....</v>
      </c>
      <c r="D6" s="277" t="str">
        <f>VLOOKUP($A6,'Tracker Sheet'!$A$3:$BP$40,3,FALSE)</f>
        <v>Building Facades Risk Assessments (7 Building)</v>
      </c>
      <c r="E6" s="277" t="str">
        <f>IFERROR(VLOOKUP($A6,'Tracker Sheet'!$A$3:$BP$40,5,FALSE),"")</f>
        <v>John Murphy</v>
      </c>
      <c r="F6" s="271">
        <v>42571</v>
      </c>
      <c r="G6" s="278">
        <f>IF(VLOOKUP($A6,'Tracker Sheet'!$A$3:$BP$40,49,FALSE)&lt;&gt;"",VLOOKUP($A6,'Tracker Sheet'!$A$3:$BP$40,49,FALSE),IF(VLOOKUP($A6,'Tracker Sheet'!$A$3:$BP$40,48,FALSE)&lt;&gt;"",VLOOKUP($A6,'Tracker Sheet'!$A$3:$BP$40,48,FALSE),IF(VLOOKUP($A6,'Tracker Sheet'!$A$3:$BP$40,38,FALSE)&lt;&gt;"",VLOOKUP($A6,'Tracker Sheet'!$A$3:$BP$40,38,FALSE),IF(VLOOKUP($A6,'Tracker Sheet'!$A$3:$BP$40,37,FALSE)&lt;&gt;"",VLOOKUP($A6,'Tracker Sheet'!$A$3:$BP$40,37,FALSE),IF(VLOOKUP($A6,'Tracker Sheet'!$A$3:$BP$40,27,FALSE)&lt;&gt;"",VLOOKUP($A6,'Tracker Sheet'!$A$3:$BP$40,27,FALSE),IF(VLOOKUP($A6,'Tracker Sheet'!$A$3:$BP$40,40,FALSE)&lt;&gt;"",VLOOKUP($A6,'Tracker Sheet'!$A$3:$BP$40,40,FALSE),IF(VLOOKUP($A6,'Tracker Sheet'!$A$3:$BP$40,16,FALSE)&lt;&gt;"",VLOOKUP($A6,'Tracker Sheet'!$A$3:$BP$40,16,FALSE),IF(VLOOKUP($A6,'Tracker Sheet'!$A$3:$BP$40,15,FALSE)&lt;&gt;"",VLOOKUP($A6,'Tracker Sheet'!$A$3:$BP$40,15,FALSE),""))))))))</f>
        <v>42908</v>
      </c>
      <c r="H6" s="278">
        <f t="shared" si="1"/>
        <v>42908</v>
      </c>
      <c r="I6" s="277">
        <f t="shared" si="2"/>
        <v>337</v>
      </c>
      <c r="J6" s="271">
        <v>42719</v>
      </c>
      <c r="K6" s="277">
        <f t="shared" si="3"/>
        <v>337</v>
      </c>
      <c r="L6" s="277" t="str">
        <f>IFERROR(VLOOKUP($A6,'Tracker Sheet'!$A$3:$BZ$40,79,FALSE), "")</f>
        <v/>
      </c>
    </row>
    <row r="7" spans="1:12" s="304" customFormat="1" ht="15.75" x14ac:dyDescent="0.25">
      <c r="A7" s="277" t="s">
        <v>575</v>
      </c>
      <c r="B7" s="276"/>
      <c r="C7" s="277" t="str">
        <f t="shared" ref="C7" si="4">IF(D7="","",CONCATENATE(LEFT(D7,54),"...."))</f>
        <v>Bringing Back to use Staircase/chained door leading to....</v>
      </c>
      <c r="D7" s="277" t="str">
        <f>VLOOKUP($A7,'Tracker Sheet'!$A$3:$BP$40,3,FALSE)</f>
        <v>Bringing Back to use Staircase/chained door leading to the track</v>
      </c>
      <c r="E7" s="277" t="str">
        <f>IFERROR(VLOOKUP($A7,'Tracker Sheet'!$A$3:$BP$40,5,FALSE),"")</f>
        <v>Martina Perkins</v>
      </c>
      <c r="F7" s="271">
        <v>42689</v>
      </c>
      <c r="G7" s="278">
        <f>IF(VLOOKUP($A7,'Tracker Sheet'!$A$3:$BP$40,49,FALSE)&lt;&gt;"",VLOOKUP($A7,'Tracker Sheet'!$A$3:$BP$40,49,FALSE),IF(VLOOKUP($A7,'Tracker Sheet'!$A$3:$BP$40,48,FALSE)&lt;&gt;"",VLOOKUP($A7,'Tracker Sheet'!$A$3:$BP$40,48,FALSE),IF(VLOOKUP($A7,'Tracker Sheet'!$A$3:$BP$40,38,FALSE)&lt;&gt;"",VLOOKUP($A7,'Tracker Sheet'!$A$3:$BP$40,38,FALSE),IF(VLOOKUP($A7,'Tracker Sheet'!$A$3:$BP$40,37,FALSE)&lt;&gt;"",VLOOKUP($A7,'Tracker Sheet'!$A$3:$BP$40,37,FALSE),IF(VLOOKUP($A7,'Tracker Sheet'!$A$3:$BP$40,27,FALSE)&lt;&gt;"",VLOOKUP($A7,'Tracker Sheet'!$A$3:$BP$40,27,FALSE),IF(VLOOKUP($A7,'Tracker Sheet'!$A$3:$BP$40,40,FALSE)&lt;&gt;"",VLOOKUP($A7,'Tracker Sheet'!$A$3:$BP$40,40,FALSE),IF(VLOOKUP($A7,'Tracker Sheet'!$A$3:$BP$40,16,FALSE)&lt;&gt;"",VLOOKUP($A7,'Tracker Sheet'!$A$3:$BP$40,16,FALSE),IF(VLOOKUP($A7,'Tracker Sheet'!$A$3:$BP$40,15,FALSE)&lt;&gt;"",VLOOKUP($A7,'Tracker Sheet'!$A$3:$BP$40,15,FALSE),""))))))))</f>
        <v>42933</v>
      </c>
      <c r="H7" s="278">
        <f t="shared" ref="H7" si="5">IF(G7=0/1/1900,"",G7)</f>
        <v>42933</v>
      </c>
      <c r="I7" s="277">
        <f t="shared" ref="I7" si="6">IF(K7&gt;=0,K7,0)</f>
        <v>244</v>
      </c>
      <c r="J7" s="271">
        <v>42719</v>
      </c>
      <c r="K7" s="277">
        <f t="shared" ref="K7" si="7">SUM(G7-F7)</f>
        <v>244</v>
      </c>
      <c r="L7" s="277" t="str">
        <f>IFERROR(VLOOKUP($A7,'Tracker Sheet'!$A$3:$BZ$40,79,FALSE), "")</f>
        <v/>
      </c>
    </row>
    <row r="8" spans="1:12" ht="15.75" x14ac:dyDescent="0.25">
      <c r="A8" s="277" t="s">
        <v>121</v>
      </c>
      <c r="B8" s="276" t="str">
        <f>IF(OR(E8="John Murphy",E8="John Cousins", E8="Helena Healy",E8="Martina Perkins"), E8, "Outside Consultant")</f>
        <v>Outside Consultant</v>
      </c>
      <c r="C8" s="277" t="str">
        <f t="shared" si="0"/>
        <v>Albany House - Plant Optimisation....</v>
      </c>
      <c r="D8" s="277" t="str">
        <f>VLOOKUP($A8,'Tracker Sheet'!$A$3:$BP$40,3,FALSE)</f>
        <v>Albany House - Plant Optimisation</v>
      </c>
      <c r="E8" s="277" t="str">
        <f>IFERROR(VLOOKUP($A8,'Tracker Sheet'!$A$3:$BP$40,5,FALSE),"")</f>
        <v>Jerry Young</v>
      </c>
      <c r="F8" s="271">
        <v>40938</v>
      </c>
      <c r="G8" s="278">
        <f>IF(VLOOKUP($A8,'Tracker Sheet'!$A$3:$BP$40,49,FALSE)&lt;&gt;"",VLOOKUP($A8,'Tracker Sheet'!$A$3:$BP$40,49,FALSE),IF(VLOOKUP($A8,'Tracker Sheet'!$A$3:$BP$40,48,FALSE)&lt;&gt;"",VLOOKUP($A8,'Tracker Sheet'!$A$3:$BP$40,48,FALSE),IF(VLOOKUP($A8,'Tracker Sheet'!$A$3:$BP$40,38,FALSE)&lt;&gt;"",VLOOKUP($A8,'Tracker Sheet'!$A$3:$BP$40,38,FALSE),IF(VLOOKUP($A8,'Tracker Sheet'!$A$3:$BP$40,37,FALSE)&lt;&gt;"",VLOOKUP($A8,'Tracker Sheet'!$A$3:$BP$40,37,FALSE),IF(VLOOKUP($A8,'Tracker Sheet'!$A$3:$BP$40,27,FALSE)&lt;&gt;"",VLOOKUP($A8,'Tracker Sheet'!$A$3:$BP$40,27,FALSE),IF(VLOOKUP($A8,'Tracker Sheet'!$A$3:$BP$40,40,FALSE)&lt;&gt;"",VLOOKUP($A8,'Tracker Sheet'!$A$3:$BP$40,40,FALSE),IF(VLOOKUP($A8,'Tracker Sheet'!$A$3:$BP$40,16,FALSE)&lt;&gt;"",VLOOKUP($A8,'Tracker Sheet'!$A$3:$BP$40,16,FALSE),IF(VLOOKUP($A8,'Tracker Sheet'!$A$3:$BP$40,15,FALSE)&lt;&gt;"",VLOOKUP($A8,'Tracker Sheet'!$A$3:$BP$40,15,FALSE),""))))))))</f>
        <v>42882</v>
      </c>
      <c r="H8" s="278">
        <f t="shared" si="1"/>
        <v>42882</v>
      </c>
      <c r="I8" s="277">
        <f t="shared" si="2"/>
        <v>1944</v>
      </c>
      <c r="J8" s="271">
        <v>42719</v>
      </c>
      <c r="K8" s="277">
        <f t="shared" si="3"/>
        <v>1944</v>
      </c>
      <c r="L8" s="277" t="str">
        <f>IFERROR(VLOOKUP($A8,'Tracker Sheet'!$A$3:$BZ$40,79,FALSE), "")</f>
        <v/>
      </c>
    </row>
    <row r="9" spans="1:12" ht="15.75" x14ac:dyDescent="0.25">
      <c r="A9" s="277" t="s">
        <v>128</v>
      </c>
      <c r="B9" s="276"/>
      <c r="C9" s="277" t="str">
        <f t="shared" si="0"/>
        <v>Baker Street Complex - Fire Compliance - Fire Alarms n....</v>
      </c>
      <c r="D9" s="277" t="str">
        <f>VLOOKUP($A9,'Tracker Sheet'!$A$3:$BP$40,3,FALSE)</f>
        <v>Baker Street Complex - Fire Compliance - Fire Alarms no MICC</v>
      </c>
      <c r="E9" s="277" t="str">
        <f>IFERROR(VLOOKUP($A9,'Tracker Sheet'!$A$3:$BP$40,5,FALSE),"")</f>
        <v>Jerry Young</v>
      </c>
      <c r="F9" s="271">
        <v>41183</v>
      </c>
      <c r="G9" s="278">
        <f>IF(VLOOKUP($A9,'Tracker Sheet'!$A$3:$BP$40,49,FALSE)&lt;&gt;"",VLOOKUP($A9,'Tracker Sheet'!$A$3:$BP$40,49,FALSE),IF(VLOOKUP($A9,'Tracker Sheet'!$A$3:$BP$40,48,FALSE)&lt;&gt;"",VLOOKUP($A9,'Tracker Sheet'!$A$3:$BP$40,48,FALSE),IF(VLOOKUP($A9,'Tracker Sheet'!$A$3:$BP$40,38,FALSE)&lt;&gt;"",VLOOKUP($A9,'Tracker Sheet'!$A$3:$BP$40,38,FALSE),IF(VLOOKUP($A9,'Tracker Sheet'!$A$3:$BP$40,37,FALSE)&lt;&gt;"",VLOOKUP($A9,'Tracker Sheet'!$A$3:$BP$40,37,FALSE),IF(VLOOKUP($A9,'Tracker Sheet'!$A$3:$BP$40,27,FALSE)&lt;&gt;"",VLOOKUP($A9,'Tracker Sheet'!$A$3:$BP$40,27,FALSE),IF(VLOOKUP($A9,'Tracker Sheet'!$A$3:$BP$40,40,FALSE)&lt;&gt;"",VLOOKUP($A9,'Tracker Sheet'!$A$3:$BP$40,40,FALSE),IF(VLOOKUP($A9,'Tracker Sheet'!$A$3:$BP$40,16,FALSE)&lt;&gt;"",VLOOKUP($A9,'Tracker Sheet'!$A$3:$BP$40,16,FALSE),IF(VLOOKUP($A9,'Tracker Sheet'!$A$3:$BP$40,15,FALSE)&lt;&gt;"",VLOOKUP($A9,'Tracker Sheet'!$A$3:$BP$40,15,FALSE),""))))))))</f>
        <v>43008</v>
      </c>
      <c r="H9" s="278">
        <f t="shared" si="1"/>
        <v>43008</v>
      </c>
      <c r="I9" s="277">
        <f t="shared" si="2"/>
        <v>1825</v>
      </c>
      <c r="J9" s="271">
        <v>42719</v>
      </c>
      <c r="K9" s="277">
        <f t="shared" si="3"/>
        <v>1825</v>
      </c>
      <c r="L9" s="277" t="str">
        <f>IFERROR(VLOOKUP($A9,'Tracker Sheet'!$A$3:$BZ$40,79,FALSE), "")</f>
        <v/>
      </c>
    </row>
    <row r="10" spans="1:12" ht="15.75" x14ac:dyDescent="0.25">
      <c r="A10" s="277" t="s">
        <v>156</v>
      </c>
      <c r="B10" s="276"/>
      <c r="C10" s="277" t="str">
        <f t="shared" si="0"/>
        <v>172 BPR LV Infrastructure Upgrade....</v>
      </c>
      <c r="D10" s="277" t="str">
        <f>VLOOKUP($A10,'Tracker Sheet'!$A$3:$BP$40,3,FALSE)</f>
        <v>172 BPR LV Infrastructure Upgrade</v>
      </c>
      <c r="E10" s="277" t="str">
        <f>IFERROR(VLOOKUP($A10,'Tracker Sheet'!$A$3:$BP$40,5,FALSE),"")</f>
        <v>John Murphy</v>
      </c>
      <c r="F10" s="271">
        <v>42355</v>
      </c>
      <c r="G10" s="278">
        <f>IF(VLOOKUP($A10,'Tracker Sheet'!$A$3:$BP$40,49,FALSE)&lt;&gt;"",VLOOKUP($A10,'Tracker Sheet'!$A$3:$BP$40,49,FALSE),IF(VLOOKUP($A10,'Tracker Sheet'!$A$3:$BP$40,48,FALSE)&lt;&gt;"",VLOOKUP($A10,'Tracker Sheet'!$A$3:$BP$40,48,FALSE),IF(VLOOKUP($A10,'Tracker Sheet'!$A$3:$BP$40,38,FALSE)&lt;&gt;"",VLOOKUP($A10,'Tracker Sheet'!$A$3:$BP$40,38,FALSE),IF(VLOOKUP($A10,'Tracker Sheet'!$A$3:$BP$40,37,FALSE)&lt;&gt;"",VLOOKUP($A10,'Tracker Sheet'!$A$3:$BP$40,37,FALSE),IF(VLOOKUP($A10,'Tracker Sheet'!$A$3:$BP$40,27,FALSE)&lt;&gt;"",VLOOKUP($A10,'Tracker Sheet'!$A$3:$BP$40,27,FALSE),IF(VLOOKUP($A10,'Tracker Sheet'!$A$3:$BP$40,40,FALSE)&lt;&gt;"",VLOOKUP($A10,'Tracker Sheet'!$A$3:$BP$40,40,FALSE),IF(VLOOKUP($A10,'Tracker Sheet'!$A$3:$BP$40,16,FALSE)&lt;&gt;"",VLOOKUP($A10,'Tracker Sheet'!$A$3:$BP$40,16,FALSE),IF(VLOOKUP($A10,'Tracker Sheet'!$A$3:$BP$40,15,FALSE)&lt;&gt;"",VLOOKUP($A10,'Tracker Sheet'!$A$3:$BP$40,15,FALSE),""))))))))</f>
        <v>43069</v>
      </c>
      <c r="H10" s="278">
        <f t="shared" si="1"/>
        <v>43069</v>
      </c>
      <c r="I10" s="277">
        <f t="shared" si="2"/>
        <v>714</v>
      </c>
      <c r="J10" s="271">
        <v>42719</v>
      </c>
      <c r="K10" s="277">
        <f t="shared" si="3"/>
        <v>714</v>
      </c>
      <c r="L10" s="277" t="str">
        <f>IFERROR(VLOOKUP($A10,'Tracker Sheet'!$A$3:$BZ$40,79,FALSE), "")</f>
        <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5" tint="-0.249977111117893"/>
    <pageSetUpPr fitToPage="1"/>
  </sheetPr>
  <dimension ref="B39"/>
  <sheetViews>
    <sheetView showGridLines="0" showRowColHeaders="0" topLeftCell="A4" zoomScaleNormal="100" workbookViewId="0">
      <selection activeCell="N38" sqref="N38"/>
    </sheetView>
  </sheetViews>
  <sheetFormatPr defaultRowHeight="15" x14ac:dyDescent="0.2"/>
  <sheetData>
    <row r="39" spans="2:2" x14ac:dyDescent="0.2">
      <c r="B39" s="248">
        <v>12</v>
      </c>
    </row>
  </sheetData>
  <pageMargins left="0.70866141732283472" right="0.70866141732283472" top="0.74803149606299213" bottom="0.74803149606299213" header="0.31496062992125984" footer="0.31496062992125984"/>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Scroll Bar 1">
              <controlPr defaultSize="0" autoPict="0" macro="[0]!Scrollbar">
                <anchor moveWithCells="1">
                  <from>
                    <xdr:col>0</xdr:col>
                    <xdr:colOff>209550</xdr:colOff>
                    <xdr:row>36</xdr:row>
                    <xdr:rowOff>47625</xdr:rowOff>
                  </from>
                  <to>
                    <xdr:col>20</xdr:col>
                    <xdr:colOff>314325</xdr:colOff>
                    <xdr:row>37</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50"/>
  </sheetPr>
  <dimension ref="A1:I21"/>
  <sheetViews>
    <sheetView workbookViewId="0">
      <selection activeCell="G33" sqref="G33"/>
    </sheetView>
  </sheetViews>
  <sheetFormatPr defaultRowHeight="15" x14ac:dyDescent="0.2"/>
  <cols>
    <col min="1" max="1" width="15.6640625" bestFit="1" customWidth="1"/>
    <col min="2" max="4" width="15.5546875" bestFit="1" customWidth="1"/>
    <col min="5" max="5" width="10.33203125" bestFit="1" customWidth="1"/>
    <col min="6" max="6" width="16.109375" bestFit="1" customWidth="1"/>
    <col min="7" max="7" width="13.33203125" bestFit="1" customWidth="1"/>
    <col min="8" max="8" width="16.77734375" bestFit="1" customWidth="1"/>
    <col min="9" max="9" width="28.44140625" bestFit="1" customWidth="1"/>
  </cols>
  <sheetData>
    <row r="1" spans="1:9" x14ac:dyDescent="0.2">
      <c r="A1" s="371" t="s">
        <v>588</v>
      </c>
      <c r="B1" t="s">
        <v>589</v>
      </c>
      <c r="C1" t="s">
        <v>594</v>
      </c>
      <c r="D1" t="s">
        <v>595</v>
      </c>
      <c r="E1" t="s">
        <v>590</v>
      </c>
      <c r="F1" t="s">
        <v>596</v>
      </c>
      <c r="G1" t="s">
        <v>591</v>
      </c>
      <c r="H1" t="s">
        <v>592</v>
      </c>
      <c r="I1" t="s">
        <v>593</v>
      </c>
    </row>
    <row r="2" spans="1:9" x14ac:dyDescent="0.2">
      <c r="A2" s="371"/>
    </row>
    <row r="3" spans="1:9" x14ac:dyDescent="0.2">
      <c r="A3" s="371"/>
    </row>
    <row r="4" spans="1:9" x14ac:dyDescent="0.2">
      <c r="A4" s="371"/>
    </row>
    <row r="5" spans="1:9" x14ac:dyDescent="0.2">
      <c r="A5" s="371"/>
    </row>
    <row r="6" spans="1:9" x14ac:dyDescent="0.2">
      <c r="A6" s="371"/>
    </row>
    <row r="7" spans="1:9" x14ac:dyDescent="0.2">
      <c r="A7" s="371"/>
    </row>
    <row r="8" spans="1:9" x14ac:dyDescent="0.2">
      <c r="A8" s="371"/>
    </row>
    <row r="9" spans="1:9" x14ac:dyDescent="0.2">
      <c r="A9" s="371"/>
    </row>
    <row r="10" spans="1:9" x14ac:dyDescent="0.2">
      <c r="A10" s="371"/>
    </row>
    <row r="11" spans="1:9" x14ac:dyDescent="0.2">
      <c r="A11" s="371"/>
    </row>
    <row r="12" spans="1:9" x14ac:dyDescent="0.2">
      <c r="A12" s="371"/>
    </row>
    <row r="13" spans="1:9" x14ac:dyDescent="0.2">
      <c r="A13" s="371"/>
    </row>
    <row r="14" spans="1:9" x14ac:dyDescent="0.2">
      <c r="A14" s="371"/>
    </row>
    <row r="15" spans="1:9" x14ac:dyDescent="0.2">
      <c r="A15" s="371"/>
    </row>
    <row r="16" spans="1:9" x14ac:dyDescent="0.2">
      <c r="A16" s="371"/>
    </row>
    <row r="17" spans="1:1" x14ac:dyDescent="0.2">
      <c r="A17" s="371"/>
    </row>
    <row r="18" spans="1:1" x14ac:dyDescent="0.2">
      <c r="A18" s="371"/>
    </row>
    <row r="19" spans="1:1" x14ac:dyDescent="0.2">
      <c r="A19" s="371"/>
    </row>
    <row r="20" spans="1:1" x14ac:dyDescent="0.2">
      <c r="A20" s="371"/>
    </row>
    <row r="21" spans="1:1" x14ac:dyDescent="0.2">
      <c r="A21" s="372"/>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vt:i4>
      </vt:variant>
    </vt:vector>
  </HeadingPairs>
  <TitlesOfParts>
    <vt:vector size="18" baseType="lpstr">
      <vt:lpstr>Dashboard Page</vt:lpstr>
      <vt:lpstr>Tracker Sheet</vt:lpstr>
      <vt:lpstr>Health and Saftey</vt:lpstr>
      <vt:lpstr>Stage Gate 5</vt:lpstr>
      <vt:lpstr>Closed Projects (Stage Gate 6)</vt:lpstr>
      <vt:lpstr>Archive</vt:lpstr>
      <vt:lpstr>Change Control Register</vt:lpstr>
      <vt:lpstr>Finance</vt:lpstr>
      <vt:lpstr>Rag Coding</vt:lpstr>
      <vt:lpstr>Sheet2</vt:lpstr>
      <vt:lpstr>Head Office Buildings</vt:lpstr>
      <vt:lpstr>Sponsors</vt:lpstr>
      <vt:lpstr>Project Managers &amp; FacOps Reps</vt:lpstr>
      <vt:lpstr>Resources Data</vt:lpstr>
      <vt:lpstr>Resources Planner</vt:lpstr>
      <vt:lpstr>Project Initiation</vt:lpstr>
      <vt:lpstr>'Dashboard Page'!Print_Area</vt:lpstr>
      <vt:lpstr>'Dashboard Page'!Print_Titles</vt:lpstr>
    </vt:vector>
  </TitlesOfParts>
  <Company>Transport for London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veronicasenior</dc:creator>
  <cp:lastModifiedBy>adamwadsworth</cp:lastModifiedBy>
  <cp:lastPrinted>2017-06-21T09:47:45Z</cp:lastPrinted>
  <dcterms:created xsi:type="dcterms:W3CDTF">2016-05-11T14:32:02Z</dcterms:created>
  <dcterms:modified xsi:type="dcterms:W3CDTF">2017-07-27T10:48:26Z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Project Tracker Report-12.1 6th Feb 17.xlsm</vt:lpwstr>
  </property>
</Properties>
</file>